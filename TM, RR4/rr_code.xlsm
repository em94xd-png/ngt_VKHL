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E:\ngt_VKHL\TM, RR4\"/>
    </mc:Choice>
  </mc:AlternateContent>
  <xr:revisionPtr revIDLastSave="0" documentId="13_ncr:1_{2C375B9D-BC19-40B6-84AF-FD9DBF18D7F1}" xr6:coauthVersionLast="47" xr6:coauthVersionMax="47" xr10:uidLastSave="{00000000-0000-0000-0000-000000000000}"/>
  <bookViews>
    <workbookView xWindow="1695" yWindow="6600" windowWidth="20010" windowHeight="13815" xr2:uid="{BBF529B2-FB1D-4E00-9046-F118E614E954}"/>
  </bookViews>
  <sheets>
    <sheet name="Sheet1" sheetId="1" r:id="rId1"/>
    <sheet name="ASSETs" sheetId="2" r:id="rId2"/>
    <sheet name="Car_" sheetId="3" r:id="rId3"/>
  </sheets>
  <externalReferences>
    <externalReference r:id="rId4"/>
  </externalReferences>
  <definedNames>
    <definedName name="_xleta.MID" hidden="1" xlm="1">#NAME?</definedName>
    <definedName name="_xleta.ROWS" hidden="1" xlm="1">#NAME?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Q10" i="2" l="1"/>
  <c r="Q9" i="2"/>
  <c r="Q8" i="2"/>
  <c r="Q3" i="2"/>
  <c r="Q4" i="2"/>
  <c r="K48" i="2"/>
  <c r="M43" i="2"/>
  <c r="V329" i="2"/>
  <c r="W329" i="2" s="1"/>
  <c r="AS328" i="2"/>
  <c r="AT328" i="2" s="1"/>
  <c r="AR328" i="2"/>
  <c r="AP328" i="2"/>
  <c r="AQ328" i="2" s="1"/>
  <c r="AI328" i="2"/>
  <c r="AL328" i="2" s="1"/>
  <c r="AM328" i="2" s="1"/>
  <c r="V328" i="2"/>
  <c r="W328" i="2" s="1"/>
  <c r="AP327" i="2"/>
  <c r="AS327" i="2" s="1"/>
  <c r="AT327" i="2" s="1"/>
  <c r="AL327" i="2"/>
  <c r="AM327" i="2" s="1"/>
  <c r="AK327" i="2"/>
  <c r="AI327" i="2"/>
  <c r="AJ327" i="2" s="1"/>
  <c r="AN327" i="2" s="1"/>
  <c r="V327" i="2"/>
  <c r="AQ326" i="2"/>
  <c r="AP326" i="2"/>
  <c r="AK326" i="2"/>
  <c r="AJ326" i="2"/>
  <c r="AI326" i="2"/>
  <c r="AL326" i="2" s="1"/>
  <c r="AM326" i="2" s="1"/>
  <c r="V326" i="2"/>
  <c r="W326" i="2" s="1"/>
  <c r="AP325" i="2"/>
  <c r="AI325" i="2"/>
  <c r="AL325" i="2" s="1"/>
  <c r="AM325" i="2" s="1"/>
  <c r="V325" i="2"/>
  <c r="AP324" i="2"/>
  <c r="AS324" i="2" s="1"/>
  <c r="AT324" i="2" s="1"/>
  <c r="AL324" i="2"/>
  <c r="AM324" i="2" s="1"/>
  <c r="AI324" i="2"/>
  <c r="AK324" i="2" s="1"/>
  <c r="V324" i="2"/>
  <c r="W324" i="2" s="1"/>
  <c r="AR323" i="2"/>
  <c r="AQ323" i="2"/>
  <c r="AP323" i="2"/>
  <c r="AS323" i="2" s="1"/>
  <c r="AT323" i="2" s="1"/>
  <c r="AI323" i="2"/>
  <c r="AJ323" i="2" s="1"/>
  <c r="W323" i="2"/>
  <c r="V323" i="2"/>
  <c r="AQ322" i="2"/>
  <c r="AP322" i="2"/>
  <c r="AS322" i="2" s="1"/>
  <c r="AT322" i="2" s="1"/>
  <c r="AL322" i="2"/>
  <c r="AM322" i="2" s="1"/>
  <c r="AK322" i="2"/>
  <c r="AI322" i="2"/>
  <c r="AJ322" i="2" s="1"/>
  <c r="AN322" i="2" s="1"/>
  <c r="V322" i="2"/>
  <c r="AP321" i="2"/>
  <c r="AK321" i="2"/>
  <c r="AJ321" i="2"/>
  <c r="AI321" i="2"/>
  <c r="AL321" i="2" s="1"/>
  <c r="AM321" i="2" s="1"/>
  <c r="V321" i="2"/>
  <c r="AP320" i="2"/>
  <c r="AJ320" i="2"/>
  <c r="AI320" i="2"/>
  <c r="V320" i="2"/>
  <c r="AT319" i="2"/>
  <c r="AS319" i="2"/>
  <c r="AR319" i="2"/>
  <c r="AQ319" i="2"/>
  <c r="AP319" i="2"/>
  <c r="AL319" i="2"/>
  <c r="AM319" i="2" s="1"/>
  <c r="AI319" i="2"/>
  <c r="W319" i="2"/>
  <c r="V319" i="2"/>
  <c r="AP318" i="2"/>
  <c r="AR318" i="2" s="1"/>
  <c r="AL318" i="2"/>
  <c r="AM318" i="2" s="1"/>
  <c r="AI318" i="2"/>
  <c r="AJ318" i="2" s="1"/>
  <c r="W318" i="2"/>
  <c r="V318" i="2"/>
  <c r="AS317" i="2"/>
  <c r="AT317" i="2" s="1"/>
  <c r="AR317" i="2"/>
  <c r="AP317" i="2"/>
  <c r="AQ317" i="2" s="1"/>
  <c r="AK317" i="2"/>
  <c r="AJ317" i="2"/>
  <c r="AI317" i="2"/>
  <c r="AL317" i="2" s="1"/>
  <c r="AM317" i="2" s="1"/>
  <c r="V317" i="2"/>
  <c r="W317" i="2" s="1"/>
  <c r="AP316" i="2"/>
  <c r="AQ316" i="2" s="1"/>
  <c r="AI316" i="2"/>
  <c r="V316" i="2"/>
  <c r="AP315" i="2"/>
  <c r="AI315" i="2"/>
  <c r="AK315" i="2" s="1"/>
  <c r="V315" i="2"/>
  <c r="W315" i="2" s="1"/>
  <c r="AQ314" i="2"/>
  <c r="AP314" i="2"/>
  <c r="AR314" i="2" s="1"/>
  <c r="AK314" i="2"/>
  <c r="AI314" i="2"/>
  <c r="W314" i="2"/>
  <c r="V314" i="2"/>
  <c r="AP313" i="2"/>
  <c r="AJ313" i="2"/>
  <c r="AI313" i="2"/>
  <c r="AL313" i="2" s="1"/>
  <c r="AM313" i="2" s="1"/>
  <c r="V313" i="2"/>
  <c r="W313" i="2" s="1"/>
  <c r="AT312" i="2"/>
  <c r="AS312" i="2"/>
  <c r="AR312" i="2"/>
  <c r="AQ312" i="2"/>
  <c r="AP312" i="2"/>
  <c r="AK312" i="2"/>
  <c r="AI312" i="2"/>
  <c r="AJ312" i="2" s="1"/>
  <c r="W312" i="2"/>
  <c r="V312" i="2"/>
  <c r="AS311" i="2"/>
  <c r="AT311" i="2" s="1"/>
  <c r="AR311" i="2"/>
  <c r="AP311" i="2"/>
  <c r="AQ311" i="2" s="1"/>
  <c r="AI311" i="2"/>
  <c r="V311" i="2"/>
  <c r="AP310" i="2"/>
  <c r="AL310" i="2"/>
  <c r="AM310" i="2" s="1"/>
  <c r="AI310" i="2"/>
  <c r="AK310" i="2" s="1"/>
  <c r="W310" i="2"/>
  <c r="V310" i="2"/>
  <c r="AP309" i="2"/>
  <c r="AK309" i="2"/>
  <c r="AJ309" i="2"/>
  <c r="AN309" i="2" s="1"/>
  <c r="AI309" i="2"/>
  <c r="AL309" i="2" s="1"/>
  <c r="AM309" i="2" s="1"/>
  <c r="V309" i="2"/>
  <c r="AP308" i="2"/>
  <c r="AI308" i="2"/>
  <c r="V308" i="2"/>
  <c r="AR307" i="2"/>
  <c r="AQ307" i="2"/>
  <c r="AP307" i="2"/>
  <c r="AS307" i="2" s="1"/>
  <c r="AT307" i="2" s="1"/>
  <c r="AI307" i="2"/>
  <c r="V307" i="2"/>
  <c r="AR306" i="2"/>
  <c r="AP306" i="2"/>
  <c r="AL306" i="2"/>
  <c r="AM306" i="2" s="1"/>
  <c r="AK306" i="2"/>
  <c r="AJ306" i="2"/>
  <c r="AI306" i="2"/>
  <c r="V306" i="2"/>
  <c r="W306" i="2" s="1"/>
  <c r="AS305" i="2"/>
  <c r="AT305" i="2" s="1"/>
  <c r="AP305" i="2"/>
  <c r="AI305" i="2"/>
  <c r="W305" i="2"/>
  <c r="V305" i="2"/>
  <c r="AR304" i="2"/>
  <c r="AP304" i="2"/>
  <c r="AQ304" i="2" s="1"/>
  <c r="AI304" i="2"/>
  <c r="AJ304" i="2" s="1"/>
  <c r="V304" i="2"/>
  <c r="W304" i="2" s="1"/>
  <c r="AT303" i="2"/>
  <c r="AS303" i="2"/>
  <c r="AR303" i="2"/>
  <c r="AQ303" i="2"/>
  <c r="AP303" i="2"/>
  <c r="AI303" i="2"/>
  <c r="W303" i="2"/>
  <c r="V303" i="2"/>
  <c r="AR302" i="2"/>
  <c r="AQ302" i="2"/>
  <c r="AP302" i="2"/>
  <c r="AS302" i="2" s="1"/>
  <c r="AT302" i="2" s="1"/>
  <c r="AI302" i="2"/>
  <c r="V302" i="2"/>
  <c r="AP301" i="2"/>
  <c r="AL301" i="2"/>
  <c r="AM301" i="2" s="1"/>
  <c r="AK301" i="2"/>
  <c r="AJ301" i="2"/>
  <c r="AN301" i="2" s="1"/>
  <c r="AI301" i="2"/>
  <c r="V301" i="2"/>
  <c r="W301" i="2" s="1"/>
  <c r="AR300" i="2"/>
  <c r="AP300" i="2"/>
  <c r="AI300" i="2"/>
  <c r="W300" i="2"/>
  <c r="V300" i="2"/>
  <c r="AT299" i="2"/>
  <c r="AQ299" i="2"/>
  <c r="AP299" i="2"/>
  <c r="AS299" i="2" s="1"/>
  <c r="AJ299" i="2"/>
  <c r="AI299" i="2"/>
  <c r="V299" i="2"/>
  <c r="W299" i="2" s="1"/>
  <c r="AT298" i="2"/>
  <c r="AS298" i="2"/>
  <c r="AQ298" i="2"/>
  <c r="AP298" i="2"/>
  <c r="AR298" i="2" s="1"/>
  <c r="AL298" i="2"/>
  <c r="AM298" i="2" s="1"/>
  <c r="AI298" i="2"/>
  <c r="AJ298" i="2" s="1"/>
  <c r="V298" i="2"/>
  <c r="W298" i="2" s="1"/>
  <c r="AP297" i="2"/>
  <c r="AL297" i="2"/>
  <c r="AM297" i="2" s="1"/>
  <c r="AI297" i="2"/>
  <c r="V297" i="2"/>
  <c r="AS296" i="2"/>
  <c r="AT296" i="2" s="1"/>
  <c r="AP296" i="2"/>
  <c r="AR296" i="2" s="1"/>
  <c r="AL296" i="2"/>
  <c r="AM296" i="2" s="1"/>
  <c r="AI296" i="2"/>
  <c r="V296" i="2"/>
  <c r="AR295" i="2"/>
  <c r="AP295" i="2"/>
  <c r="AI295" i="2"/>
  <c r="V295" i="2"/>
  <c r="W295" i="2" s="1"/>
  <c r="AP294" i="2"/>
  <c r="AI294" i="2"/>
  <c r="AK294" i="2" s="1"/>
  <c r="W294" i="2"/>
  <c r="V294" i="2"/>
  <c r="AP293" i="2"/>
  <c r="AI293" i="2"/>
  <c r="V293" i="2"/>
  <c r="W293" i="2" s="1"/>
  <c r="AP292" i="2"/>
  <c r="AI292" i="2"/>
  <c r="V292" i="2"/>
  <c r="W292" i="2" s="1"/>
  <c r="AS291" i="2"/>
  <c r="AT291" i="2" s="1"/>
  <c r="AR291" i="2"/>
  <c r="AQ291" i="2"/>
  <c r="AP291" i="2"/>
  <c r="AL291" i="2"/>
  <c r="AM291" i="2" s="1"/>
  <c r="AK291" i="2"/>
  <c r="AN291" i="2" s="1"/>
  <c r="AI291" i="2"/>
  <c r="AJ291" i="2" s="1"/>
  <c r="V291" i="2"/>
  <c r="W291" i="2" s="1"/>
  <c r="AQ290" i="2"/>
  <c r="AP290" i="2"/>
  <c r="AS290" i="2" s="1"/>
  <c r="AT290" i="2" s="1"/>
  <c r="AI290" i="2"/>
  <c r="W290" i="2"/>
  <c r="V290" i="2"/>
  <c r="AQ289" i="2"/>
  <c r="AP289" i="2"/>
  <c r="AR289" i="2" s="1"/>
  <c r="AL289" i="2"/>
  <c r="AM289" i="2" s="1"/>
  <c r="AJ289" i="2"/>
  <c r="AI289" i="2"/>
  <c r="AK289" i="2" s="1"/>
  <c r="W289" i="2"/>
  <c r="V289" i="2"/>
  <c r="AP288" i="2"/>
  <c r="AK288" i="2"/>
  <c r="AI288" i="2"/>
  <c r="AL288" i="2" s="1"/>
  <c r="AM288" i="2" s="1"/>
  <c r="V288" i="2"/>
  <c r="W288" i="2" s="1"/>
  <c r="AR287" i="2"/>
  <c r="AP287" i="2"/>
  <c r="AJ287" i="2"/>
  <c r="AI287" i="2"/>
  <c r="AK287" i="2" s="1"/>
  <c r="W287" i="2"/>
  <c r="V287" i="2"/>
  <c r="AS286" i="2"/>
  <c r="AT286" i="2" s="1"/>
  <c r="AP286" i="2"/>
  <c r="AR286" i="2" s="1"/>
  <c r="AK286" i="2"/>
  <c r="AI286" i="2"/>
  <c r="AJ286" i="2" s="1"/>
  <c r="V286" i="2"/>
  <c r="W286" i="2" s="1"/>
  <c r="AP285" i="2"/>
  <c r="AL285" i="2"/>
  <c r="AM285" i="2" s="1"/>
  <c r="AK285" i="2"/>
  <c r="AJ285" i="2"/>
  <c r="AI285" i="2"/>
  <c r="W285" i="2"/>
  <c r="V285" i="2"/>
  <c r="AS284" i="2"/>
  <c r="AT284" i="2" s="1"/>
  <c r="AQ284" i="2"/>
  <c r="AP284" i="2"/>
  <c r="AR284" i="2" s="1"/>
  <c r="AJ284" i="2"/>
  <c r="AI284" i="2"/>
  <c r="V284" i="2"/>
  <c r="AP283" i="2"/>
  <c r="AI283" i="2"/>
  <c r="V283" i="2"/>
  <c r="W283" i="2" s="1"/>
  <c r="AS282" i="2"/>
  <c r="AT282" i="2" s="1"/>
  <c r="AQ282" i="2"/>
  <c r="AU282" i="2" s="1"/>
  <c r="AP282" i="2"/>
  <c r="AR282" i="2" s="1"/>
  <c r="AI282" i="2"/>
  <c r="W282" i="2"/>
  <c r="V282" i="2"/>
  <c r="AR281" i="2"/>
  <c r="AP281" i="2"/>
  <c r="AJ281" i="2"/>
  <c r="AI281" i="2"/>
  <c r="AL281" i="2" s="1"/>
  <c r="AM281" i="2" s="1"/>
  <c r="W281" i="2"/>
  <c r="V281" i="2"/>
  <c r="AS280" i="2"/>
  <c r="AT280" i="2" s="1"/>
  <c r="AQ280" i="2"/>
  <c r="AP280" i="2"/>
  <c r="AR280" i="2" s="1"/>
  <c r="AI280" i="2"/>
  <c r="W280" i="2"/>
  <c r="V280" i="2"/>
  <c r="AS279" i="2"/>
  <c r="AT279" i="2" s="1"/>
  <c r="AQ279" i="2"/>
  <c r="AP279" i="2"/>
  <c r="AR279" i="2" s="1"/>
  <c r="AI279" i="2"/>
  <c r="AK279" i="2" s="1"/>
  <c r="V279" i="2"/>
  <c r="AT278" i="2"/>
  <c r="AP278" i="2"/>
  <c r="AS278" i="2" s="1"/>
  <c r="AI278" i="2"/>
  <c r="AJ278" i="2" s="1"/>
  <c r="W278" i="2"/>
  <c r="V278" i="2"/>
  <c r="AP277" i="2"/>
  <c r="AI277" i="2"/>
  <c r="V277" i="2"/>
  <c r="W277" i="2" s="1"/>
  <c r="AP276" i="2"/>
  <c r="AS276" i="2" s="1"/>
  <c r="AT276" i="2" s="1"/>
  <c r="AJ276" i="2"/>
  <c r="AI276" i="2"/>
  <c r="V276" i="2"/>
  <c r="W276" i="2" s="1"/>
  <c r="AR275" i="2"/>
  <c r="AQ275" i="2"/>
  <c r="AP275" i="2"/>
  <c r="AS275" i="2" s="1"/>
  <c r="AT275" i="2" s="1"/>
  <c r="AL275" i="2"/>
  <c r="AM275" i="2" s="1"/>
  <c r="AI275" i="2"/>
  <c r="V275" i="2"/>
  <c r="AR274" i="2"/>
  <c r="AP274" i="2"/>
  <c r="AI274" i="2"/>
  <c r="W274" i="2"/>
  <c r="V274" i="2"/>
  <c r="AS273" i="2"/>
  <c r="AT273" i="2" s="1"/>
  <c r="AP273" i="2"/>
  <c r="AR273" i="2" s="1"/>
  <c r="AI273" i="2"/>
  <c r="V273" i="2"/>
  <c r="W273" i="2" s="1"/>
  <c r="AR272" i="2"/>
  <c r="AP272" i="2"/>
  <c r="AQ272" i="2" s="1"/>
  <c r="AI272" i="2"/>
  <c r="V272" i="2"/>
  <c r="AS271" i="2"/>
  <c r="AT271" i="2" s="1"/>
  <c r="AP271" i="2"/>
  <c r="AR271" i="2" s="1"/>
  <c r="AI271" i="2"/>
  <c r="AJ271" i="2" s="1"/>
  <c r="W271" i="2"/>
  <c r="V271" i="2"/>
  <c r="AP270" i="2"/>
  <c r="AI270" i="2"/>
  <c r="AJ270" i="2" s="1"/>
  <c r="V270" i="2"/>
  <c r="W270" i="2" s="1"/>
  <c r="AR269" i="2"/>
  <c r="AP269" i="2"/>
  <c r="AL269" i="2"/>
  <c r="AM269" i="2" s="1"/>
  <c r="AK269" i="2"/>
  <c r="AJ269" i="2"/>
  <c r="AI269" i="2"/>
  <c r="V269" i="2"/>
  <c r="W269" i="2" s="1"/>
  <c r="AR268" i="2"/>
  <c r="AQ268" i="2"/>
  <c r="AP268" i="2"/>
  <c r="AS268" i="2" s="1"/>
  <c r="AT268" i="2" s="1"/>
  <c r="AK268" i="2"/>
  <c r="AI268" i="2"/>
  <c r="V268" i="2"/>
  <c r="W268" i="2" s="1"/>
  <c r="AQ267" i="2"/>
  <c r="AP267" i="2"/>
  <c r="AS267" i="2" s="1"/>
  <c r="AT267" i="2" s="1"/>
  <c r="AM267" i="2"/>
  <c r="AL267" i="2"/>
  <c r="AI267" i="2"/>
  <c r="V267" i="2"/>
  <c r="AQ266" i="2"/>
  <c r="AP266" i="2"/>
  <c r="AR266" i="2" s="1"/>
  <c r="AI266" i="2"/>
  <c r="AL266" i="2" s="1"/>
  <c r="AM266" i="2" s="1"/>
  <c r="W266" i="2"/>
  <c r="V266" i="2"/>
  <c r="AP265" i="2"/>
  <c r="AJ265" i="2"/>
  <c r="AI265" i="2"/>
  <c r="AL265" i="2" s="1"/>
  <c r="AM265" i="2" s="1"/>
  <c r="W265" i="2"/>
  <c r="V265" i="2"/>
  <c r="AS264" i="2"/>
  <c r="AT264" i="2" s="1"/>
  <c r="AQ264" i="2"/>
  <c r="AP264" i="2"/>
  <c r="AR264" i="2" s="1"/>
  <c r="AK264" i="2"/>
  <c r="AI264" i="2"/>
  <c r="V264" i="2"/>
  <c r="AS263" i="2"/>
  <c r="AT263" i="2" s="1"/>
  <c r="AP263" i="2"/>
  <c r="AI263" i="2"/>
  <c r="V263" i="2"/>
  <c r="W263" i="2" s="1"/>
  <c r="AT262" i="2"/>
  <c r="AR262" i="2"/>
  <c r="AQ262" i="2"/>
  <c r="AP262" i="2"/>
  <c r="AS262" i="2" s="1"/>
  <c r="AL262" i="2"/>
  <c r="AM262" i="2" s="1"/>
  <c r="AN262" i="2" s="1"/>
  <c r="AK262" i="2"/>
  <c r="AI262" i="2"/>
  <c r="AJ262" i="2" s="1"/>
  <c r="W262" i="2"/>
  <c r="V262" i="2"/>
  <c r="AQ261" i="2"/>
  <c r="AP261" i="2"/>
  <c r="AR261" i="2" s="1"/>
  <c r="AI261" i="2"/>
  <c r="AJ261" i="2" s="1"/>
  <c r="V261" i="2"/>
  <c r="W261" i="2" s="1"/>
  <c r="AS260" i="2"/>
  <c r="AT260" i="2" s="1"/>
  <c r="AP260" i="2"/>
  <c r="AL260" i="2"/>
  <c r="AM260" i="2" s="1"/>
  <c r="AI260" i="2"/>
  <c r="AK260" i="2" s="1"/>
  <c r="V260" i="2"/>
  <c r="W260" i="2" s="1"/>
  <c r="AR259" i="2"/>
  <c r="AQ259" i="2"/>
  <c r="AP259" i="2"/>
  <c r="AS259" i="2" s="1"/>
  <c r="AT259" i="2" s="1"/>
  <c r="AL259" i="2"/>
  <c r="AM259" i="2" s="1"/>
  <c r="AK259" i="2"/>
  <c r="AI259" i="2"/>
  <c r="AJ259" i="2" s="1"/>
  <c r="W259" i="2"/>
  <c r="V259" i="2"/>
  <c r="AQ258" i="2"/>
  <c r="AP258" i="2"/>
  <c r="AK258" i="2"/>
  <c r="AI258" i="2"/>
  <c r="AL258" i="2" s="1"/>
  <c r="AM258" i="2" s="1"/>
  <c r="V258" i="2"/>
  <c r="L258" i="2"/>
  <c r="K258" i="2"/>
  <c r="AS257" i="2"/>
  <c r="AT257" i="2" s="1"/>
  <c r="AQ257" i="2"/>
  <c r="AP257" i="2"/>
  <c r="AR257" i="2" s="1"/>
  <c r="AI257" i="2"/>
  <c r="AL257" i="2" s="1"/>
  <c r="AM257" i="2" s="1"/>
  <c r="V257" i="2"/>
  <c r="W257" i="2" s="1"/>
  <c r="L257" i="2"/>
  <c r="K257" i="2"/>
  <c r="AS256" i="2"/>
  <c r="AT256" i="2" s="1"/>
  <c r="AP256" i="2"/>
  <c r="AQ256" i="2" s="1"/>
  <c r="AI256" i="2"/>
  <c r="V256" i="2"/>
  <c r="W256" i="2" s="1"/>
  <c r="L256" i="2"/>
  <c r="K256" i="2"/>
  <c r="AR255" i="2"/>
  <c r="AP255" i="2"/>
  <c r="AI255" i="2"/>
  <c r="V255" i="2"/>
  <c r="W255" i="2" s="1"/>
  <c r="L255" i="2"/>
  <c r="K255" i="2"/>
  <c r="AQ254" i="2"/>
  <c r="AP254" i="2"/>
  <c r="AK254" i="2"/>
  <c r="AI254" i="2"/>
  <c r="AJ254" i="2" s="1"/>
  <c r="V254" i="2"/>
  <c r="W254" i="2" s="1"/>
  <c r="L254" i="2"/>
  <c r="K254" i="2"/>
  <c r="AS253" i="2"/>
  <c r="AT253" i="2" s="1"/>
  <c r="AR253" i="2"/>
  <c r="AQ253" i="2"/>
  <c r="AP253" i="2"/>
  <c r="AI253" i="2"/>
  <c r="V253" i="2"/>
  <c r="L253" i="2"/>
  <c r="K253" i="2"/>
  <c r="AS252" i="2"/>
  <c r="AT252" i="2" s="1"/>
  <c r="AQ252" i="2"/>
  <c r="AP252" i="2"/>
  <c r="AR252" i="2" s="1"/>
  <c r="AI252" i="2"/>
  <c r="V252" i="2"/>
  <c r="L252" i="2"/>
  <c r="K252" i="2"/>
  <c r="AR251" i="2"/>
  <c r="AP251" i="2"/>
  <c r="AQ251" i="2" s="1"/>
  <c r="AL251" i="2"/>
  <c r="AM251" i="2" s="1"/>
  <c r="AJ251" i="2"/>
  <c r="AI251" i="2"/>
  <c r="AK251" i="2" s="1"/>
  <c r="V251" i="2"/>
  <c r="W251" i="2" s="1"/>
  <c r="L251" i="2"/>
  <c r="K251" i="2"/>
  <c r="AS250" i="2"/>
  <c r="AT250" i="2" s="1"/>
  <c r="AU250" i="2" s="1"/>
  <c r="AQ250" i="2"/>
  <c r="AP250" i="2"/>
  <c r="AR250" i="2" s="1"/>
  <c r="AI250" i="2"/>
  <c r="W250" i="2"/>
  <c r="V250" i="2"/>
  <c r="L250" i="2"/>
  <c r="K250" i="2"/>
  <c r="AP249" i="2"/>
  <c r="AI249" i="2"/>
  <c r="V249" i="2"/>
  <c r="L249" i="2"/>
  <c r="K249" i="2"/>
  <c r="AP248" i="2"/>
  <c r="AR248" i="2" s="1"/>
  <c r="AI248" i="2"/>
  <c r="W248" i="2"/>
  <c r="V248" i="2"/>
  <c r="L248" i="2"/>
  <c r="K248" i="2"/>
  <c r="AP247" i="2"/>
  <c r="AL247" i="2"/>
  <c r="AM247" i="2" s="1"/>
  <c r="AK247" i="2"/>
  <c r="AJ247" i="2"/>
  <c r="AI247" i="2"/>
  <c r="V247" i="2"/>
  <c r="L247" i="2"/>
  <c r="K247" i="2"/>
  <c r="AP246" i="2"/>
  <c r="AI246" i="2"/>
  <c r="V246" i="2"/>
  <c r="W246" i="2" s="1"/>
  <c r="L246" i="2"/>
  <c r="K246" i="2"/>
  <c r="AP245" i="2"/>
  <c r="AI245" i="2"/>
  <c r="V245" i="2"/>
  <c r="W245" i="2" s="1"/>
  <c r="L245" i="2"/>
  <c r="K245" i="2"/>
  <c r="AP244" i="2"/>
  <c r="AI244" i="2"/>
  <c r="AK244" i="2" s="1"/>
  <c r="V244" i="2"/>
  <c r="L244" i="2"/>
  <c r="K244" i="2"/>
  <c r="AP243" i="2"/>
  <c r="AI243" i="2"/>
  <c r="V243" i="2"/>
  <c r="L243" i="2"/>
  <c r="K243" i="2"/>
  <c r="AP242" i="2"/>
  <c r="AR242" i="2" s="1"/>
  <c r="AL242" i="2"/>
  <c r="AM242" i="2" s="1"/>
  <c r="AK242" i="2"/>
  <c r="AJ242" i="2"/>
  <c r="AI242" i="2"/>
  <c r="W242" i="2"/>
  <c r="V242" i="2"/>
  <c r="L242" i="2"/>
  <c r="K242" i="2"/>
  <c r="AP241" i="2"/>
  <c r="AR241" i="2" s="1"/>
  <c r="AL241" i="2"/>
  <c r="AM241" i="2" s="1"/>
  <c r="AI241" i="2"/>
  <c r="AJ241" i="2" s="1"/>
  <c r="V241" i="2"/>
  <c r="W241" i="2" s="1"/>
  <c r="L241" i="2"/>
  <c r="K241" i="2"/>
  <c r="AP240" i="2"/>
  <c r="AS240" i="2" s="1"/>
  <c r="AT240" i="2" s="1"/>
  <c r="AI240" i="2"/>
  <c r="V240" i="2"/>
  <c r="W240" i="2" s="1"/>
  <c r="L240" i="2"/>
  <c r="K240" i="2"/>
  <c r="AQ239" i="2"/>
  <c r="AP239" i="2"/>
  <c r="AI239" i="2"/>
  <c r="AJ239" i="2" s="1"/>
  <c r="W239" i="2"/>
  <c r="V239" i="2"/>
  <c r="L239" i="2"/>
  <c r="K239" i="2"/>
  <c r="AS238" i="2"/>
  <c r="AT238" i="2" s="1"/>
  <c r="AQ238" i="2"/>
  <c r="AP238" i="2"/>
  <c r="AR238" i="2" s="1"/>
  <c r="AL238" i="2"/>
  <c r="AM238" i="2" s="1"/>
  <c r="AJ238" i="2"/>
  <c r="AI238" i="2"/>
  <c r="AK238" i="2" s="1"/>
  <c r="V238" i="2"/>
  <c r="W238" i="2" s="1"/>
  <c r="L238" i="2"/>
  <c r="K238" i="2"/>
  <c r="AS237" i="2"/>
  <c r="AT237" i="2" s="1"/>
  <c r="AQ237" i="2"/>
  <c r="AP237" i="2"/>
  <c r="AR237" i="2" s="1"/>
  <c r="AM237" i="2"/>
  <c r="AL237" i="2"/>
  <c r="AJ237" i="2"/>
  <c r="AI237" i="2"/>
  <c r="AK237" i="2" s="1"/>
  <c r="V237" i="2"/>
  <c r="W237" i="2" s="1"/>
  <c r="L237" i="2"/>
  <c r="K237" i="2"/>
  <c r="AP236" i="2"/>
  <c r="AI236" i="2"/>
  <c r="V236" i="2"/>
  <c r="L236" i="2"/>
  <c r="K236" i="2"/>
  <c r="AT235" i="2"/>
  <c r="AS235" i="2"/>
  <c r="AR235" i="2"/>
  <c r="AP235" i="2"/>
  <c r="AQ235" i="2" s="1"/>
  <c r="AK235" i="2"/>
  <c r="AI235" i="2"/>
  <c r="AL235" i="2" s="1"/>
  <c r="AM235" i="2" s="1"/>
  <c r="V235" i="2"/>
  <c r="W235" i="2" s="1"/>
  <c r="L235" i="2"/>
  <c r="K235" i="2"/>
  <c r="AS234" i="2"/>
  <c r="AT234" i="2" s="1"/>
  <c r="AQ234" i="2"/>
  <c r="AP234" i="2"/>
  <c r="AR234" i="2" s="1"/>
  <c r="AI234" i="2"/>
  <c r="V234" i="2"/>
  <c r="W234" i="2" s="1"/>
  <c r="L234" i="2"/>
  <c r="K234" i="2"/>
  <c r="AR233" i="2"/>
  <c r="AP233" i="2"/>
  <c r="AJ233" i="2"/>
  <c r="AI233" i="2"/>
  <c r="V233" i="2"/>
  <c r="W233" i="2" s="1"/>
  <c r="L233" i="2"/>
  <c r="K233" i="2"/>
  <c r="AS232" i="2"/>
  <c r="AT232" i="2" s="1"/>
  <c r="AR232" i="2"/>
  <c r="AQ232" i="2"/>
  <c r="AP232" i="2"/>
  <c r="AI232" i="2"/>
  <c r="V232" i="2"/>
  <c r="L232" i="2"/>
  <c r="K232" i="2"/>
  <c r="AP231" i="2"/>
  <c r="AQ231" i="2" s="1"/>
  <c r="AJ231" i="2"/>
  <c r="AI231" i="2"/>
  <c r="AK231" i="2" s="1"/>
  <c r="V231" i="2"/>
  <c r="W231" i="2" s="1"/>
  <c r="L231" i="2"/>
  <c r="K231" i="2"/>
  <c r="AP230" i="2"/>
  <c r="AL230" i="2"/>
  <c r="AM230" i="2" s="1"/>
  <c r="AJ230" i="2"/>
  <c r="AN230" i="2" s="1"/>
  <c r="AI230" i="2"/>
  <c r="AK230" i="2" s="1"/>
  <c r="V230" i="2"/>
  <c r="L230" i="2"/>
  <c r="K230" i="2"/>
  <c r="AQ229" i="2"/>
  <c r="AP229" i="2"/>
  <c r="AI229" i="2"/>
  <c r="W229" i="2"/>
  <c r="V229" i="2"/>
  <c r="L229" i="2"/>
  <c r="K229" i="2"/>
  <c r="AP228" i="2"/>
  <c r="AI228" i="2"/>
  <c r="V228" i="2"/>
  <c r="W228" i="2" s="1"/>
  <c r="L228" i="2"/>
  <c r="K228" i="2"/>
  <c r="AP227" i="2"/>
  <c r="AQ227" i="2" s="1"/>
  <c r="AI227" i="2"/>
  <c r="V227" i="2"/>
  <c r="L227" i="2"/>
  <c r="K227" i="2"/>
  <c r="AP226" i="2"/>
  <c r="AM226" i="2"/>
  <c r="AL226" i="2"/>
  <c r="AK226" i="2"/>
  <c r="AJ226" i="2"/>
  <c r="AI226" i="2"/>
  <c r="W226" i="2"/>
  <c r="V226" i="2"/>
  <c r="L226" i="2"/>
  <c r="K226" i="2"/>
  <c r="AP225" i="2"/>
  <c r="AS225" i="2" s="1"/>
  <c r="AT225" i="2" s="1"/>
  <c r="AK225" i="2"/>
  <c r="AI225" i="2"/>
  <c r="AJ225" i="2" s="1"/>
  <c r="V225" i="2"/>
  <c r="L225" i="2"/>
  <c r="K225" i="2"/>
  <c r="AS224" i="2"/>
  <c r="AT224" i="2" s="1"/>
  <c r="AP224" i="2"/>
  <c r="AI224" i="2"/>
  <c r="W224" i="2"/>
  <c r="V224" i="2"/>
  <c r="L224" i="2"/>
  <c r="K224" i="2"/>
  <c r="AS223" i="2"/>
  <c r="AT223" i="2" s="1"/>
  <c r="AQ223" i="2"/>
  <c r="AP223" i="2"/>
  <c r="AR223" i="2" s="1"/>
  <c r="AI223" i="2"/>
  <c r="AK223" i="2" s="1"/>
  <c r="V223" i="2"/>
  <c r="W223" i="2" s="1"/>
  <c r="L223" i="2"/>
  <c r="K223" i="2"/>
  <c r="AS222" i="2"/>
  <c r="AT222" i="2" s="1"/>
  <c r="AQ222" i="2"/>
  <c r="AP222" i="2"/>
  <c r="AR222" i="2" s="1"/>
  <c r="AI222" i="2"/>
  <c r="AL222" i="2" s="1"/>
  <c r="AM222" i="2" s="1"/>
  <c r="W222" i="2"/>
  <c r="V222" i="2"/>
  <c r="L222" i="2"/>
  <c r="K222" i="2"/>
  <c r="AS221" i="2"/>
  <c r="AT221" i="2" s="1"/>
  <c r="AQ221" i="2"/>
  <c r="AP221" i="2"/>
  <c r="AR221" i="2" s="1"/>
  <c r="AI221" i="2"/>
  <c r="AK221" i="2" s="1"/>
  <c r="V221" i="2"/>
  <c r="L221" i="2"/>
  <c r="K221" i="2"/>
  <c r="AS220" i="2"/>
  <c r="AT220" i="2" s="1"/>
  <c r="AR220" i="2"/>
  <c r="AU220" i="2" s="1"/>
  <c r="AP220" i="2"/>
  <c r="AQ220" i="2" s="1"/>
  <c r="AL220" i="2"/>
  <c r="AM220" i="2" s="1"/>
  <c r="AI220" i="2"/>
  <c r="V220" i="2"/>
  <c r="L220" i="2"/>
  <c r="K220" i="2"/>
  <c r="AT219" i="2"/>
  <c r="AS219" i="2"/>
  <c r="AR219" i="2"/>
  <c r="AP219" i="2"/>
  <c r="AQ219" i="2" s="1"/>
  <c r="AI219" i="2"/>
  <c r="V219" i="2"/>
  <c r="W219" i="2" s="1"/>
  <c r="L219" i="2"/>
  <c r="K219" i="2"/>
  <c r="AP218" i="2"/>
  <c r="AI218" i="2"/>
  <c r="W218" i="2"/>
  <c r="V218" i="2"/>
  <c r="L218" i="2"/>
  <c r="K218" i="2"/>
  <c r="AP217" i="2"/>
  <c r="AQ217" i="2" s="1"/>
  <c r="AI217" i="2"/>
  <c r="AJ217" i="2" s="1"/>
  <c r="V217" i="2"/>
  <c r="W217" i="2" s="1"/>
  <c r="L217" i="2"/>
  <c r="K217" i="2"/>
  <c r="AP216" i="2"/>
  <c r="AI216" i="2"/>
  <c r="AJ216" i="2" s="1"/>
  <c r="V216" i="2"/>
  <c r="W216" i="2" s="1"/>
  <c r="L216" i="2"/>
  <c r="K216" i="2"/>
  <c r="AS215" i="2"/>
  <c r="AT215" i="2" s="1"/>
  <c r="AR215" i="2"/>
  <c r="AQ215" i="2"/>
  <c r="AP215" i="2"/>
  <c r="AK215" i="2"/>
  <c r="AI215" i="2"/>
  <c r="V215" i="2"/>
  <c r="W215" i="2" s="1"/>
  <c r="L215" i="2"/>
  <c r="K215" i="2"/>
  <c r="AS214" i="2"/>
  <c r="AT214" i="2" s="1"/>
  <c r="AR214" i="2"/>
  <c r="AU214" i="2" s="1"/>
  <c r="AQ214" i="2"/>
  <c r="AP214" i="2"/>
  <c r="AL214" i="2"/>
  <c r="AM214" i="2" s="1"/>
  <c r="AJ214" i="2"/>
  <c r="AN214" i="2" s="1"/>
  <c r="AI214" i="2"/>
  <c r="AK214" i="2" s="1"/>
  <c r="V214" i="2"/>
  <c r="L214" i="2"/>
  <c r="K214" i="2"/>
  <c r="AP213" i="2"/>
  <c r="AK213" i="2"/>
  <c r="AI213" i="2"/>
  <c r="AJ213" i="2" s="1"/>
  <c r="W213" i="2"/>
  <c r="V213" i="2"/>
  <c r="L213" i="2"/>
  <c r="K213" i="2"/>
  <c r="AS212" i="2"/>
  <c r="AT212" i="2" s="1"/>
  <c r="AQ212" i="2"/>
  <c r="AP212" i="2"/>
  <c r="AR212" i="2" s="1"/>
  <c r="AK212" i="2"/>
  <c r="AI212" i="2"/>
  <c r="AL212" i="2" s="1"/>
  <c r="AM212" i="2" s="1"/>
  <c r="V212" i="2"/>
  <c r="W212" i="2" s="1"/>
  <c r="L212" i="2"/>
  <c r="K212" i="2"/>
  <c r="AS211" i="2"/>
  <c r="AT211" i="2" s="1"/>
  <c r="AP211" i="2"/>
  <c r="AK211" i="2"/>
  <c r="AI211" i="2"/>
  <c r="V211" i="2"/>
  <c r="L211" i="2"/>
  <c r="K211" i="2"/>
  <c r="AP210" i="2"/>
  <c r="AL210" i="2"/>
  <c r="AM210" i="2" s="1"/>
  <c r="AJ210" i="2"/>
  <c r="AI210" i="2"/>
  <c r="AK210" i="2" s="1"/>
  <c r="V210" i="2"/>
  <c r="W210" i="2" s="1"/>
  <c r="L210" i="2"/>
  <c r="K210" i="2"/>
  <c r="AQ209" i="2"/>
  <c r="AP209" i="2"/>
  <c r="AI209" i="2"/>
  <c r="V209" i="2"/>
  <c r="W209" i="2" s="1"/>
  <c r="L209" i="2"/>
  <c r="K209" i="2"/>
  <c r="AS208" i="2"/>
  <c r="AT208" i="2" s="1"/>
  <c r="AR208" i="2"/>
  <c r="AU208" i="2" s="1"/>
  <c r="AQ208" i="2"/>
  <c r="AP208" i="2"/>
  <c r="AL208" i="2"/>
  <c r="AM208" i="2" s="1"/>
  <c r="AI208" i="2"/>
  <c r="AK208" i="2" s="1"/>
  <c r="W208" i="2"/>
  <c r="V208" i="2"/>
  <c r="R208" i="2"/>
  <c r="Q208" i="2"/>
  <c r="P208" i="2"/>
  <c r="L208" i="2"/>
  <c r="K208" i="2"/>
  <c r="AQ207" i="2"/>
  <c r="AP207" i="2"/>
  <c r="AR207" i="2" s="1"/>
  <c r="AI207" i="2"/>
  <c r="V207" i="2"/>
  <c r="W207" i="2" s="1"/>
  <c r="R207" i="2"/>
  <c r="Q207" i="2"/>
  <c r="P207" i="2"/>
  <c r="L207" i="2"/>
  <c r="K207" i="2"/>
  <c r="AP206" i="2"/>
  <c r="AI206" i="2"/>
  <c r="V206" i="2"/>
  <c r="W206" i="2" s="1"/>
  <c r="R206" i="2"/>
  <c r="Q206" i="2"/>
  <c r="P206" i="2"/>
  <c r="L206" i="2"/>
  <c r="K206" i="2"/>
  <c r="AS205" i="2"/>
  <c r="AT205" i="2" s="1"/>
  <c r="AR205" i="2"/>
  <c r="AP205" i="2"/>
  <c r="AQ205" i="2" s="1"/>
  <c r="AI205" i="2"/>
  <c r="V205" i="2"/>
  <c r="W205" i="2" s="1"/>
  <c r="R205" i="2"/>
  <c r="Q205" i="2"/>
  <c r="P205" i="2"/>
  <c r="L205" i="2"/>
  <c r="K205" i="2"/>
  <c r="AS204" i="2"/>
  <c r="AT204" i="2" s="1"/>
  <c r="AR204" i="2"/>
  <c r="AQ204" i="2"/>
  <c r="AP204" i="2"/>
  <c r="AL204" i="2"/>
  <c r="AM204" i="2" s="1"/>
  <c r="AI204" i="2"/>
  <c r="V204" i="2"/>
  <c r="W204" i="2" s="1"/>
  <c r="R204" i="2"/>
  <c r="Q204" i="2"/>
  <c r="P204" i="2"/>
  <c r="L204" i="2"/>
  <c r="K204" i="2"/>
  <c r="AS203" i="2"/>
  <c r="AT203" i="2" s="1"/>
  <c r="AP203" i="2"/>
  <c r="AI203" i="2"/>
  <c r="AK203" i="2" s="1"/>
  <c r="V203" i="2"/>
  <c r="R203" i="2"/>
  <c r="Q203" i="2"/>
  <c r="P203" i="2"/>
  <c r="L203" i="2"/>
  <c r="K203" i="2"/>
  <c r="AP202" i="2"/>
  <c r="AL202" i="2"/>
  <c r="AM202" i="2" s="1"/>
  <c r="AN202" i="2" s="1"/>
  <c r="AJ202" i="2"/>
  <c r="AI202" i="2"/>
  <c r="AK202" i="2" s="1"/>
  <c r="V202" i="2"/>
  <c r="W202" i="2" s="1"/>
  <c r="R202" i="2"/>
  <c r="Q202" i="2"/>
  <c r="P202" i="2"/>
  <c r="L202" i="2"/>
  <c r="K202" i="2"/>
  <c r="AQ201" i="2"/>
  <c r="AP201" i="2"/>
  <c r="AS201" i="2" s="1"/>
  <c r="AT201" i="2" s="1"/>
  <c r="AL201" i="2"/>
  <c r="AM201" i="2" s="1"/>
  <c r="AN201" i="2" s="1"/>
  <c r="AJ201" i="2"/>
  <c r="AI201" i="2"/>
  <c r="AK201" i="2" s="1"/>
  <c r="V201" i="2"/>
  <c r="R201" i="2"/>
  <c r="Q201" i="2"/>
  <c r="P201" i="2"/>
  <c r="L201" i="2"/>
  <c r="K201" i="2"/>
  <c r="AS200" i="2"/>
  <c r="AT200" i="2" s="1"/>
  <c r="AP200" i="2"/>
  <c r="AR200" i="2" s="1"/>
  <c r="AI200" i="2"/>
  <c r="AL200" i="2" s="1"/>
  <c r="AM200" i="2" s="1"/>
  <c r="V200" i="2"/>
  <c r="R200" i="2"/>
  <c r="Q200" i="2"/>
  <c r="P200" i="2"/>
  <c r="L200" i="2"/>
  <c r="K200" i="2"/>
  <c r="AP199" i="2"/>
  <c r="AL199" i="2"/>
  <c r="AM199" i="2" s="1"/>
  <c r="AI199" i="2"/>
  <c r="AK199" i="2" s="1"/>
  <c r="V199" i="2"/>
  <c r="R199" i="2"/>
  <c r="Q199" i="2"/>
  <c r="P199" i="2"/>
  <c r="L199" i="2"/>
  <c r="K199" i="2"/>
  <c r="AS198" i="2"/>
  <c r="AT198" i="2" s="1"/>
  <c r="AP198" i="2"/>
  <c r="AJ198" i="2"/>
  <c r="AI198" i="2"/>
  <c r="V198" i="2"/>
  <c r="W198" i="2" s="1"/>
  <c r="R198" i="2"/>
  <c r="Q198" i="2"/>
  <c r="P198" i="2"/>
  <c r="L198" i="2"/>
  <c r="K198" i="2"/>
  <c r="AQ197" i="2"/>
  <c r="AP197" i="2"/>
  <c r="AR197" i="2" s="1"/>
  <c r="AI197" i="2"/>
  <c r="V197" i="2"/>
  <c r="W197" i="2" s="1"/>
  <c r="R197" i="2"/>
  <c r="Q197" i="2"/>
  <c r="P197" i="2"/>
  <c r="L197" i="2"/>
  <c r="K197" i="2"/>
  <c r="AS196" i="2"/>
  <c r="AT196" i="2" s="1"/>
  <c r="AR196" i="2"/>
  <c r="AQ196" i="2"/>
  <c r="AP196" i="2"/>
  <c r="AL196" i="2"/>
  <c r="AM196" i="2" s="1"/>
  <c r="AJ196" i="2"/>
  <c r="AN196" i="2" s="1"/>
  <c r="AI196" i="2"/>
  <c r="AK196" i="2" s="1"/>
  <c r="W196" i="2"/>
  <c r="V196" i="2"/>
  <c r="R196" i="2"/>
  <c r="Q196" i="2"/>
  <c r="P196" i="2"/>
  <c r="L196" i="2"/>
  <c r="K196" i="2"/>
  <c r="AQ195" i="2"/>
  <c r="AP195" i="2"/>
  <c r="AR195" i="2" s="1"/>
  <c r="AI195" i="2"/>
  <c r="AK195" i="2" s="1"/>
  <c r="V195" i="2"/>
  <c r="W195" i="2" s="1"/>
  <c r="R195" i="2"/>
  <c r="Q195" i="2"/>
  <c r="P195" i="2"/>
  <c r="L195" i="2"/>
  <c r="K195" i="2"/>
  <c r="AP194" i="2"/>
  <c r="AQ194" i="2" s="1"/>
  <c r="AI194" i="2"/>
  <c r="V194" i="2"/>
  <c r="R194" i="2"/>
  <c r="Q194" i="2"/>
  <c r="P194" i="2"/>
  <c r="L194" i="2"/>
  <c r="K194" i="2"/>
  <c r="AP193" i="2"/>
  <c r="AQ193" i="2" s="1"/>
  <c r="AI193" i="2"/>
  <c r="V193" i="2"/>
  <c r="R193" i="2"/>
  <c r="Q193" i="2"/>
  <c r="P193" i="2"/>
  <c r="L193" i="2"/>
  <c r="K193" i="2"/>
  <c r="AS192" i="2"/>
  <c r="AT192" i="2" s="1"/>
  <c r="AR192" i="2"/>
  <c r="AQ192" i="2"/>
  <c r="AP192" i="2"/>
  <c r="AL192" i="2"/>
  <c r="AM192" i="2" s="1"/>
  <c r="AJ192" i="2"/>
  <c r="AI192" i="2"/>
  <c r="AK192" i="2" s="1"/>
  <c r="V192" i="2"/>
  <c r="R192" i="2"/>
  <c r="Q192" i="2"/>
  <c r="P192" i="2"/>
  <c r="L192" i="2"/>
  <c r="K192" i="2"/>
  <c r="AP191" i="2"/>
  <c r="AJ191" i="2"/>
  <c r="AI191" i="2"/>
  <c r="AK191" i="2" s="1"/>
  <c r="V191" i="2"/>
  <c r="W191" i="2" s="1"/>
  <c r="R191" i="2"/>
  <c r="Q191" i="2"/>
  <c r="P191" i="2"/>
  <c r="L191" i="2"/>
  <c r="K191" i="2"/>
  <c r="AS190" i="2"/>
  <c r="AT190" i="2" s="1"/>
  <c r="AP190" i="2"/>
  <c r="AQ190" i="2" s="1"/>
  <c r="AI190" i="2"/>
  <c r="V190" i="2"/>
  <c r="W190" i="2" s="1"/>
  <c r="R190" i="2"/>
  <c r="Q190" i="2"/>
  <c r="P190" i="2"/>
  <c r="L190" i="2"/>
  <c r="K190" i="2"/>
  <c r="AP189" i="2"/>
  <c r="AI189" i="2"/>
  <c r="V189" i="2"/>
  <c r="W189" i="2" s="1"/>
  <c r="R189" i="2"/>
  <c r="Q189" i="2"/>
  <c r="P189" i="2"/>
  <c r="L189" i="2"/>
  <c r="K189" i="2"/>
  <c r="AS188" i="2"/>
  <c r="AT188" i="2" s="1"/>
  <c r="AQ188" i="2"/>
  <c r="AP188" i="2"/>
  <c r="AR188" i="2" s="1"/>
  <c r="AI188" i="2"/>
  <c r="W188" i="2"/>
  <c r="V188" i="2"/>
  <c r="R188" i="2"/>
  <c r="Q188" i="2"/>
  <c r="P188" i="2"/>
  <c r="L188" i="2"/>
  <c r="K188" i="2"/>
  <c r="AP187" i="2"/>
  <c r="AI187" i="2"/>
  <c r="V187" i="2"/>
  <c r="R187" i="2"/>
  <c r="Q187" i="2"/>
  <c r="P187" i="2"/>
  <c r="L187" i="2"/>
  <c r="K187" i="2"/>
  <c r="AP186" i="2"/>
  <c r="AJ186" i="2"/>
  <c r="AI186" i="2"/>
  <c r="W186" i="2"/>
  <c r="V186" i="2"/>
  <c r="R186" i="2"/>
  <c r="Q186" i="2"/>
  <c r="P186" i="2"/>
  <c r="L186" i="2"/>
  <c r="K186" i="2"/>
  <c r="AP185" i="2"/>
  <c r="AQ185" i="2" s="1"/>
  <c r="AI185" i="2"/>
  <c r="AK185" i="2" s="1"/>
  <c r="W185" i="2"/>
  <c r="V185" i="2"/>
  <c r="R185" i="2"/>
  <c r="Q185" i="2"/>
  <c r="P185" i="2"/>
  <c r="L185" i="2"/>
  <c r="K185" i="2"/>
  <c r="AQ184" i="2"/>
  <c r="AP184" i="2"/>
  <c r="AR184" i="2" s="1"/>
  <c r="AK184" i="2"/>
  <c r="AI184" i="2"/>
  <c r="AJ184" i="2" s="1"/>
  <c r="V184" i="2"/>
  <c r="W184" i="2" s="1"/>
  <c r="R184" i="2"/>
  <c r="Q184" i="2"/>
  <c r="P184" i="2"/>
  <c r="L184" i="2"/>
  <c r="K184" i="2"/>
  <c r="AP183" i="2"/>
  <c r="AI183" i="2"/>
  <c r="AK183" i="2" s="1"/>
  <c r="V183" i="2"/>
  <c r="R183" i="2"/>
  <c r="Q183" i="2"/>
  <c r="P183" i="2"/>
  <c r="L183" i="2"/>
  <c r="K183" i="2"/>
  <c r="AP182" i="2"/>
  <c r="AJ182" i="2"/>
  <c r="AI182" i="2"/>
  <c r="W182" i="2"/>
  <c r="V182" i="2"/>
  <c r="R182" i="2"/>
  <c r="Q182" i="2"/>
  <c r="P182" i="2"/>
  <c r="L182" i="2"/>
  <c r="K182" i="2"/>
  <c r="AP181" i="2"/>
  <c r="AQ181" i="2" s="1"/>
  <c r="AI181" i="2"/>
  <c r="AK181" i="2" s="1"/>
  <c r="W181" i="2"/>
  <c r="V181" i="2"/>
  <c r="R181" i="2"/>
  <c r="Q181" i="2"/>
  <c r="P181" i="2"/>
  <c r="L181" i="2"/>
  <c r="K181" i="2"/>
  <c r="AP180" i="2"/>
  <c r="AQ180" i="2" s="1"/>
  <c r="AI180" i="2"/>
  <c r="V180" i="2"/>
  <c r="W180" i="2" s="1"/>
  <c r="R180" i="2"/>
  <c r="Q180" i="2"/>
  <c r="P180" i="2"/>
  <c r="L180" i="2"/>
  <c r="K180" i="2"/>
  <c r="AP179" i="2"/>
  <c r="AI179" i="2"/>
  <c r="AK179" i="2" s="1"/>
  <c r="V179" i="2"/>
  <c r="R179" i="2"/>
  <c r="Q179" i="2"/>
  <c r="P179" i="2"/>
  <c r="L179" i="2"/>
  <c r="K179" i="2"/>
  <c r="AP178" i="2"/>
  <c r="AJ178" i="2"/>
  <c r="AI178" i="2"/>
  <c r="V178" i="2"/>
  <c r="W178" i="2" s="1"/>
  <c r="R178" i="2"/>
  <c r="Q178" i="2"/>
  <c r="P178" i="2"/>
  <c r="L178" i="2"/>
  <c r="K178" i="2"/>
  <c r="AT177" i="2"/>
  <c r="AS177" i="2"/>
  <c r="AR177" i="2"/>
  <c r="AQ177" i="2"/>
  <c r="AP177" i="2"/>
  <c r="AK177" i="2"/>
  <c r="AI177" i="2"/>
  <c r="V177" i="2"/>
  <c r="W177" i="2" s="1"/>
  <c r="R177" i="2"/>
  <c r="Q177" i="2"/>
  <c r="P177" i="2"/>
  <c r="L177" i="2"/>
  <c r="K177" i="2"/>
  <c r="AP176" i="2"/>
  <c r="AQ176" i="2" s="1"/>
  <c r="AI176" i="2"/>
  <c r="V176" i="2"/>
  <c r="W176" i="2" s="1"/>
  <c r="R176" i="2"/>
  <c r="Q176" i="2"/>
  <c r="P176" i="2"/>
  <c r="L176" i="2"/>
  <c r="K176" i="2"/>
  <c r="AP175" i="2"/>
  <c r="AI175" i="2"/>
  <c r="AK175" i="2" s="1"/>
  <c r="V175" i="2"/>
  <c r="R175" i="2"/>
  <c r="Q175" i="2"/>
  <c r="P175" i="2"/>
  <c r="L175" i="2"/>
  <c r="K175" i="2"/>
  <c r="AP174" i="2"/>
  <c r="AI174" i="2"/>
  <c r="W174" i="2"/>
  <c r="V174" i="2"/>
  <c r="R174" i="2"/>
  <c r="Q174" i="2"/>
  <c r="P174" i="2"/>
  <c r="L174" i="2"/>
  <c r="K174" i="2"/>
  <c r="AS173" i="2"/>
  <c r="AT173" i="2" s="1"/>
  <c r="AQ173" i="2"/>
  <c r="AP173" i="2"/>
  <c r="AR173" i="2" s="1"/>
  <c r="AI173" i="2"/>
  <c r="W173" i="2"/>
  <c r="V173" i="2"/>
  <c r="R173" i="2"/>
  <c r="Q173" i="2"/>
  <c r="P173" i="2"/>
  <c r="L173" i="2"/>
  <c r="K173" i="2"/>
  <c r="AR172" i="2"/>
  <c r="AP172" i="2"/>
  <c r="AL172" i="2"/>
  <c r="AM172" i="2" s="1"/>
  <c r="AI172" i="2"/>
  <c r="W172" i="2"/>
  <c r="V172" i="2"/>
  <c r="R172" i="2"/>
  <c r="Q172" i="2"/>
  <c r="P172" i="2"/>
  <c r="L172" i="2"/>
  <c r="K172" i="2"/>
  <c r="AP171" i="2"/>
  <c r="AI171" i="2"/>
  <c r="V171" i="2"/>
  <c r="R171" i="2"/>
  <c r="Q171" i="2"/>
  <c r="P171" i="2"/>
  <c r="L171" i="2"/>
  <c r="K171" i="2"/>
  <c r="AR170" i="2"/>
  <c r="AP170" i="2"/>
  <c r="AI170" i="2"/>
  <c r="W170" i="2"/>
  <c r="V170" i="2"/>
  <c r="R170" i="2"/>
  <c r="Q170" i="2"/>
  <c r="P170" i="2"/>
  <c r="L170" i="2"/>
  <c r="K170" i="2"/>
  <c r="AQ169" i="2"/>
  <c r="AP169" i="2"/>
  <c r="AR169" i="2" s="1"/>
  <c r="AI169" i="2"/>
  <c r="AK169" i="2" s="1"/>
  <c r="W169" i="2"/>
  <c r="V169" i="2"/>
  <c r="R169" i="2"/>
  <c r="Q169" i="2"/>
  <c r="P169" i="2"/>
  <c r="L169" i="2"/>
  <c r="K169" i="2"/>
  <c r="AP168" i="2"/>
  <c r="AK168" i="2"/>
  <c r="AI168" i="2"/>
  <c r="V168" i="2"/>
  <c r="W168" i="2" s="1"/>
  <c r="R168" i="2"/>
  <c r="Q168" i="2"/>
  <c r="P168" i="2"/>
  <c r="L168" i="2"/>
  <c r="K168" i="2"/>
  <c r="AP167" i="2"/>
  <c r="AI167" i="2"/>
  <c r="AK167" i="2" s="1"/>
  <c r="V167" i="2"/>
  <c r="R167" i="2"/>
  <c r="Q167" i="2"/>
  <c r="P167" i="2"/>
  <c r="L167" i="2"/>
  <c r="K167" i="2"/>
  <c r="AP166" i="2"/>
  <c r="AI166" i="2"/>
  <c r="AJ166" i="2" s="1"/>
  <c r="V166" i="2"/>
  <c r="W166" i="2" s="1"/>
  <c r="R166" i="2"/>
  <c r="Q166" i="2"/>
  <c r="P166" i="2"/>
  <c r="L166" i="2"/>
  <c r="K166" i="2"/>
  <c r="AR165" i="2"/>
  <c r="AP165" i="2"/>
  <c r="AK165" i="2"/>
  <c r="AI165" i="2"/>
  <c r="W165" i="2"/>
  <c r="V165" i="2"/>
  <c r="R165" i="2"/>
  <c r="Q165" i="2"/>
  <c r="P165" i="2"/>
  <c r="L165" i="2"/>
  <c r="K165" i="2"/>
  <c r="AR164" i="2"/>
  <c r="AP164" i="2"/>
  <c r="AS164" i="2" s="1"/>
  <c r="AT164" i="2" s="1"/>
  <c r="AI164" i="2"/>
  <c r="V164" i="2"/>
  <c r="W164" i="2" s="1"/>
  <c r="R164" i="2"/>
  <c r="Q164" i="2"/>
  <c r="P164" i="2"/>
  <c r="L164" i="2"/>
  <c r="K164" i="2"/>
  <c r="AP163" i="2"/>
  <c r="AI163" i="2"/>
  <c r="V163" i="2"/>
  <c r="R163" i="2"/>
  <c r="Q163" i="2"/>
  <c r="P163" i="2"/>
  <c r="L163" i="2"/>
  <c r="K163" i="2"/>
  <c r="AR162" i="2"/>
  <c r="AP162" i="2"/>
  <c r="AL162" i="2"/>
  <c r="AM162" i="2" s="1"/>
  <c r="AJ162" i="2"/>
  <c r="AI162" i="2"/>
  <c r="AK162" i="2" s="1"/>
  <c r="V162" i="2"/>
  <c r="R162" i="2"/>
  <c r="Q162" i="2"/>
  <c r="P162" i="2"/>
  <c r="L162" i="2"/>
  <c r="K162" i="2"/>
  <c r="AS161" i="2"/>
  <c r="AT161" i="2" s="1"/>
  <c r="AR161" i="2"/>
  <c r="AQ161" i="2"/>
  <c r="AP161" i="2"/>
  <c r="AI161" i="2"/>
  <c r="AK161" i="2" s="1"/>
  <c r="W161" i="2"/>
  <c r="V161" i="2"/>
  <c r="R161" i="2"/>
  <c r="Q161" i="2"/>
  <c r="P161" i="2"/>
  <c r="L161" i="2"/>
  <c r="K161" i="2"/>
  <c r="AR160" i="2"/>
  <c r="AP160" i="2"/>
  <c r="AI160" i="2"/>
  <c r="V160" i="2"/>
  <c r="W160" i="2" s="1"/>
  <c r="R160" i="2"/>
  <c r="Q160" i="2"/>
  <c r="P160" i="2"/>
  <c r="L160" i="2"/>
  <c r="K160" i="2"/>
  <c r="AP159" i="2"/>
  <c r="AI159" i="2"/>
  <c r="V159" i="2"/>
  <c r="R159" i="2"/>
  <c r="Q159" i="2"/>
  <c r="P159" i="2"/>
  <c r="L159" i="2"/>
  <c r="K159" i="2"/>
  <c r="AR158" i="2"/>
  <c r="AQ158" i="2"/>
  <c r="AP158" i="2"/>
  <c r="AS158" i="2" s="1"/>
  <c r="AT158" i="2" s="1"/>
  <c r="AJ158" i="2"/>
  <c r="AI158" i="2"/>
  <c r="AK158" i="2" s="1"/>
  <c r="V158" i="2"/>
  <c r="W158" i="2" s="1"/>
  <c r="R158" i="2"/>
  <c r="Q158" i="2"/>
  <c r="P158" i="2"/>
  <c r="L158" i="2"/>
  <c r="K158" i="2"/>
  <c r="AT157" i="2"/>
  <c r="AP157" i="2"/>
  <c r="AS157" i="2" s="1"/>
  <c r="AL157" i="2"/>
  <c r="AM157" i="2" s="1"/>
  <c r="AI157" i="2"/>
  <c r="V157" i="2"/>
  <c r="W157" i="2" s="1"/>
  <c r="R157" i="2"/>
  <c r="Q157" i="2"/>
  <c r="P157" i="2"/>
  <c r="L157" i="2"/>
  <c r="K157" i="2"/>
  <c r="AP156" i="2"/>
  <c r="AK156" i="2"/>
  <c r="AI156" i="2"/>
  <c r="V156" i="2"/>
  <c r="W156" i="2" s="1"/>
  <c r="R156" i="2"/>
  <c r="Q156" i="2"/>
  <c r="P156" i="2"/>
  <c r="L156" i="2"/>
  <c r="K156" i="2"/>
  <c r="AQ155" i="2"/>
  <c r="AP155" i="2"/>
  <c r="AS155" i="2" s="1"/>
  <c r="AT155" i="2" s="1"/>
  <c r="AI155" i="2"/>
  <c r="V155" i="2"/>
  <c r="W155" i="2" s="1"/>
  <c r="R155" i="2"/>
  <c r="Q155" i="2"/>
  <c r="P155" i="2"/>
  <c r="L155" i="2"/>
  <c r="K155" i="2"/>
  <c r="AP154" i="2"/>
  <c r="AJ154" i="2"/>
  <c r="AI154" i="2"/>
  <c r="V154" i="2"/>
  <c r="W154" i="2" s="1"/>
  <c r="R154" i="2"/>
  <c r="Q154" i="2"/>
  <c r="P154" i="2"/>
  <c r="L154" i="2"/>
  <c r="K154" i="2"/>
  <c r="AQ153" i="2"/>
  <c r="AP153" i="2"/>
  <c r="AR153" i="2" s="1"/>
  <c r="AI153" i="2"/>
  <c r="AL153" i="2" s="1"/>
  <c r="AM153" i="2" s="1"/>
  <c r="W153" i="2"/>
  <c r="V153" i="2"/>
  <c r="R153" i="2"/>
  <c r="Q153" i="2"/>
  <c r="P153" i="2"/>
  <c r="L153" i="2"/>
  <c r="K153" i="2"/>
  <c r="AP152" i="2"/>
  <c r="AK152" i="2"/>
  <c r="AI152" i="2"/>
  <c r="AJ152" i="2" s="1"/>
  <c r="V152" i="2"/>
  <c r="R152" i="2"/>
  <c r="Q152" i="2"/>
  <c r="P152" i="2"/>
  <c r="L152" i="2"/>
  <c r="K152" i="2"/>
  <c r="AQ151" i="2"/>
  <c r="AP151" i="2"/>
  <c r="AS151" i="2" s="1"/>
  <c r="AT151" i="2" s="1"/>
  <c r="AK151" i="2"/>
  <c r="AI151" i="2"/>
  <c r="V151" i="2"/>
  <c r="W151" i="2" s="1"/>
  <c r="R151" i="2"/>
  <c r="Q151" i="2"/>
  <c r="P151" i="2"/>
  <c r="L151" i="2"/>
  <c r="K151" i="2"/>
  <c r="AP150" i="2"/>
  <c r="AI150" i="2"/>
  <c r="AK150" i="2" s="1"/>
  <c r="V150" i="2"/>
  <c r="R150" i="2"/>
  <c r="Q150" i="2"/>
  <c r="P150" i="2"/>
  <c r="L150" i="2"/>
  <c r="K150" i="2"/>
  <c r="AP149" i="2"/>
  <c r="AQ149" i="2" s="1"/>
  <c r="AL149" i="2"/>
  <c r="AM149" i="2" s="1"/>
  <c r="AI149" i="2"/>
  <c r="AJ149" i="2" s="1"/>
  <c r="V149" i="2"/>
  <c r="W149" i="2" s="1"/>
  <c r="R149" i="2"/>
  <c r="Q149" i="2"/>
  <c r="P149" i="2"/>
  <c r="L149" i="2"/>
  <c r="K149" i="2"/>
  <c r="AS148" i="2"/>
  <c r="AT148" i="2" s="1"/>
  <c r="AQ148" i="2"/>
  <c r="AP148" i="2"/>
  <c r="AR148" i="2" s="1"/>
  <c r="AI148" i="2"/>
  <c r="V148" i="2"/>
  <c r="R148" i="2"/>
  <c r="Q148" i="2"/>
  <c r="P148" i="2"/>
  <c r="L148" i="2"/>
  <c r="K148" i="2"/>
  <c r="AS147" i="2"/>
  <c r="AT147" i="2" s="1"/>
  <c r="AQ147" i="2"/>
  <c r="AU147" i="2" s="1"/>
  <c r="AP147" i="2"/>
  <c r="AR147" i="2" s="1"/>
  <c r="AI147" i="2"/>
  <c r="V147" i="2"/>
  <c r="R147" i="2"/>
  <c r="Q147" i="2"/>
  <c r="P147" i="2"/>
  <c r="L147" i="2"/>
  <c r="K147" i="2"/>
  <c r="AP146" i="2"/>
  <c r="AI146" i="2"/>
  <c r="V146" i="2"/>
  <c r="R146" i="2"/>
  <c r="Q146" i="2"/>
  <c r="P146" i="2"/>
  <c r="L146" i="2"/>
  <c r="K146" i="2"/>
  <c r="AR145" i="2"/>
  <c r="AP145" i="2"/>
  <c r="AS145" i="2" s="1"/>
  <c r="AT145" i="2" s="1"/>
  <c r="AJ145" i="2"/>
  <c r="AI145" i="2"/>
  <c r="AK145" i="2" s="1"/>
  <c r="W145" i="2"/>
  <c r="V145" i="2"/>
  <c r="R145" i="2"/>
  <c r="Q145" i="2"/>
  <c r="P145" i="2"/>
  <c r="L145" i="2"/>
  <c r="K145" i="2"/>
  <c r="AP144" i="2"/>
  <c r="AK144" i="2"/>
  <c r="AI144" i="2"/>
  <c r="AJ144" i="2" s="1"/>
  <c r="V144" i="2"/>
  <c r="W144" i="2" s="1"/>
  <c r="R144" i="2"/>
  <c r="Q144" i="2"/>
  <c r="P144" i="2"/>
  <c r="L144" i="2"/>
  <c r="K144" i="2"/>
  <c r="AP143" i="2"/>
  <c r="AR143" i="2" s="1"/>
  <c r="AI143" i="2"/>
  <c r="V143" i="2"/>
  <c r="R143" i="2"/>
  <c r="Q143" i="2"/>
  <c r="P143" i="2"/>
  <c r="L143" i="2"/>
  <c r="K143" i="2"/>
  <c r="AP142" i="2"/>
  <c r="AR142" i="2" s="1"/>
  <c r="AM142" i="2"/>
  <c r="AL142" i="2"/>
  <c r="AJ142" i="2"/>
  <c r="AN142" i="2" s="1"/>
  <c r="AI142" i="2"/>
  <c r="AK142" i="2" s="1"/>
  <c r="V142" i="2"/>
  <c r="W142" i="2" s="1"/>
  <c r="R142" i="2"/>
  <c r="Q142" i="2"/>
  <c r="P142" i="2"/>
  <c r="L142" i="2"/>
  <c r="K142" i="2"/>
  <c r="AP141" i="2"/>
  <c r="AR141" i="2" s="1"/>
  <c r="AI141" i="2"/>
  <c r="V141" i="2"/>
  <c r="W141" i="2" s="1"/>
  <c r="R141" i="2"/>
  <c r="Q141" i="2"/>
  <c r="P141" i="2"/>
  <c r="L141" i="2"/>
  <c r="K141" i="2"/>
  <c r="AP140" i="2"/>
  <c r="AR140" i="2" s="1"/>
  <c r="AJ140" i="2"/>
  <c r="AI140" i="2"/>
  <c r="V140" i="2"/>
  <c r="R140" i="2"/>
  <c r="Q140" i="2"/>
  <c r="P140" i="2"/>
  <c r="L140" i="2"/>
  <c r="K140" i="2"/>
  <c r="AS139" i="2"/>
  <c r="AT139" i="2" s="1"/>
  <c r="AR139" i="2"/>
  <c r="AP139" i="2"/>
  <c r="AQ139" i="2" s="1"/>
  <c r="AI139" i="2"/>
  <c r="V139" i="2"/>
  <c r="W139" i="2" s="1"/>
  <c r="R139" i="2"/>
  <c r="Q139" i="2"/>
  <c r="P139" i="2"/>
  <c r="L139" i="2"/>
  <c r="K139" i="2"/>
  <c r="AP138" i="2"/>
  <c r="AR138" i="2" s="1"/>
  <c r="AK138" i="2"/>
  <c r="AI138" i="2"/>
  <c r="AL138" i="2" s="1"/>
  <c r="AM138" i="2" s="1"/>
  <c r="V138" i="2"/>
  <c r="W138" i="2" s="1"/>
  <c r="R138" i="2"/>
  <c r="Q138" i="2"/>
  <c r="P138" i="2"/>
  <c r="L138" i="2"/>
  <c r="K138" i="2"/>
  <c r="AS137" i="2"/>
  <c r="AT137" i="2" s="1"/>
  <c r="AQ137" i="2"/>
  <c r="AU137" i="2" s="1"/>
  <c r="AP137" i="2"/>
  <c r="AR137" i="2" s="1"/>
  <c r="AI137" i="2"/>
  <c r="V137" i="2"/>
  <c r="W137" i="2" s="1"/>
  <c r="R137" i="2"/>
  <c r="Q137" i="2"/>
  <c r="P137" i="2"/>
  <c r="L137" i="2"/>
  <c r="K137" i="2"/>
  <c r="AP136" i="2"/>
  <c r="AL136" i="2"/>
  <c r="AM136" i="2" s="1"/>
  <c r="AN136" i="2" s="1"/>
  <c r="AJ136" i="2"/>
  <c r="AI136" i="2"/>
  <c r="AK136" i="2" s="1"/>
  <c r="W136" i="2"/>
  <c r="V136" i="2"/>
  <c r="R136" i="2"/>
  <c r="Q136" i="2"/>
  <c r="P136" i="2"/>
  <c r="L136" i="2"/>
  <c r="K136" i="2"/>
  <c r="AR135" i="2"/>
  <c r="AP135" i="2"/>
  <c r="AI135" i="2"/>
  <c r="AK135" i="2" s="1"/>
  <c r="V135" i="2"/>
  <c r="W135" i="2" s="1"/>
  <c r="R135" i="2"/>
  <c r="Q135" i="2"/>
  <c r="P135" i="2"/>
  <c r="L135" i="2"/>
  <c r="K135" i="2"/>
  <c r="AS134" i="2"/>
  <c r="AT134" i="2" s="1"/>
  <c r="AP134" i="2"/>
  <c r="AR134" i="2" s="1"/>
  <c r="AI134" i="2"/>
  <c r="W134" i="2"/>
  <c r="V134" i="2"/>
  <c r="R134" i="2"/>
  <c r="Q134" i="2"/>
  <c r="P134" i="2"/>
  <c r="L134" i="2"/>
  <c r="K134" i="2"/>
  <c r="AS133" i="2"/>
  <c r="AT133" i="2" s="1"/>
  <c r="AR133" i="2"/>
  <c r="AQ133" i="2"/>
  <c r="AP133" i="2"/>
  <c r="AL133" i="2"/>
  <c r="AM133" i="2" s="1"/>
  <c r="AJ133" i="2"/>
  <c r="AN133" i="2" s="1"/>
  <c r="AI133" i="2"/>
  <c r="AK133" i="2" s="1"/>
  <c r="V133" i="2"/>
  <c r="W133" i="2" s="1"/>
  <c r="R133" i="2"/>
  <c r="Q133" i="2"/>
  <c r="P133" i="2"/>
  <c r="L133" i="2"/>
  <c r="K133" i="2"/>
  <c r="AS132" i="2"/>
  <c r="AT132" i="2" s="1"/>
  <c r="AP132" i="2"/>
  <c r="AR132" i="2" s="1"/>
  <c r="AI132" i="2"/>
  <c r="AK132" i="2" s="1"/>
  <c r="W132" i="2"/>
  <c r="V132" i="2"/>
  <c r="R132" i="2"/>
  <c r="Q132" i="2"/>
  <c r="P132" i="2"/>
  <c r="L132" i="2"/>
  <c r="K132" i="2"/>
  <c r="AS131" i="2"/>
  <c r="AT131" i="2" s="1"/>
  <c r="AP131" i="2"/>
  <c r="AQ131" i="2" s="1"/>
  <c r="AJ131" i="2"/>
  <c r="AI131" i="2"/>
  <c r="AK131" i="2" s="1"/>
  <c r="V131" i="2"/>
  <c r="R131" i="2"/>
  <c r="Q131" i="2"/>
  <c r="P131" i="2"/>
  <c r="L131" i="2"/>
  <c r="K131" i="2"/>
  <c r="AQ130" i="2"/>
  <c r="AP130" i="2"/>
  <c r="AR130" i="2" s="1"/>
  <c r="AI130" i="2"/>
  <c r="AJ130" i="2" s="1"/>
  <c r="V130" i="2"/>
  <c r="W130" i="2" s="1"/>
  <c r="R130" i="2"/>
  <c r="Q130" i="2"/>
  <c r="P130" i="2"/>
  <c r="L130" i="2"/>
  <c r="K130" i="2"/>
  <c r="AP129" i="2"/>
  <c r="AI129" i="2"/>
  <c r="AL129" i="2" s="1"/>
  <c r="AM129" i="2" s="1"/>
  <c r="V129" i="2"/>
  <c r="R129" i="2"/>
  <c r="Q129" i="2"/>
  <c r="P129" i="2"/>
  <c r="L129" i="2"/>
  <c r="K129" i="2"/>
  <c r="AP128" i="2"/>
  <c r="AQ128" i="2" s="1"/>
  <c r="AI128" i="2"/>
  <c r="AK128" i="2" s="1"/>
  <c r="V128" i="2"/>
  <c r="W128" i="2" s="1"/>
  <c r="R128" i="2"/>
  <c r="Q128" i="2"/>
  <c r="P128" i="2"/>
  <c r="L128" i="2"/>
  <c r="K128" i="2"/>
  <c r="AS127" i="2"/>
  <c r="AT127" i="2" s="1"/>
  <c r="AQ127" i="2"/>
  <c r="AP127" i="2"/>
  <c r="AR127" i="2" s="1"/>
  <c r="AI127" i="2"/>
  <c r="V127" i="2"/>
  <c r="W127" i="2" s="1"/>
  <c r="R127" i="2"/>
  <c r="Q127" i="2"/>
  <c r="P127" i="2"/>
  <c r="L127" i="2"/>
  <c r="K127" i="2"/>
  <c r="AP126" i="2"/>
  <c r="AL126" i="2"/>
  <c r="AM126" i="2" s="1"/>
  <c r="AN126" i="2" s="1"/>
  <c r="AJ126" i="2"/>
  <c r="AI126" i="2"/>
  <c r="AK126" i="2" s="1"/>
  <c r="V126" i="2"/>
  <c r="W126" i="2" s="1"/>
  <c r="R126" i="2"/>
  <c r="Q126" i="2"/>
  <c r="P126" i="2"/>
  <c r="L126" i="2"/>
  <c r="K126" i="2"/>
  <c r="AP125" i="2"/>
  <c r="AS125" i="2" s="1"/>
  <c r="AT125" i="2" s="1"/>
  <c r="AI125" i="2"/>
  <c r="AJ125" i="2" s="1"/>
  <c r="V125" i="2"/>
  <c r="W125" i="2" s="1"/>
  <c r="R125" i="2"/>
  <c r="Q125" i="2"/>
  <c r="P125" i="2"/>
  <c r="L125" i="2"/>
  <c r="K125" i="2"/>
  <c r="AP124" i="2"/>
  <c r="AS124" i="2" s="1"/>
  <c r="AT124" i="2" s="1"/>
  <c r="AI124" i="2"/>
  <c r="AK124" i="2" s="1"/>
  <c r="V124" i="2"/>
  <c r="W124" i="2" s="1"/>
  <c r="R124" i="2"/>
  <c r="Q124" i="2"/>
  <c r="P124" i="2"/>
  <c r="L124" i="2"/>
  <c r="K124" i="2"/>
  <c r="AS123" i="2"/>
  <c r="AT123" i="2" s="1"/>
  <c r="AR123" i="2"/>
  <c r="AQ123" i="2"/>
  <c r="AP123" i="2"/>
  <c r="AI123" i="2"/>
  <c r="AK123" i="2" s="1"/>
  <c r="V123" i="2"/>
  <c r="W123" i="2" s="1"/>
  <c r="R123" i="2"/>
  <c r="Q123" i="2"/>
  <c r="P123" i="2"/>
  <c r="L123" i="2"/>
  <c r="K123" i="2"/>
  <c r="AP122" i="2"/>
  <c r="AJ122" i="2"/>
  <c r="AI122" i="2"/>
  <c r="AK122" i="2" s="1"/>
  <c r="V122" i="2"/>
  <c r="R122" i="2"/>
  <c r="Q122" i="2"/>
  <c r="P122" i="2"/>
  <c r="L122" i="2"/>
  <c r="K122" i="2"/>
  <c r="AP121" i="2"/>
  <c r="AS121" i="2" s="1"/>
  <c r="AT121" i="2" s="1"/>
  <c r="AI121" i="2"/>
  <c r="V121" i="2"/>
  <c r="W121" i="2" s="1"/>
  <c r="R121" i="2"/>
  <c r="Q121" i="2"/>
  <c r="P121" i="2"/>
  <c r="L121" i="2"/>
  <c r="K121" i="2"/>
  <c r="AQ120" i="2"/>
  <c r="AP120" i="2"/>
  <c r="AR120" i="2" s="1"/>
  <c r="AI120" i="2"/>
  <c r="W120" i="2"/>
  <c r="V120" i="2"/>
  <c r="R120" i="2"/>
  <c r="Q120" i="2"/>
  <c r="P120" i="2"/>
  <c r="L120" i="2"/>
  <c r="K120" i="2"/>
  <c r="AS119" i="2"/>
  <c r="AT119" i="2" s="1"/>
  <c r="AR119" i="2"/>
  <c r="AQ119" i="2"/>
  <c r="AP119" i="2"/>
  <c r="AL119" i="2"/>
  <c r="AM119" i="2" s="1"/>
  <c r="AJ119" i="2"/>
  <c r="AI119" i="2"/>
  <c r="AK119" i="2" s="1"/>
  <c r="V119" i="2"/>
  <c r="W119" i="2" s="1"/>
  <c r="R119" i="2"/>
  <c r="Q119" i="2"/>
  <c r="P119" i="2"/>
  <c r="L119" i="2"/>
  <c r="K119" i="2"/>
  <c r="AQ118" i="2"/>
  <c r="AP118" i="2"/>
  <c r="AK118" i="2"/>
  <c r="AI118" i="2"/>
  <c r="AJ118" i="2" s="1"/>
  <c r="V118" i="2"/>
  <c r="W118" i="2" s="1"/>
  <c r="R118" i="2"/>
  <c r="Q118" i="2"/>
  <c r="P118" i="2"/>
  <c r="L118" i="2"/>
  <c r="K118" i="2"/>
  <c r="AP117" i="2"/>
  <c r="AQ117" i="2" s="1"/>
  <c r="AI117" i="2"/>
  <c r="AK117" i="2" s="1"/>
  <c r="V117" i="2"/>
  <c r="W117" i="2" s="1"/>
  <c r="R117" i="2"/>
  <c r="Q117" i="2"/>
  <c r="P117" i="2"/>
  <c r="L117" i="2"/>
  <c r="K117" i="2"/>
  <c r="AP116" i="2"/>
  <c r="AR116" i="2" s="1"/>
  <c r="AI116" i="2"/>
  <c r="V116" i="2"/>
  <c r="W116" i="2" s="1"/>
  <c r="R116" i="2"/>
  <c r="Q116" i="2"/>
  <c r="P116" i="2"/>
  <c r="L116" i="2"/>
  <c r="K116" i="2"/>
  <c r="AQ115" i="2"/>
  <c r="AP115" i="2"/>
  <c r="AS115" i="2" s="1"/>
  <c r="AT115" i="2" s="1"/>
  <c r="AK115" i="2"/>
  <c r="AI115" i="2"/>
  <c r="V115" i="2"/>
  <c r="R115" i="2"/>
  <c r="Q115" i="2"/>
  <c r="P115" i="2"/>
  <c r="L115" i="2"/>
  <c r="K115" i="2"/>
  <c r="AP114" i="2"/>
  <c r="AR114" i="2" s="1"/>
  <c r="AI114" i="2"/>
  <c r="V114" i="2"/>
  <c r="W114" i="2" s="1"/>
  <c r="R114" i="2"/>
  <c r="Q114" i="2"/>
  <c r="P114" i="2"/>
  <c r="L114" i="2"/>
  <c r="K114" i="2"/>
  <c r="AS113" i="2"/>
  <c r="AT113" i="2" s="1"/>
  <c r="AQ113" i="2"/>
  <c r="AP113" i="2"/>
  <c r="AR113" i="2" s="1"/>
  <c r="AI113" i="2"/>
  <c r="V113" i="2"/>
  <c r="R113" i="2"/>
  <c r="Q113" i="2"/>
  <c r="P113" i="2"/>
  <c r="L113" i="2"/>
  <c r="K113" i="2"/>
  <c r="AQ112" i="2"/>
  <c r="AP112" i="2"/>
  <c r="AL112" i="2"/>
  <c r="AM112" i="2" s="1"/>
  <c r="AJ112" i="2"/>
  <c r="AI112" i="2"/>
  <c r="AK112" i="2" s="1"/>
  <c r="W112" i="2"/>
  <c r="V112" i="2"/>
  <c r="R112" i="2"/>
  <c r="Q112" i="2"/>
  <c r="P112" i="2"/>
  <c r="L112" i="2"/>
  <c r="K112" i="2"/>
  <c r="AP111" i="2"/>
  <c r="AQ111" i="2" s="1"/>
  <c r="AI111" i="2"/>
  <c r="V111" i="2"/>
  <c r="W111" i="2" s="1"/>
  <c r="R111" i="2"/>
  <c r="Q111" i="2"/>
  <c r="P111" i="2"/>
  <c r="L111" i="2"/>
  <c r="K111" i="2"/>
  <c r="AS110" i="2"/>
  <c r="AT110" i="2" s="1"/>
  <c r="AR110" i="2"/>
  <c r="AQ110" i="2"/>
  <c r="AU110" i="2" s="1"/>
  <c r="AP110" i="2"/>
  <c r="AL110" i="2"/>
  <c r="AM110" i="2" s="1"/>
  <c r="AI110" i="2"/>
  <c r="AK110" i="2" s="1"/>
  <c r="V110" i="2"/>
  <c r="W110" i="2" s="1"/>
  <c r="R110" i="2"/>
  <c r="Q110" i="2"/>
  <c r="P110" i="2"/>
  <c r="L110" i="2"/>
  <c r="K110" i="2"/>
  <c r="AP109" i="2"/>
  <c r="AM109" i="2"/>
  <c r="AN109" i="2" s="1"/>
  <c r="AL109" i="2"/>
  <c r="AJ109" i="2"/>
  <c r="AI109" i="2"/>
  <c r="AK109" i="2" s="1"/>
  <c r="V109" i="2"/>
  <c r="W109" i="2" s="1"/>
  <c r="R109" i="2"/>
  <c r="Q109" i="2"/>
  <c r="P109" i="2"/>
  <c r="L109" i="2"/>
  <c r="K109" i="2"/>
  <c r="AS108" i="2"/>
  <c r="AT108" i="2" s="1"/>
  <c r="AQ108" i="2"/>
  <c r="AU108" i="2" s="1"/>
  <c r="AP108" i="2"/>
  <c r="AR108" i="2" s="1"/>
  <c r="AM108" i="2"/>
  <c r="AL108" i="2"/>
  <c r="AK108" i="2"/>
  <c r="AJ108" i="2"/>
  <c r="AI108" i="2"/>
  <c r="V108" i="2"/>
  <c r="R108" i="2"/>
  <c r="Q108" i="2"/>
  <c r="P108" i="2"/>
  <c r="L108" i="2"/>
  <c r="K108" i="2"/>
  <c r="AR107" i="2"/>
  <c r="AP107" i="2"/>
  <c r="AL107" i="2"/>
  <c r="AM107" i="2" s="1"/>
  <c r="AJ107" i="2"/>
  <c r="AI107" i="2"/>
  <c r="AK107" i="2" s="1"/>
  <c r="V107" i="2"/>
  <c r="W107" i="2" s="1"/>
  <c r="R107" i="2"/>
  <c r="Q107" i="2"/>
  <c r="P107" i="2"/>
  <c r="L107" i="2"/>
  <c r="K107" i="2"/>
  <c r="AP106" i="2"/>
  <c r="AI106" i="2"/>
  <c r="V106" i="2"/>
  <c r="W106" i="2" s="1"/>
  <c r="R106" i="2"/>
  <c r="Q106" i="2"/>
  <c r="P106" i="2"/>
  <c r="L106" i="2"/>
  <c r="K106" i="2"/>
  <c r="AP105" i="2"/>
  <c r="AL105" i="2"/>
  <c r="AM105" i="2" s="1"/>
  <c r="AJ105" i="2"/>
  <c r="AI105" i="2"/>
  <c r="AK105" i="2" s="1"/>
  <c r="V105" i="2"/>
  <c r="W105" i="2" s="1"/>
  <c r="R105" i="2"/>
  <c r="Q105" i="2"/>
  <c r="P105" i="2"/>
  <c r="L105" i="2"/>
  <c r="K105" i="2"/>
  <c r="AP104" i="2"/>
  <c r="AS104" i="2" s="1"/>
  <c r="AT104" i="2" s="1"/>
  <c r="AL104" i="2"/>
  <c r="AM104" i="2" s="1"/>
  <c r="AJ104" i="2"/>
  <c r="AI104" i="2"/>
  <c r="AK104" i="2" s="1"/>
  <c r="V104" i="2"/>
  <c r="W104" i="2" s="1"/>
  <c r="R104" i="2"/>
  <c r="Q104" i="2"/>
  <c r="P104" i="2"/>
  <c r="L104" i="2"/>
  <c r="K104" i="2"/>
  <c r="AP103" i="2"/>
  <c r="AS103" i="2" s="1"/>
  <c r="AT103" i="2" s="1"/>
  <c r="AL103" i="2"/>
  <c r="AM103" i="2" s="1"/>
  <c r="AJ103" i="2"/>
  <c r="AN103" i="2" s="1"/>
  <c r="AI103" i="2"/>
  <c r="AK103" i="2" s="1"/>
  <c r="W103" i="2"/>
  <c r="V103" i="2"/>
  <c r="R103" i="2"/>
  <c r="Q103" i="2"/>
  <c r="P103" i="2"/>
  <c r="L103" i="2"/>
  <c r="K103" i="2"/>
  <c r="AP102" i="2"/>
  <c r="AR102" i="2" s="1"/>
  <c r="AI102" i="2"/>
  <c r="AK102" i="2" s="1"/>
  <c r="V102" i="2"/>
  <c r="W102" i="2" s="1"/>
  <c r="R102" i="2"/>
  <c r="Q102" i="2"/>
  <c r="P102" i="2"/>
  <c r="L102" i="2"/>
  <c r="K102" i="2"/>
  <c r="AQ101" i="2"/>
  <c r="AP101" i="2"/>
  <c r="AJ101" i="2"/>
  <c r="AI101" i="2"/>
  <c r="AK101" i="2" s="1"/>
  <c r="V101" i="2"/>
  <c r="W101" i="2" s="1"/>
  <c r="R101" i="2"/>
  <c r="Q101" i="2"/>
  <c r="P101" i="2"/>
  <c r="L101" i="2"/>
  <c r="K101" i="2"/>
  <c r="AP100" i="2"/>
  <c r="AI100" i="2"/>
  <c r="V100" i="2"/>
  <c r="R100" i="2"/>
  <c r="Q100" i="2"/>
  <c r="P100" i="2"/>
  <c r="L100" i="2"/>
  <c r="K100" i="2"/>
  <c r="AS99" i="2"/>
  <c r="AT99" i="2" s="1"/>
  <c r="AP99" i="2"/>
  <c r="AJ99" i="2"/>
  <c r="AI99" i="2"/>
  <c r="AL99" i="2" s="1"/>
  <c r="AM99" i="2" s="1"/>
  <c r="V99" i="2"/>
  <c r="W99" i="2" s="1"/>
  <c r="R99" i="2"/>
  <c r="Q99" i="2"/>
  <c r="P99" i="2"/>
  <c r="L99" i="2"/>
  <c r="K99" i="2"/>
  <c r="AP98" i="2"/>
  <c r="AR98" i="2" s="1"/>
  <c r="AK98" i="2"/>
  <c r="AJ98" i="2"/>
  <c r="AN98" i="2" s="1"/>
  <c r="AI98" i="2"/>
  <c r="AL98" i="2" s="1"/>
  <c r="AM98" i="2" s="1"/>
  <c r="V98" i="2"/>
  <c r="W98" i="2" s="1"/>
  <c r="R98" i="2"/>
  <c r="Q98" i="2"/>
  <c r="P98" i="2"/>
  <c r="L98" i="2"/>
  <c r="K98" i="2"/>
  <c r="AS97" i="2"/>
  <c r="AT97" i="2" s="1"/>
  <c r="AQ97" i="2"/>
  <c r="AU97" i="2" s="1"/>
  <c r="AP97" i="2"/>
  <c r="AR97" i="2" s="1"/>
  <c r="AL97" i="2"/>
  <c r="AM97" i="2" s="1"/>
  <c r="AN97" i="2" s="1"/>
  <c r="AK97" i="2"/>
  <c r="AI97" i="2"/>
  <c r="AJ97" i="2" s="1"/>
  <c r="V97" i="2"/>
  <c r="W97" i="2" s="1"/>
  <c r="R97" i="2"/>
  <c r="Q97" i="2"/>
  <c r="P97" i="2"/>
  <c r="L97" i="2"/>
  <c r="K97" i="2"/>
  <c r="AP96" i="2"/>
  <c r="AQ96" i="2" s="1"/>
  <c r="AL96" i="2"/>
  <c r="AM96" i="2" s="1"/>
  <c r="AK96" i="2"/>
  <c r="AJ96" i="2"/>
  <c r="AN96" i="2" s="1"/>
  <c r="AI96" i="2"/>
  <c r="V96" i="2"/>
  <c r="R96" i="2"/>
  <c r="Q96" i="2"/>
  <c r="P96" i="2"/>
  <c r="L96" i="2"/>
  <c r="K96" i="2"/>
  <c r="AP95" i="2"/>
  <c r="AR95" i="2" s="1"/>
  <c r="AI95" i="2"/>
  <c r="AJ95" i="2" s="1"/>
  <c r="V95" i="2"/>
  <c r="R95" i="2"/>
  <c r="Q95" i="2"/>
  <c r="P95" i="2"/>
  <c r="L95" i="2"/>
  <c r="K95" i="2"/>
  <c r="AQ94" i="2"/>
  <c r="AP94" i="2"/>
  <c r="AS94" i="2" s="1"/>
  <c r="AT94" i="2" s="1"/>
  <c r="AI94" i="2"/>
  <c r="V94" i="2"/>
  <c r="R94" i="2"/>
  <c r="Q94" i="2"/>
  <c r="P94" i="2"/>
  <c r="L94" i="2"/>
  <c r="K94" i="2"/>
  <c r="AS93" i="2"/>
  <c r="AT93" i="2" s="1"/>
  <c r="AP93" i="2"/>
  <c r="AI93" i="2"/>
  <c r="AL93" i="2" s="1"/>
  <c r="AM93" i="2" s="1"/>
  <c r="V93" i="2"/>
  <c r="W93" i="2" s="1"/>
  <c r="R93" i="2"/>
  <c r="Q93" i="2"/>
  <c r="P93" i="2"/>
  <c r="S93" i="2" s="1"/>
  <c r="L93" i="2"/>
  <c r="K93" i="2"/>
  <c r="AQ92" i="2"/>
  <c r="AP92" i="2"/>
  <c r="AR92" i="2" s="1"/>
  <c r="AI92" i="2"/>
  <c r="V92" i="2"/>
  <c r="R92" i="2"/>
  <c r="Q92" i="2"/>
  <c r="P92" i="2"/>
  <c r="L92" i="2"/>
  <c r="K92" i="2"/>
  <c r="AP91" i="2"/>
  <c r="AR91" i="2" s="1"/>
  <c r="AI91" i="2"/>
  <c r="AK91" i="2" s="1"/>
  <c r="V91" i="2"/>
  <c r="R91" i="2"/>
  <c r="Q91" i="2"/>
  <c r="P91" i="2"/>
  <c r="L91" i="2"/>
  <c r="K91" i="2"/>
  <c r="AP90" i="2"/>
  <c r="AQ90" i="2" s="1"/>
  <c r="AI90" i="2"/>
  <c r="AJ90" i="2" s="1"/>
  <c r="W90" i="2"/>
  <c r="V90" i="2"/>
  <c r="R90" i="2"/>
  <c r="Q90" i="2"/>
  <c r="P90" i="2"/>
  <c r="L90" i="2"/>
  <c r="K90" i="2"/>
  <c r="AP89" i="2"/>
  <c r="AQ89" i="2" s="1"/>
  <c r="AM89" i="2"/>
  <c r="AK89" i="2"/>
  <c r="AJ89" i="2"/>
  <c r="AN89" i="2" s="1"/>
  <c r="AI89" i="2"/>
  <c r="AL89" i="2" s="1"/>
  <c r="V89" i="2"/>
  <c r="X89" i="2" s="1"/>
  <c r="R89" i="2"/>
  <c r="Q89" i="2"/>
  <c r="P89" i="2"/>
  <c r="L89" i="2"/>
  <c r="K89" i="2"/>
  <c r="AS88" i="2"/>
  <c r="AT88" i="2" s="1"/>
  <c r="AR88" i="2"/>
  <c r="AQ88" i="2"/>
  <c r="AP88" i="2"/>
  <c r="AL88" i="2"/>
  <c r="AM88" i="2" s="1"/>
  <c r="AI88" i="2"/>
  <c r="W88" i="2"/>
  <c r="V88" i="2"/>
  <c r="R88" i="2"/>
  <c r="Q88" i="2"/>
  <c r="P88" i="2"/>
  <c r="L88" i="2"/>
  <c r="K88" i="2"/>
  <c r="AP87" i="2"/>
  <c r="AQ87" i="2" s="1"/>
  <c r="AI87" i="2"/>
  <c r="V87" i="2"/>
  <c r="W87" i="2" s="1"/>
  <c r="R87" i="2"/>
  <c r="Q87" i="2"/>
  <c r="P87" i="2"/>
  <c r="L87" i="2"/>
  <c r="K87" i="2"/>
  <c r="AS86" i="2"/>
  <c r="AT86" i="2" s="1"/>
  <c r="AP86" i="2"/>
  <c r="AJ86" i="2"/>
  <c r="AI86" i="2"/>
  <c r="AK86" i="2" s="1"/>
  <c r="W86" i="2"/>
  <c r="V86" i="2"/>
  <c r="R86" i="2"/>
  <c r="Q86" i="2"/>
  <c r="P86" i="2"/>
  <c r="L86" i="2"/>
  <c r="K86" i="2"/>
  <c r="AP85" i="2"/>
  <c r="AL85" i="2"/>
  <c r="AM85" i="2" s="1"/>
  <c r="AI85" i="2"/>
  <c r="AJ85" i="2" s="1"/>
  <c r="V85" i="2"/>
  <c r="R85" i="2"/>
  <c r="Q85" i="2"/>
  <c r="P85" i="2"/>
  <c r="L85" i="2"/>
  <c r="K85" i="2"/>
  <c r="AR84" i="2"/>
  <c r="AP84" i="2"/>
  <c r="AL84" i="2"/>
  <c r="AM84" i="2" s="1"/>
  <c r="AK84" i="2"/>
  <c r="AI84" i="2"/>
  <c r="AJ84" i="2" s="1"/>
  <c r="V84" i="2"/>
  <c r="W84" i="2" s="1"/>
  <c r="R84" i="2"/>
  <c r="Q84" i="2"/>
  <c r="P84" i="2"/>
  <c r="L84" i="2"/>
  <c r="K84" i="2"/>
  <c r="AT83" i="2"/>
  <c r="AS83" i="2"/>
  <c r="AR83" i="2"/>
  <c r="AP83" i="2"/>
  <c r="AQ83" i="2" s="1"/>
  <c r="AI83" i="2"/>
  <c r="W83" i="2"/>
  <c r="V83" i="2"/>
  <c r="R83" i="2"/>
  <c r="Q83" i="2"/>
  <c r="P83" i="2"/>
  <c r="L83" i="2"/>
  <c r="K83" i="2"/>
  <c r="AP82" i="2"/>
  <c r="AQ82" i="2" s="1"/>
  <c r="AK82" i="2"/>
  <c r="AI82" i="2"/>
  <c r="W82" i="2"/>
  <c r="V82" i="2"/>
  <c r="X82" i="2" s="1"/>
  <c r="R82" i="2"/>
  <c r="Q82" i="2"/>
  <c r="P82" i="2"/>
  <c r="L82" i="2"/>
  <c r="K82" i="2"/>
  <c r="AP81" i="2"/>
  <c r="AQ81" i="2" s="1"/>
  <c r="AI81" i="2"/>
  <c r="V81" i="2"/>
  <c r="W81" i="2" s="1"/>
  <c r="R81" i="2"/>
  <c r="Q81" i="2"/>
  <c r="P81" i="2"/>
  <c r="L81" i="2"/>
  <c r="K81" i="2"/>
  <c r="AS80" i="2"/>
  <c r="AT80" i="2" s="1"/>
  <c r="AR80" i="2"/>
  <c r="AQ80" i="2"/>
  <c r="AP80" i="2"/>
  <c r="AI80" i="2"/>
  <c r="AJ80" i="2" s="1"/>
  <c r="V80" i="2"/>
  <c r="W80" i="2" s="1"/>
  <c r="R80" i="2"/>
  <c r="Q80" i="2"/>
  <c r="P80" i="2"/>
  <c r="L80" i="2"/>
  <c r="K80" i="2"/>
  <c r="AS79" i="2"/>
  <c r="AT79" i="2" s="1"/>
  <c r="AR79" i="2"/>
  <c r="AQ79" i="2"/>
  <c r="AP79" i="2"/>
  <c r="AL79" i="2"/>
  <c r="AM79" i="2" s="1"/>
  <c r="AJ79" i="2"/>
  <c r="AN79" i="2" s="1"/>
  <c r="AI79" i="2"/>
  <c r="AK79" i="2" s="1"/>
  <c r="V79" i="2"/>
  <c r="W79" i="2" s="1"/>
  <c r="R79" i="2"/>
  <c r="Q79" i="2"/>
  <c r="P79" i="2"/>
  <c r="L79" i="2"/>
  <c r="K79" i="2"/>
  <c r="AQ78" i="2"/>
  <c r="AP78" i="2"/>
  <c r="AS78" i="2" s="1"/>
  <c r="AT78" i="2" s="1"/>
  <c r="AI78" i="2"/>
  <c r="AJ78" i="2" s="1"/>
  <c r="V78" i="2"/>
  <c r="W78" i="2" s="1"/>
  <c r="R78" i="2"/>
  <c r="Q78" i="2"/>
  <c r="P78" i="2"/>
  <c r="L78" i="2"/>
  <c r="K78" i="2"/>
  <c r="AR77" i="2"/>
  <c r="AP77" i="2"/>
  <c r="AL77" i="2"/>
  <c r="AM77" i="2" s="1"/>
  <c r="AJ77" i="2"/>
  <c r="AI77" i="2"/>
  <c r="AK77" i="2" s="1"/>
  <c r="W77" i="2"/>
  <c r="V77" i="2"/>
  <c r="R77" i="2"/>
  <c r="Q77" i="2"/>
  <c r="P77" i="2"/>
  <c r="L77" i="2"/>
  <c r="K77" i="2"/>
  <c r="AS76" i="2"/>
  <c r="AT76" i="2" s="1"/>
  <c r="AP76" i="2"/>
  <c r="AI76" i="2"/>
  <c r="V76" i="2"/>
  <c r="W76" i="2" s="1"/>
  <c r="R76" i="2"/>
  <c r="Q76" i="2"/>
  <c r="P76" i="2"/>
  <c r="L76" i="2"/>
  <c r="K76" i="2"/>
  <c r="AS75" i="2"/>
  <c r="AT75" i="2" s="1"/>
  <c r="AP75" i="2"/>
  <c r="AK75" i="2"/>
  <c r="AI75" i="2"/>
  <c r="AL75" i="2" s="1"/>
  <c r="AM75" i="2" s="1"/>
  <c r="V75" i="2"/>
  <c r="R75" i="2"/>
  <c r="Q75" i="2"/>
  <c r="P75" i="2"/>
  <c r="L75" i="2"/>
  <c r="K75" i="2"/>
  <c r="AP74" i="2"/>
  <c r="AJ74" i="2"/>
  <c r="AI74" i="2"/>
  <c r="AK74" i="2" s="1"/>
  <c r="V74" i="2"/>
  <c r="R74" i="2"/>
  <c r="Q74" i="2"/>
  <c r="P74" i="2"/>
  <c r="L74" i="2"/>
  <c r="K74" i="2"/>
  <c r="AS73" i="2"/>
  <c r="AT73" i="2" s="1"/>
  <c r="AP73" i="2"/>
  <c r="AI73" i="2"/>
  <c r="AJ73" i="2" s="1"/>
  <c r="V73" i="2"/>
  <c r="R73" i="2"/>
  <c r="Q73" i="2"/>
  <c r="P73" i="2"/>
  <c r="L73" i="2"/>
  <c r="K73" i="2"/>
  <c r="AP72" i="2"/>
  <c r="AQ72" i="2" s="1"/>
  <c r="AI72" i="2"/>
  <c r="AJ72" i="2" s="1"/>
  <c r="V72" i="2"/>
  <c r="W72" i="2" s="1"/>
  <c r="R72" i="2"/>
  <c r="Q72" i="2"/>
  <c r="P72" i="2"/>
  <c r="L72" i="2"/>
  <c r="K72" i="2"/>
  <c r="AP71" i="2"/>
  <c r="AI71" i="2"/>
  <c r="AL71" i="2" s="1"/>
  <c r="AM71" i="2" s="1"/>
  <c r="V71" i="2"/>
  <c r="R71" i="2"/>
  <c r="Q71" i="2"/>
  <c r="P71" i="2"/>
  <c r="L71" i="2"/>
  <c r="K71" i="2"/>
  <c r="AU70" i="2"/>
  <c r="AS70" i="2"/>
  <c r="AT70" i="2" s="1"/>
  <c r="AR70" i="2"/>
  <c r="AQ70" i="2"/>
  <c r="AP70" i="2"/>
  <c r="AL70" i="2"/>
  <c r="AM70" i="2" s="1"/>
  <c r="AI70" i="2"/>
  <c r="AJ70" i="2" s="1"/>
  <c r="V70" i="2"/>
  <c r="W70" i="2" s="1"/>
  <c r="R70" i="2"/>
  <c r="Q70" i="2"/>
  <c r="P70" i="2"/>
  <c r="L70" i="2"/>
  <c r="K70" i="2"/>
  <c r="AP69" i="2"/>
  <c r="AS69" i="2" s="1"/>
  <c r="AT69" i="2" s="1"/>
  <c r="AI69" i="2"/>
  <c r="AK69" i="2" s="1"/>
  <c r="V69" i="2"/>
  <c r="W69" i="2" s="1"/>
  <c r="R69" i="2"/>
  <c r="Q69" i="2"/>
  <c r="P69" i="2"/>
  <c r="L69" i="2"/>
  <c r="K69" i="2"/>
  <c r="AP68" i="2"/>
  <c r="AL68" i="2"/>
  <c r="AM68" i="2" s="1"/>
  <c r="AI68" i="2"/>
  <c r="W68" i="2"/>
  <c r="V68" i="2"/>
  <c r="R68" i="2"/>
  <c r="Q68" i="2"/>
  <c r="P68" i="2"/>
  <c r="S68" i="2" s="1"/>
  <c r="L68" i="2"/>
  <c r="K68" i="2"/>
  <c r="AS67" i="2"/>
  <c r="AT67" i="2" s="1"/>
  <c r="AR67" i="2"/>
  <c r="AP67" i="2"/>
  <c r="AQ67" i="2" s="1"/>
  <c r="AI67" i="2"/>
  <c r="V67" i="2"/>
  <c r="R67" i="2"/>
  <c r="Q67" i="2"/>
  <c r="P67" i="2"/>
  <c r="L67" i="2"/>
  <c r="K67" i="2"/>
  <c r="AP66" i="2"/>
  <c r="AR66" i="2" s="1"/>
  <c r="AL66" i="2"/>
  <c r="AM66" i="2" s="1"/>
  <c r="AJ66" i="2"/>
  <c r="AN66" i="2" s="1"/>
  <c r="AI66" i="2"/>
  <c r="AK66" i="2" s="1"/>
  <c r="V66" i="2"/>
  <c r="W66" i="2" s="1"/>
  <c r="R66" i="2"/>
  <c r="Q66" i="2"/>
  <c r="P66" i="2"/>
  <c r="L66" i="2"/>
  <c r="K66" i="2"/>
  <c r="AP65" i="2"/>
  <c r="AR65" i="2" s="1"/>
  <c r="AI65" i="2"/>
  <c r="AL65" i="2" s="1"/>
  <c r="AM65" i="2" s="1"/>
  <c r="V65" i="2"/>
  <c r="R65" i="2"/>
  <c r="Q65" i="2"/>
  <c r="P65" i="2"/>
  <c r="S65" i="2" s="1"/>
  <c r="L65" i="2"/>
  <c r="K65" i="2"/>
  <c r="AQ64" i="2"/>
  <c r="AP64" i="2"/>
  <c r="AL64" i="2"/>
  <c r="AM64" i="2" s="1"/>
  <c r="AI64" i="2"/>
  <c r="AJ64" i="2" s="1"/>
  <c r="V64" i="2"/>
  <c r="W64" i="2" s="1"/>
  <c r="R64" i="2"/>
  <c r="Q64" i="2"/>
  <c r="P64" i="2"/>
  <c r="L64" i="2"/>
  <c r="K64" i="2"/>
  <c r="AP63" i="2"/>
  <c r="AR63" i="2" s="1"/>
  <c r="AI63" i="2"/>
  <c r="AJ63" i="2" s="1"/>
  <c r="V63" i="2"/>
  <c r="W63" i="2" s="1"/>
  <c r="R63" i="2"/>
  <c r="Q63" i="2"/>
  <c r="P63" i="2"/>
  <c r="L63" i="2"/>
  <c r="K63" i="2"/>
  <c r="AP62" i="2"/>
  <c r="AS62" i="2" s="1"/>
  <c r="AT62" i="2" s="1"/>
  <c r="AI62" i="2"/>
  <c r="V62" i="2"/>
  <c r="W62" i="2" s="1"/>
  <c r="R62" i="2"/>
  <c r="Q62" i="2"/>
  <c r="P62" i="2"/>
  <c r="L62" i="2"/>
  <c r="K62" i="2"/>
  <c r="AP61" i="2"/>
  <c r="AL61" i="2"/>
  <c r="AM61" i="2" s="1"/>
  <c r="AJ61" i="2"/>
  <c r="AI61" i="2"/>
  <c r="AK61" i="2" s="1"/>
  <c r="V61" i="2"/>
  <c r="X61" i="2" s="1"/>
  <c r="R61" i="2"/>
  <c r="Q61" i="2"/>
  <c r="P61" i="2"/>
  <c r="L61" i="2"/>
  <c r="K61" i="2"/>
  <c r="AP60" i="2"/>
  <c r="AR60" i="2" s="1"/>
  <c r="AL60" i="2"/>
  <c r="AM60" i="2" s="1"/>
  <c r="AI60" i="2"/>
  <c r="AJ60" i="2" s="1"/>
  <c r="V60" i="2"/>
  <c r="W60" i="2" s="1"/>
  <c r="R60" i="2"/>
  <c r="Q60" i="2"/>
  <c r="P60" i="2"/>
  <c r="L60" i="2"/>
  <c r="K60" i="2"/>
  <c r="AP59" i="2"/>
  <c r="AI59" i="2"/>
  <c r="V59" i="2"/>
  <c r="R59" i="2"/>
  <c r="Q59" i="2"/>
  <c r="P59" i="2"/>
  <c r="L59" i="2"/>
  <c r="K59" i="2"/>
  <c r="AP58" i="2"/>
  <c r="AK58" i="2"/>
  <c r="AI58" i="2"/>
  <c r="V58" i="2"/>
  <c r="R58" i="2"/>
  <c r="Q58" i="2"/>
  <c r="P58" i="2"/>
  <c r="L58" i="2"/>
  <c r="K58" i="2"/>
  <c r="AS57" i="2"/>
  <c r="AT57" i="2" s="1"/>
  <c r="AR57" i="2"/>
  <c r="AQ57" i="2"/>
  <c r="AU57" i="2" s="1"/>
  <c r="AP57" i="2"/>
  <c r="AI57" i="2"/>
  <c r="W57" i="2"/>
  <c r="V57" i="2"/>
  <c r="X57" i="2" s="1"/>
  <c r="R57" i="2"/>
  <c r="Q57" i="2"/>
  <c r="P57" i="2"/>
  <c r="L57" i="2"/>
  <c r="K57" i="2"/>
  <c r="AP56" i="2"/>
  <c r="AR56" i="2" s="1"/>
  <c r="AI56" i="2"/>
  <c r="AL56" i="2" s="1"/>
  <c r="AM56" i="2" s="1"/>
  <c r="V56" i="2"/>
  <c r="W56" i="2" s="1"/>
  <c r="R56" i="2"/>
  <c r="Q56" i="2"/>
  <c r="P56" i="2"/>
  <c r="L56" i="2"/>
  <c r="K56" i="2"/>
  <c r="AS55" i="2"/>
  <c r="AT55" i="2" s="1"/>
  <c r="AR55" i="2"/>
  <c r="AQ55" i="2"/>
  <c r="AP55" i="2"/>
  <c r="AL55" i="2"/>
  <c r="AM55" i="2" s="1"/>
  <c r="AI55" i="2"/>
  <c r="AK55" i="2" s="1"/>
  <c r="W55" i="2"/>
  <c r="V55" i="2"/>
  <c r="R55" i="2"/>
  <c r="Q55" i="2"/>
  <c r="P55" i="2"/>
  <c r="S55" i="2" s="1"/>
  <c r="L55" i="2"/>
  <c r="K55" i="2"/>
  <c r="AS54" i="2"/>
  <c r="AT54" i="2" s="1"/>
  <c r="AP54" i="2"/>
  <c r="AR54" i="2" s="1"/>
  <c r="AI54" i="2"/>
  <c r="AL54" i="2" s="1"/>
  <c r="AM54" i="2" s="1"/>
  <c r="V54" i="2"/>
  <c r="W54" i="2" s="1"/>
  <c r="R54" i="2"/>
  <c r="Q54" i="2"/>
  <c r="P54" i="2"/>
  <c r="L54" i="2"/>
  <c r="K54" i="2"/>
  <c r="AP53" i="2"/>
  <c r="AR53" i="2" s="1"/>
  <c r="AI53" i="2"/>
  <c r="V53" i="2"/>
  <c r="W53" i="2" s="1"/>
  <c r="R53" i="2"/>
  <c r="Q53" i="2"/>
  <c r="P53" i="2"/>
  <c r="L53" i="2"/>
  <c r="K53" i="2"/>
  <c r="AP52" i="2"/>
  <c r="AI52" i="2"/>
  <c r="V52" i="2"/>
  <c r="R52" i="2"/>
  <c r="Q52" i="2"/>
  <c r="P52" i="2"/>
  <c r="L52" i="2"/>
  <c r="K52" i="2"/>
  <c r="AR51" i="2"/>
  <c r="AP51" i="2"/>
  <c r="AI51" i="2"/>
  <c r="AK51" i="2" s="1"/>
  <c r="V51" i="2"/>
  <c r="W51" i="2" s="1"/>
  <c r="R51" i="2"/>
  <c r="Q51" i="2"/>
  <c r="P51" i="2"/>
  <c r="M51" i="2"/>
  <c r="L51" i="2"/>
  <c r="K51" i="2"/>
  <c r="AS50" i="2"/>
  <c r="AT50" i="2" s="1"/>
  <c r="AP50" i="2"/>
  <c r="AR50" i="2" s="1"/>
  <c r="AI50" i="2"/>
  <c r="AL50" i="2" s="1"/>
  <c r="AM50" i="2" s="1"/>
  <c r="W50" i="2"/>
  <c r="V50" i="2"/>
  <c r="R50" i="2"/>
  <c r="Q50" i="2"/>
  <c r="P50" i="2"/>
  <c r="S50" i="2" s="1"/>
  <c r="L50" i="2"/>
  <c r="K50" i="2"/>
  <c r="AP49" i="2"/>
  <c r="AI49" i="2"/>
  <c r="V49" i="2"/>
  <c r="W49" i="2" s="1"/>
  <c r="R49" i="2"/>
  <c r="Q49" i="2"/>
  <c r="P49" i="2"/>
  <c r="L49" i="2"/>
  <c r="K49" i="2"/>
  <c r="AR48" i="2"/>
  <c r="AP48" i="2"/>
  <c r="AS48" i="2" s="1"/>
  <c r="AT48" i="2" s="1"/>
  <c r="AI48" i="2"/>
  <c r="AL48" i="2" s="1"/>
  <c r="AM48" i="2" s="1"/>
  <c r="V48" i="2"/>
  <c r="R48" i="2"/>
  <c r="Q48" i="2"/>
  <c r="P48" i="2"/>
  <c r="L48" i="2"/>
  <c r="AQ47" i="2"/>
  <c r="AP47" i="2"/>
  <c r="AI47" i="2"/>
  <c r="AJ47" i="2" s="1"/>
  <c r="W47" i="2"/>
  <c r="V47" i="2"/>
  <c r="R47" i="2"/>
  <c r="Q47" i="2"/>
  <c r="P47" i="2"/>
  <c r="L47" i="2"/>
  <c r="K47" i="2"/>
  <c r="AR46" i="2"/>
  <c r="AP46" i="2"/>
  <c r="AQ46" i="2" s="1"/>
  <c r="AL46" i="2"/>
  <c r="AM46" i="2" s="1"/>
  <c r="AJ46" i="2"/>
  <c r="AI46" i="2"/>
  <c r="AK46" i="2" s="1"/>
  <c r="W46" i="2"/>
  <c r="V46" i="2"/>
  <c r="R46" i="2"/>
  <c r="Q46" i="2"/>
  <c r="P46" i="2"/>
  <c r="L46" i="2"/>
  <c r="K46" i="2"/>
  <c r="AS45" i="2"/>
  <c r="AT45" i="2" s="1"/>
  <c r="AR45" i="2"/>
  <c r="AQ45" i="2"/>
  <c r="AP45" i="2"/>
  <c r="AL45" i="2"/>
  <c r="AM45" i="2" s="1"/>
  <c r="AI45" i="2"/>
  <c r="AJ45" i="2" s="1"/>
  <c r="W45" i="2"/>
  <c r="V45" i="2"/>
  <c r="R45" i="2"/>
  <c r="Q45" i="2"/>
  <c r="P45" i="2"/>
  <c r="L45" i="2"/>
  <c r="K45" i="2"/>
  <c r="AP44" i="2"/>
  <c r="AQ44" i="2" s="1"/>
  <c r="AI44" i="2"/>
  <c r="V44" i="2"/>
  <c r="R44" i="2"/>
  <c r="Q44" i="2"/>
  <c r="P44" i="2"/>
  <c r="L44" i="2"/>
  <c r="K44" i="2"/>
  <c r="AP43" i="2"/>
  <c r="AR43" i="2" s="1"/>
  <c r="AL43" i="2"/>
  <c r="AM43" i="2" s="1"/>
  <c r="AI43" i="2"/>
  <c r="AK43" i="2" s="1"/>
  <c r="W43" i="2"/>
  <c r="V43" i="2"/>
  <c r="R43" i="2"/>
  <c r="Q43" i="2"/>
  <c r="P43" i="2"/>
  <c r="L43" i="2"/>
  <c r="K43" i="2"/>
  <c r="AP42" i="2"/>
  <c r="AR42" i="2" s="1"/>
  <c r="AI42" i="2"/>
  <c r="AL42" i="2" s="1"/>
  <c r="AM42" i="2" s="1"/>
  <c r="W42" i="2"/>
  <c r="V42" i="2"/>
  <c r="R42" i="2"/>
  <c r="Q42" i="2"/>
  <c r="P42" i="2"/>
  <c r="S42" i="2" s="1"/>
  <c r="L42" i="2"/>
  <c r="K42" i="2"/>
  <c r="AR41" i="2"/>
  <c r="AQ41" i="2"/>
  <c r="AU41" i="2" s="1"/>
  <c r="AP41" i="2"/>
  <c r="AS41" i="2" s="1"/>
  <c r="AT41" i="2" s="1"/>
  <c r="AI41" i="2"/>
  <c r="AL41" i="2" s="1"/>
  <c r="AM41" i="2" s="1"/>
  <c r="V41" i="2"/>
  <c r="W41" i="2" s="1"/>
  <c r="R41" i="2"/>
  <c r="Q41" i="2"/>
  <c r="P41" i="2"/>
  <c r="L41" i="2"/>
  <c r="K41" i="2"/>
  <c r="AR40" i="2"/>
  <c r="AP40" i="2"/>
  <c r="AS40" i="2" s="1"/>
  <c r="AT40" i="2" s="1"/>
  <c r="AL40" i="2"/>
  <c r="AM40" i="2" s="1"/>
  <c r="AK40" i="2"/>
  <c r="AI40" i="2"/>
  <c r="AJ40" i="2" s="1"/>
  <c r="W40" i="2"/>
  <c r="V40" i="2"/>
  <c r="R40" i="2"/>
  <c r="Q40" i="2"/>
  <c r="P40" i="2"/>
  <c r="L40" i="2"/>
  <c r="K40" i="2"/>
  <c r="AP39" i="2"/>
  <c r="AS39" i="2" s="1"/>
  <c r="AT39" i="2" s="1"/>
  <c r="AK39" i="2"/>
  <c r="AI39" i="2"/>
  <c r="AJ39" i="2" s="1"/>
  <c r="V39" i="2"/>
  <c r="W39" i="2" s="1"/>
  <c r="R39" i="2"/>
  <c r="Q39" i="2"/>
  <c r="P39" i="2"/>
  <c r="L39" i="2"/>
  <c r="K39" i="2"/>
  <c r="AR38" i="2"/>
  <c r="AP38" i="2"/>
  <c r="AQ38" i="2" s="1"/>
  <c r="AI38" i="2"/>
  <c r="AL38" i="2" s="1"/>
  <c r="AM38" i="2" s="1"/>
  <c r="V38" i="2"/>
  <c r="X38" i="2" s="1"/>
  <c r="R38" i="2"/>
  <c r="Q38" i="2"/>
  <c r="P38" i="2"/>
  <c r="L38" i="2"/>
  <c r="K38" i="2"/>
  <c r="AS37" i="2"/>
  <c r="AT37" i="2" s="1"/>
  <c r="AR37" i="2"/>
  <c r="AQ37" i="2"/>
  <c r="AP37" i="2"/>
  <c r="AL37" i="2"/>
  <c r="AM37" i="2" s="1"/>
  <c r="AI37" i="2"/>
  <c r="V37" i="2"/>
  <c r="W37" i="2" s="1"/>
  <c r="R37" i="2"/>
  <c r="Q37" i="2"/>
  <c r="P37" i="2"/>
  <c r="L37" i="2"/>
  <c r="K37" i="2"/>
  <c r="AP36" i="2"/>
  <c r="AQ36" i="2" s="1"/>
  <c r="AI36" i="2"/>
  <c r="V36" i="2"/>
  <c r="R36" i="2"/>
  <c r="Q36" i="2"/>
  <c r="P36" i="2"/>
  <c r="L36" i="2"/>
  <c r="K36" i="2"/>
  <c r="AP35" i="2"/>
  <c r="AR35" i="2" s="1"/>
  <c r="AI35" i="2"/>
  <c r="AK35" i="2" s="1"/>
  <c r="V35" i="2"/>
  <c r="W35" i="2" s="1"/>
  <c r="R35" i="2"/>
  <c r="Q35" i="2"/>
  <c r="P35" i="2"/>
  <c r="L35" i="2"/>
  <c r="K35" i="2"/>
  <c r="AQ34" i="2"/>
  <c r="AP34" i="2"/>
  <c r="AR34" i="2" s="1"/>
  <c r="AM34" i="2"/>
  <c r="AI34" i="2"/>
  <c r="AL34" i="2" s="1"/>
  <c r="W34" i="2"/>
  <c r="V34" i="2"/>
  <c r="R34" i="2"/>
  <c r="Q34" i="2"/>
  <c r="P34" i="2"/>
  <c r="S34" i="2" s="1"/>
  <c r="L34" i="2"/>
  <c r="K34" i="2"/>
  <c r="AP33" i="2"/>
  <c r="AS33" i="2" s="1"/>
  <c r="AT33" i="2" s="1"/>
  <c r="AI33" i="2"/>
  <c r="V33" i="2"/>
  <c r="W33" i="2" s="1"/>
  <c r="R33" i="2"/>
  <c r="Q33" i="2"/>
  <c r="P33" i="2"/>
  <c r="L33" i="2"/>
  <c r="K33" i="2"/>
  <c r="AP32" i="2"/>
  <c r="AI32" i="2"/>
  <c r="AL32" i="2" s="1"/>
  <c r="AM32" i="2" s="1"/>
  <c r="V32" i="2"/>
  <c r="W32" i="2" s="1"/>
  <c r="R32" i="2"/>
  <c r="Q32" i="2"/>
  <c r="P32" i="2"/>
  <c r="L32" i="2"/>
  <c r="K32" i="2"/>
  <c r="AP31" i="2"/>
  <c r="AL31" i="2"/>
  <c r="AM31" i="2" s="1"/>
  <c r="AI31" i="2"/>
  <c r="AJ31" i="2" s="1"/>
  <c r="W31" i="2"/>
  <c r="V31" i="2"/>
  <c r="R31" i="2"/>
  <c r="Q31" i="2"/>
  <c r="P31" i="2"/>
  <c r="L31" i="2"/>
  <c r="K31" i="2"/>
  <c r="AP30" i="2"/>
  <c r="AQ30" i="2" s="1"/>
  <c r="AK30" i="2"/>
  <c r="AJ30" i="2"/>
  <c r="AI30" i="2"/>
  <c r="AL30" i="2" s="1"/>
  <c r="AM30" i="2" s="1"/>
  <c r="W30" i="2"/>
  <c r="V30" i="2"/>
  <c r="R30" i="2"/>
  <c r="Q30" i="2"/>
  <c r="P30" i="2"/>
  <c r="L30" i="2"/>
  <c r="K30" i="2"/>
  <c r="AP29" i="2"/>
  <c r="AL29" i="2"/>
  <c r="AM29" i="2" s="1"/>
  <c r="AK29" i="2"/>
  <c r="AI29" i="2"/>
  <c r="AJ29" i="2" s="1"/>
  <c r="W29" i="2"/>
  <c r="V29" i="2"/>
  <c r="R29" i="2"/>
  <c r="Q29" i="2"/>
  <c r="P29" i="2"/>
  <c r="L29" i="2"/>
  <c r="K29" i="2"/>
  <c r="AP28" i="2"/>
  <c r="AQ28" i="2" s="1"/>
  <c r="AI28" i="2"/>
  <c r="V28" i="2"/>
  <c r="R28" i="2"/>
  <c r="Q28" i="2"/>
  <c r="P28" i="2"/>
  <c r="L28" i="2"/>
  <c r="K28" i="2"/>
  <c r="AP27" i="2"/>
  <c r="AI27" i="2"/>
  <c r="V27" i="2"/>
  <c r="W27" i="2" s="1"/>
  <c r="R27" i="2"/>
  <c r="Q27" i="2"/>
  <c r="P27" i="2"/>
  <c r="M27" i="2"/>
  <c r="L27" i="2"/>
  <c r="K27" i="2"/>
  <c r="AP26" i="2"/>
  <c r="AR26" i="2" s="1"/>
  <c r="AI26" i="2"/>
  <c r="AL26" i="2" s="1"/>
  <c r="AM26" i="2" s="1"/>
  <c r="V26" i="2"/>
  <c r="W26" i="2" s="1"/>
  <c r="R26" i="2"/>
  <c r="Q26" i="2"/>
  <c r="P26" i="2"/>
  <c r="L26" i="2"/>
  <c r="K26" i="2"/>
  <c r="AP25" i="2"/>
  <c r="AS25" i="2" s="1"/>
  <c r="AT25" i="2" s="1"/>
  <c r="AI25" i="2"/>
  <c r="V25" i="2"/>
  <c r="W25" i="2" s="1"/>
  <c r="R25" i="2"/>
  <c r="Q25" i="2"/>
  <c r="S14" i="2" s="1"/>
  <c r="P25" i="2"/>
  <c r="L25" i="2"/>
  <c r="K25" i="2"/>
  <c r="AP24" i="2"/>
  <c r="AR24" i="2" s="1"/>
  <c r="AK24" i="2"/>
  <c r="AJ24" i="2"/>
  <c r="AI24" i="2"/>
  <c r="AL24" i="2" s="1"/>
  <c r="AM24" i="2" s="1"/>
  <c r="V24" i="2"/>
  <c r="R24" i="2"/>
  <c r="Q24" i="2"/>
  <c r="P24" i="2"/>
  <c r="L24" i="2"/>
  <c r="K24" i="2"/>
  <c r="AP23" i="2"/>
  <c r="AS23" i="2" s="1"/>
  <c r="AT23" i="2" s="1"/>
  <c r="AI23" i="2"/>
  <c r="AJ23" i="2" s="1"/>
  <c r="V23" i="2"/>
  <c r="W23" i="2" s="1"/>
  <c r="R23" i="2"/>
  <c r="Q23" i="2"/>
  <c r="P23" i="2"/>
  <c r="L23" i="2"/>
  <c r="K23" i="2"/>
  <c r="AP22" i="2"/>
  <c r="AQ22" i="2" s="1"/>
  <c r="AJ22" i="2"/>
  <c r="AI22" i="2"/>
  <c r="V22" i="2"/>
  <c r="W22" i="2" s="1"/>
  <c r="R22" i="2"/>
  <c r="Q22" i="2"/>
  <c r="P22" i="2"/>
  <c r="S22" i="2" s="1"/>
  <c r="L22" i="2"/>
  <c r="K22" i="2"/>
  <c r="AQ21" i="2"/>
  <c r="AP21" i="2"/>
  <c r="AL21" i="2"/>
  <c r="AM21" i="2" s="1"/>
  <c r="AI21" i="2"/>
  <c r="AJ21" i="2" s="1"/>
  <c r="W21" i="2"/>
  <c r="V21" i="2"/>
  <c r="R21" i="2"/>
  <c r="Q21" i="2"/>
  <c r="P21" i="2"/>
  <c r="L21" i="2"/>
  <c r="K21" i="2"/>
  <c r="AR20" i="2"/>
  <c r="AP20" i="2"/>
  <c r="AQ20" i="2" s="1"/>
  <c r="AI20" i="2"/>
  <c r="V20" i="2"/>
  <c r="R20" i="2"/>
  <c r="Q20" i="2"/>
  <c r="P20" i="2"/>
  <c r="L20" i="2"/>
  <c r="K20" i="2"/>
  <c r="M15" i="2" s="1"/>
  <c r="AS19" i="2"/>
  <c r="AT19" i="2" s="1"/>
  <c r="AR19" i="2"/>
  <c r="AP19" i="2"/>
  <c r="AQ19" i="2" s="1"/>
  <c r="AJ19" i="2"/>
  <c r="AI19" i="2"/>
  <c r="AK19" i="2" s="1"/>
  <c r="V19" i="2"/>
  <c r="W19" i="2" s="1"/>
  <c r="R19" i="2"/>
  <c r="Q19" i="2"/>
  <c r="P19" i="2"/>
  <c r="S19" i="2" s="1"/>
  <c r="L19" i="2"/>
  <c r="K19" i="2"/>
  <c r="AT18" i="2"/>
  <c r="AS18" i="2"/>
  <c r="AQ18" i="2"/>
  <c r="AU18" i="2" s="1"/>
  <c r="AP18" i="2"/>
  <c r="AR18" i="2" s="1"/>
  <c r="AK18" i="2"/>
  <c r="AJ18" i="2"/>
  <c r="AN18" i="2" s="1"/>
  <c r="AI18" i="2"/>
  <c r="AL18" i="2" s="1"/>
  <c r="AM18" i="2" s="1"/>
  <c r="W18" i="2"/>
  <c r="V18" i="2"/>
  <c r="S18" i="2"/>
  <c r="R18" i="2"/>
  <c r="Q18" i="2"/>
  <c r="P18" i="2"/>
  <c r="L18" i="2"/>
  <c r="K18" i="2"/>
  <c r="AP17" i="2"/>
  <c r="AS17" i="2" s="1"/>
  <c r="AT17" i="2" s="1"/>
  <c r="AI17" i="2"/>
  <c r="V17" i="2"/>
  <c r="W17" i="2" s="1"/>
  <c r="R17" i="2"/>
  <c r="Q17" i="2"/>
  <c r="P17" i="2"/>
  <c r="L17" i="2"/>
  <c r="K17" i="2"/>
  <c r="AP16" i="2"/>
  <c r="AI16" i="2"/>
  <c r="AL16" i="2" s="1"/>
  <c r="AM16" i="2" s="1"/>
  <c r="V16" i="2"/>
  <c r="R16" i="2"/>
  <c r="Q16" i="2"/>
  <c r="P16" i="2"/>
  <c r="S16" i="2" s="1"/>
  <c r="L16" i="2"/>
  <c r="K16" i="2"/>
  <c r="AP15" i="2"/>
  <c r="AR15" i="2" s="1"/>
  <c r="AL15" i="2"/>
  <c r="AM15" i="2" s="1"/>
  <c r="AJ15" i="2"/>
  <c r="AI15" i="2"/>
  <c r="AK15" i="2" s="1"/>
  <c r="V15" i="2"/>
  <c r="W15" i="2" s="1"/>
  <c r="R15" i="2"/>
  <c r="Q15" i="2"/>
  <c r="P15" i="2"/>
  <c r="S15" i="2" s="1"/>
  <c r="L15" i="2"/>
  <c r="K15" i="2"/>
  <c r="AP14" i="2"/>
  <c r="AI14" i="2"/>
  <c r="AL14" i="2" s="1"/>
  <c r="AM14" i="2" s="1"/>
  <c r="V14" i="2"/>
  <c r="X14" i="2" s="1"/>
  <c r="R14" i="2"/>
  <c r="Q14" i="2"/>
  <c r="P14" i="2"/>
  <c r="L14" i="2"/>
  <c r="K14" i="2"/>
  <c r="AR13" i="2"/>
  <c r="AP13" i="2"/>
  <c r="AS13" i="2" s="1"/>
  <c r="AT13" i="2" s="1"/>
  <c r="AI13" i="2"/>
  <c r="AJ13" i="2" s="1"/>
  <c r="V13" i="2"/>
  <c r="X13" i="2" s="1"/>
  <c r="R13" i="2"/>
  <c r="Q13" i="2"/>
  <c r="P13" i="2"/>
  <c r="L13" i="2"/>
  <c r="K13" i="2"/>
  <c r="AP12" i="2"/>
  <c r="AQ12" i="2" s="1"/>
  <c r="AI12" i="2"/>
  <c r="AL12" i="2" s="1"/>
  <c r="AM12" i="2" s="1"/>
  <c r="V12" i="2"/>
  <c r="R12" i="2"/>
  <c r="Q12" i="2"/>
  <c r="P12" i="2"/>
  <c r="S12" i="2" s="1"/>
  <c r="L12" i="2"/>
  <c r="K12" i="2"/>
  <c r="AT11" i="2"/>
  <c r="AU11" i="2" s="1"/>
  <c r="AS11" i="2"/>
  <c r="AR11" i="2"/>
  <c r="AQ11" i="2"/>
  <c r="AP11" i="2"/>
  <c r="AI11" i="2"/>
  <c r="AL11" i="2" s="1"/>
  <c r="AM11" i="2" s="1"/>
  <c r="V11" i="2"/>
  <c r="W11" i="2" s="1"/>
  <c r="R11" i="2"/>
  <c r="Q11" i="2"/>
  <c r="P11" i="2"/>
  <c r="S11" i="2" s="1"/>
  <c r="L11" i="2"/>
  <c r="K11" i="2"/>
  <c r="AS10" i="2"/>
  <c r="AT10" i="2" s="1"/>
  <c r="AP10" i="2"/>
  <c r="AR10" i="2" s="1"/>
  <c r="AK10" i="2"/>
  <c r="AI10" i="2"/>
  <c r="AL10" i="2" s="1"/>
  <c r="AM10" i="2" s="1"/>
  <c r="V10" i="2"/>
  <c r="X10" i="2" s="1"/>
  <c r="R10" i="2"/>
  <c r="P10" i="2"/>
  <c r="M10" i="2"/>
  <c r="L10" i="2"/>
  <c r="K10" i="2"/>
  <c r="AP9" i="2"/>
  <c r="AQ9" i="2" s="1"/>
  <c r="AI9" i="2"/>
  <c r="W9" i="2"/>
  <c r="V9" i="2"/>
  <c r="R9" i="2"/>
  <c r="P9" i="2"/>
  <c r="L9" i="2"/>
  <c r="K9" i="2"/>
  <c r="AP8" i="2"/>
  <c r="AQ8" i="2" s="1"/>
  <c r="AL8" i="2"/>
  <c r="AM8" i="2" s="1"/>
  <c r="AK8" i="2"/>
  <c r="AJ8" i="2"/>
  <c r="AI8" i="2"/>
  <c r="W8" i="2"/>
  <c r="V8" i="2"/>
  <c r="R8" i="2"/>
  <c r="P8" i="2"/>
  <c r="L8" i="2"/>
  <c r="K8" i="2"/>
  <c r="AP7" i="2"/>
  <c r="AS7" i="2" s="1"/>
  <c r="AT7" i="2" s="1"/>
  <c r="AL7" i="2"/>
  <c r="AM7" i="2" s="1"/>
  <c r="AK7" i="2"/>
  <c r="AI7" i="2"/>
  <c r="AJ7" i="2" s="1"/>
  <c r="V7" i="2"/>
  <c r="W7" i="2" s="1"/>
  <c r="R7" i="2"/>
  <c r="Q7" i="2"/>
  <c r="P7" i="2"/>
  <c r="S7" i="2" s="1"/>
  <c r="L7" i="2"/>
  <c r="K7" i="2"/>
  <c r="AP6" i="2"/>
  <c r="AM6" i="2"/>
  <c r="AI6" i="2"/>
  <c r="AL6" i="2" s="1"/>
  <c r="W6" i="2"/>
  <c r="V6" i="2"/>
  <c r="R6" i="2"/>
  <c r="Q6" i="2"/>
  <c r="P6" i="2"/>
  <c r="L6" i="2"/>
  <c r="K6" i="2"/>
  <c r="AR5" i="2"/>
  <c r="AQ5" i="2"/>
  <c r="AP5" i="2"/>
  <c r="AS5" i="2" s="1"/>
  <c r="AT5" i="2" s="1"/>
  <c r="AU5" i="2" s="1"/>
  <c r="AK5" i="2"/>
  <c r="AI5" i="2"/>
  <c r="AJ5" i="2" s="1"/>
  <c r="X5" i="2"/>
  <c r="V5" i="2"/>
  <c r="W5" i="2" s="1"/>
  <c r="R5" i="2"/>
  <c r="Q5" i="2"/>
  <c r="P5" i="2"/>
  <c r="L5" i="2"/>
  <c r="K5" i="2"/>
  <c r="AP4" i="2"/>
  <c r="AQ4" i="2" s="1"/>
  <c r="AI4" i="2"/>
  <c r="AL4" i="2" s="1"/>
  <c r="AM4" i="2" s="1"/>
  <c r="V4" i="2"/>
  <c r="W4" i="2" s="1"/>
  <c r="R4" i="2"/>
  <c r="S46" i="2"/>
  <c r="P4" i="2"/>
  <c r="S4" i="2" s="1"/>
  <c r="L4" i="2"/>
  <c r="K4" i="2"/>
  <c r="AP3" i="2"/>
  <c r="AR3" i="2" s="1"/>
  <c r="AI3" i="2"/>
  <c r="AL3" i="2" s="1"/>
  <c r="AM3" i="2" s="1"/>
  <c r="V3" i="2"/>
  <c r="X3" i="2" s="1"/>
  <c r="R3" i="2"/>
  <c r="P3" i="2"/>
  <c r="X22" i="2" s="1"/>
  <c r="L3" i="2"/>
  <c r="K3" i="2"/>
  <c r="AP2" i="2"/>
  <c r="AS2" i="2" s="1"/>
  <c r="AT2" i="2" s="1"/>
  <c r="AI2" i="2"/>
  <c r="AL2" i="2" s="1"/>
  <c r="AM2" i="2" s="1"/>
  <c r="V2" i="2"/>
  <c r="W2" i="2" s="1"/>
  <c r="R2" i="2"/>
  <c r="S49" i="2" s="1"/>
  <c r="Q2" i="2"/>
  <c r="S40" i="2" s="1"/>
  <c r="P2" i="2"/>
  <c r="L2" i="2"/>
  <c r="K2" i="2"/>
  <c r="M106" i="2" s="1"/>
  <c r="AS129" i="2" l="1"/>
  <c r="AT129" i="2" s="1"/>
  <c r="AQ129" i="2"/>
  <c r="AJ180" i="2"/>
  <c r="AK180" i="2"/>
  <c r="AS189" i="2"/>
  <c r="AT189" i="2" s="1"/>
  <c r="AQ189" i="2"/>
  <c r="AU189" i="2" s="1"/>
  <c r="AJ4" i="2"/>
  <c r="AN4" i="2" s="1"/>
  <c r="AL5" i="2"/>
  <c r="AM5" i="2" s="1"/>
  <c r="AN5" i="2" s="1"/>
  <c r="AS6" i="2"/>
  <c r="AT6" i="2" s="1"/>
  <c r="AR6" i="2"/>
  <c r="AS21" i="2"/>
  <c r="AT21" i="2" s="1"/>
  <c r="AR21" i="2"/>
  <c r="AN29" i="2"/>
  <c r="AL39" i="2"/>
  <c r="AM39" i="2" s="1"/>
  <c r="AQ60" i="2"/>
  <c r="AK72" i="2"/>
  <c r="AJ82" i="2"/>
  <c r="AL82" i="2"/>
  <c r="AM82" i="2" s="1"/>
  <c r="AQ98" i="2"/>
  <c r="AS107" i="2"/>
  <c r="AT107" i="2" s="1"/>
  <c r="AQ107" i="2"/>
  <c r="AR112" i="2"/>
  <c r="AU112" i="2" s="1"/>
  <c r="AS112" i="2"/>
  <c r="AT112" i="2" s="1"/>
  <c r="AU123" i="2"/>
  <c r="AR129" i="2"/>
  <c r="AJ132" i="2"/>
  <c r="AU133" i="2"/>
  <c r="AQ145" i="2"/>
  <c r="AU145" i="2" s="1"/>
  <c r="AJ156" i="2"/>
  <c r="AL156" i="2"/>
  <c r="AM156" i="2" s="1"/>
  <c r="AN162" i="2"/>
  <c r="AQ172" i="2"/>
  <c r="AS172" i="2"/>
  <c r="AT172" i="2" s="1"/>
  <c r="AL180" i="2"/>
  <c r="AM180" i="2" s="1"/>
  <c r="AR189" i="2"/>
  <c r="AK198" i="2"/>
  <c r="AL198" i="2"/>
  <c r="AM198" i="2" s="1"/>
  <c r="AU204" i="2"/>
  <c r="AR229" i="2"/>
  <c r="AS229" i="2"/>
  <c r="AT229" i="2" s="1"/>
  <c r="AU229" i="2" s="1"/>
  <c r="AJ264" i="2"/>
  <c r="AL264" i="2"/>
  <c r="AM264" i="2" s="1"/>
  <c r="AS9" i="2"/>
  <c r="AT9" i="2" s="1"/>
  <c r="AR9" i="2"/>
  <c r="AU9" i="2" s="1"/>
  <c r="AJ62" i="2"/>
  <c r="AL62" i="2"/>
  <c r="AM62" i="2" s="1"/>
  <c r="AK68" i="2"/>
  <c r="AJ68" i="2"/>
  <c r="AQ104" i="2"/>
  <c r="AK125" i="2"/>
  <c r="AJ153" i="2"/>
  <c r="AR159" i="2"/>
  <c r="AQ159" i="2"/>
  <c r="AR180" i="2"/>
  <c r="AR198" i="2"/>
  <c r="AQ198" i="2"/>
  <c r="AJ280" i="2"/>
  <c r="AK280" i="2"/>
  <c r="AQ288" i="2"/>
  <c r="AR288" i="2"/>
  <c r="AS288" i="2"/>
  <c r="AT288" i="2" s="1"/>
  <c r="AS294" i="2"/>
  <c r="AT294" i="2" s="1"/>
  <c r="AQ294" i="2"/>
  <c r="AR309" i="2"/>
  <c r="AS309" i="2"/>
  <c r="AT309" i="2" s="1"/>
  <c r="AU21" i="2"/>
  <c r="AS15" i="2"/>
  <c r="AT15" i="2" s="1"/>
  <c r="AJ32" i="2"/>
  <c r="AN32" i="2" s="1"/>
  <c r="AU169" i="2"/>
  <c r="AJ188" i="2"/>
  <c r="AK188" i="2"/>
  <c r="AR236" i="2"/>
  <c r="AS236" i="2"/>
  <c r="AT236" i="2" s="1"/>
  <c r="AQ245" i="2"/>
  <c r="AS245" i="2"/>
  <c r="AT245" i="2" s="1"/>
  <c r="AR245" i="2"/>
  <c r="AJ250" i="2"/>
  <c r="AK250" i="2"/>
  <c r="AK32" i="2"/>
  <c r="AK38" i="2"/>
  <c r="AR78" i="2"/>
  <c r="AU78" i="2" s="1"/>
  <c r="AQ103" i="2"/>
  <c r="AR111" i="2"/>
  <c r="AR115" i="2"/>
  <c r="AL118" i="2"/>
  <c r="AM118" i="2" s="1"/>
  <c r="AN118" i="2" s="1"/>
  <c r="AL122" i="2"/>
  <c r="AM122" i="2" s="1"/>
  <c r="AL131" i="2"/>
  <c r="AM131" i="2" s="1"/>
  <c r="AN131" i="2" s="1"/>
  <c r="AJ135" i="2"/>
  <c r="AS169" i="2"/>
  <c r="AT169" i="2" s="1"/>
  <c r="AL188" i="2"/>
  <c r="AM188" i="2" s="1"/>
  <c r="AL191" i="2"/>
  <c r="AM191" i="2" s="1"/>
  <c r="AL197" i="2"/>
  <c r="AM197" i="2" s="1"/>
  <c r="AJ197" i="2"/>
  <c r="AK227" i="2"/>
  <c r="AJ227" i="2"/>
  <c r="AN227" i="2" s="1"/>
  <c r="AL227" i="2"/>
  <c r="AM227" i="2" s="1"/>
  <c r="AQ236" i="2"/>
  <c r="AL250" i="2"/>
  <c r="AM250" i="2" s="1"/>
  <c r="AR254" i="2"/>
  <c r="AS254" i="2"/>
  <c r="AT254" i="2" s="1"/>
  <c r="AU254" i="2" s="1"/>
  <c r="AL274" i="2"/>
  <c r="AM274" i="2" s="1"/>
  <c r="AJ274" i="2"/>
  <c r="AN274" i="2" s="1"/>
  <c r="AL277" i="2"/>
  <c r="AM277" i="2" s="1"/>
  <c r="AJ277" i="2"/>
  <c r="AK283" i="2"/>
  <c r="AL283" i="2"/>
  <c r="AM283" i="2" s="1"/>
  <c r="AS306" i="2"/>
  <c r="AT306" i="2" s="1"/>
  <c r="AQ306" i="2"/>
  <c r="AS60" i="2"/>
  <c r="AT60" i="2" s="1"/>
  <c r="AS29" i="2"/>
  <c r="AT29" i="2" s="1"/>
  <c r="AR29" i="2"/>
  <c r="AJ38" i="2"/>
  <c r="AN122" i="2"/>
  <c r="AK153" i="2"/>
  <c r="AN153" i="2" s="1"/>
  <c r="AS285" i="2"/>
  <c r="AT285" i="2" s="1"/>
  <c r="AR285" i="2"/>
  <c r="AU285" i="2" s="1"/>
  <c r="AQ285" i="2"/>
  <c r="AJ20" i="2"/>
  <c r="AL20" i="2"/>
  <c r="AM20" i="2" s="1"/>
  <c r="AQ29" i="2"/>
  <c r="AQ42" i="2"/>
  <c r="AS59" i="2"/>
  <c r="AT59" i="2" s="1"/>
  <c r="AQ59" i="2"/>
  <c r="AQ62" i="2"/>
  <c r="AR68" i="2"/>
  <c r="AQ68" i="2"/>
  <c r="AJ71" i="2"/>
  <c r="AS4" i="2"/>
  <c r="AT4" i="2" s="1"/>
  <c r="AK11" i="2"/>
  <c r="AK14" i="2"/>
  <c r="AJ37" i="2"/>
  <c r="AK37" i="2"/>
  <c r="AS42" i="2"/>
  <c r="AT42" i="2" s="1"/>
  <c r="AJ56" i="2"/>
  <c r="AN56" i="2" s="1"/>
  <c r="AR59" i="2"/>
  <c r="AR62" i="2"/>
  <c r="AS65" i="2"/>
  <c r="AT65" i="2" s="1"/>
  <c r="AS68" i="2"/>
  <c r="AT68" i="2" s="1"/>
  <c r="AU68" i="2" s="1"/>
  <c r="AK71" i="2"/>
  <c r="AL87" i="2"/>
  <c r="AM87" i="2" s="1"/>
  <c r="AK87" i="2"/>
  <c r="AR96" i="2"/>
  <c r="AR103" i="2"/>
  <c r="AS111" i="2"/>
  <c r="AT111" i="2" s="1"/>
  <c r="AR118" i="2"/>
  <c r="AU118" i="2" s="1"/>
  <c r="AS118" i="2"/>
  <c r="AT118" i="2" s="1"/>
  <c r="AR122" i="2"/>
  <c r="AQ122" i="2"/>
  <c r="AQ125" i="2"/>
  <c r="AJ128" i="2"/>
  <c r="AN128" i="2" s="1"/>
  <c r="AL135" i="2"/>
  <c r="AM135" i="2" s="1"/>
  <c r="AQ144" i="2"/>
  <c r="AR144" i="2"/>
  <c r="AJ176" i="2"/>
  <c r="AK176" i="2"/>
  <c r="AU188" i="2"/>
  <c r="AK197" i="2"/>
  <c r="AR203" i="2"/>
  <c r="AQ203" i="2"/>
  <c r="AU203" i="2" s="1"/>
  <c r="AU252" i="2"/>
  <c r="AK274" i="2"/>
  <c r="AS283" i="2"/>
  <c r="AT283" i="2" s="1"/>
  <c r="AR283" i="2"/>
  <c r="AU283" i="2" s="1"/>
  <c r="AQ283" i="2"/>
  <c r="AJ35" i="2"/>
  <c r="AR104" i="2"/>
  <c r="AU104" i="2" s="1"/>
  <c r="AK56" i="2"/>
  <c r="AN77" i="2"/>
  <c r="AS96" i="2"/>
  <c r="AT96" i="2" s="1"/>
  <c r="AU96" i="2" s="1"/>
  <c r="AL114" i="2"/>
  <c r="AM114" i="2" s="1"/>
  <c r="AJ114" i="2"/>
  <c r="AR125" i="2"/>
  <c r="AL128" i="2"/>
  <c r="AM128" i="2" s="1"/>
  <c r="AR131" i="2"/>
  <c r="AU131" i="2" s="1"/>
  <c r="AS135" i="2"/>
  <c r="AT135" i="2" s="1"/>
  <c r="AU135" i="2" s="1"/>
  <c r="AQ135" i="2"/>
  <c r="AJ138" i="2"/>
  <c r="AN138" i="2" s="1"/>
  <c r="AK149" i="2"/>
  <c r="AN149" i="2" s="1"/>
  <c r="AS153" i="2"/>
  <c r="AT153" i="2" s="1"/>
  <c r="AU153" i="2" s="1"/>
  <c r="AJ168" i="2"/>
  <c r="AL168" i="2"/>
  <c r="AM168" i="2" s="1"/>
  <c r="AN168" i="2" s="1"/>
  <c r="AL176" i="2"/>
  <c r="AM176" i="2" s="1"/>
  <c r="AJ219" i="2"/>
  <c r="AL219" i="2"/>
  <c r="AM219" i="2" s="1"/>
  <c r="AK219" i="2"/>
  <c r="AL132" i="2"/>
  <c r="AM132" i="2" s="1"/>
  <c r="AN156" i="2"/>
  <c r="AU172" i="2"/>
  <c r="AL51" i="2"/>
  <c r="AM51" i="2" s="1"/>
  <c r="AL125" i="2"/>
  <c r="AM125" i="2" s="1"/>
  <c r="AN125" i="2" s="1"/>
  <c r="AS180" i="2"/>
  <c r="AT180" i="2" s="1"/>
  <c r="AQ14" i="2"/>
  <c r="AR14" i="2"/>
  <c r="AQ3" i="2"/>
  <c r="X4" i="2"/>
  <c r="AK41" i="2"/>
  <c r="AS71" i="2"/>
  <c r="AT71" i="2" s="1"/>
  <c r="AQ71" i="2"/>
  <c r="AN84" i="2"/>
  <c r="AL102" i="2"/>
  <c r="AM102" i="2" s="1"/>
  <c r="AK114" i="2"/>
  <c r="AJ117" i="2"/>
  <c r="AS152" i="2"/>
  <c r="AT152" i="2" s="1"/>
  <c r="AQ152" i="2"/>
  <c r="AU176" i="2"/>
  <c r="AK243" i="2"/>
  <c r="AN243" i="2" s="1"/>
  <c r="AL243" i="2"/>
  <c r="AM243" i="2" s="1"/>
  <c r="AL246" i="2"/>
  <c r="AM246" i="2" s="1"/>
  <c r="AJ246" i="2"/>
  <c r="AS301" i="2"/>
  <c r="AT301" i="2" s="1"/>
  <c r="AQ301" i="2"/>
  <c r="AL72" i="2"/>
  <c r="AM72" i="2" s="1"/>
  <c r="AS98" i="2"/>
  <c r="AT98" i="2" s="1"/>
  <c r="AU45" i="2"/>
  <c r="AR240" i="2"/>
  <c r="AQ240" i="2"/>
  <c r="AR4" i="2"/>
  <c r="AU4" i="2" s="1"/>
  <c r="AK23" i="2"/>
  <c r="AN23" i="2" s="1"/>
  <c r="X60" i="2"/>
  <c r="AS3" i="2"/>
  <c r="AT3" i="2" s="1"/>
  <c r="AU3" i="2" s="1"/>
  <c r="X2" i="2"/>
  <c r="AL23" i="2"/>
  <c r="AM23" i="2" s="1"/>
  <c r="AS28" i="2"/>
  <c r="AT28" i="2" s="1"/>
  <c r="AK31" i="2"/>
  <c r="AU37" i="2"/>
  <c r="AQ50" i="2"/>
  <c r="AU50" i="2" s="1"/>
  <c r="AJ55" i="2"/>
  <c r="AN55" i="2" s="1"/>
  <c r="AK64" i="2"/>
  <c r="AR71" i="2"/>
  <c r="AQ77" i="2"/>
  <c r="AS77" i="2"/>
  <c r="AT77" i="2" s="1"/>
  <c r="AR81" i="2"/>
  <c r="AS84" i="2"/>
  <c r="AT84" i="2" s="1"/>
  <c r="AQ84" i="2"/>
  <c r="AU84" i="2" s="1"/>
  <c r="AK90" i="2"/>
  <c r="AQ95" i="2"/>
  <c r="AL117" i="2"/>
  <c r="AM117" i="2" s="1"/>
  <c r="AJ124" i="2"/>
  <c r="AN124" i="2" s="1"/>
  <c r="AK130" i="2"/>
  <c r="AL134" i="2"/>
  <c r="AM134" i="2" s="1"/>
  <c r="AJ134" i="2"/>
  <c r="AQ141" i="2"/>
  <c r="AK146" i="2"/>
  <c r="AL146" i="2"/>
  <c r="AM146" i="2" s="1"/>
  <c r="AJ146" i="2"/>
  <c r="AR152" i="2"/>
  <c r="AR168" i="2"/>
  <c r="AQ168" i="2"/>
  <c r="AR176" i="2"/>
  <c r="AR185" i="2"/>
  <c r="AU185" i="2" s="1"/>
  <c r="AS197" i="2"/>
  <c r="AT197" i="2" s="1"/>
  <c r="AU221" i="2"/>
  <c r="AU223" i="2"/>
  <c r="AS230" i="2"/>
  <c r="AT230" i="2" s="1"/>
  <c r="AR230" i="2"/>
  <c r="AQ230" i="2"/>
  <c r="AJ243" i="2"/>
  <c r="AK246" i="2"/>
  <c r="AR301" i="2"/>
  <c r="AR72" i="2"/>
  <c r="AU72" i="2" s="1"/>
  <c r="AS72" i="2"/>
  <c r="AT72" i="2" s="1"/>
  <c r="AJ14" i="2"/>
  <c r="AN14" i="2" s="1"/>
  <c r="AL22" i="2"/>
  <c r="AM22" i="2" s="1"/>
  <c r="AK22" i="2"/>
  <c r="AK76" i="2"/>
  <c r="AJ76" i="2"/>
  <c r="AS95" i="2"/>
  <c r="AT95" i="2" s="1"/>
  <c r="AU95" i="2" s="1"/>
  <c r="AL113" i="2"/>
  <c r="AM113" i="2" s="1"/>
  <c r="AJ113" i="2"/>
  <c r="AN113" i="2" s="1"/>
  <c r="AQ114" i="2"/>
  <c r="AU117" i="2"/>
  <c r="AQ121" i="2"/>
  <c r="AL124" i="2"/>
  <c r="AM124" i="2" s="1"/>
  <c r="AK127" i="2"/>
  <c r="AL127" i="2"/>
  <c r="AM127" i="2" s="1"/>
  <c r="AL130" i="2"/>
  <c r="AM130" i="2" s="1"/>
  <c r="AN130" i="2" s="1"/>
  <c r="AK134" i="2"/>
  <c r="AS141" i="2"/>
  <c r="AT141" i="2" s="1"/>
  <c r="AU141" i="2" s="1"/>
  <c r="AU158" i="2"/>
  <c r="AS168" i="2"/>
  <c r="AT168" i="2" s="1"/>
  <c r="AS176" i="2"/>
  <c r="AT176" i="2" s="1"/>
  <c r="AS185" i="2"/>
  <c r="AT185" i="2" s="1"/>
  <c r="AL193" i="2"/>
  <c r="AM193" i="2" s="1"/>
  <c r="AJ193" i="2"/>
  <c r="AJ205" i="2"/>
  <c r="AL205" i="2"/>
  <c r="AM205" i="2" s="1"/>
  <c r="AK205" i="2"/>
  <c r="AN237" i="2"/>
  <c r="AS246" i="2"/>
  <c r="AT246" i="2" s="1"/>
  <c r="AQ246" i="2"/>
  <c r="AU307" i="2"/>
  <c r="AN317" i="2"/>
  <c r="AL35" i="2"/>
  <c r="AM35" i="2" s="1"/>
  <c r="AR136" i="2"/>
  <c r="AS136" i="2"/>
  <c r="AT136" i="2" s="1"/>
  <c r="AU13" i="2"/>
  <c r="AQ31" i="2"/>
  <c r="AU31" i="2" s="1"/>
  <c r="AR31" i="2"/>
  <c r="AL47" i="2"/>
  <c r="AM47" i="2" s="1"/>
  <c r="AL76" i="2"/>
  <c r="AM76" i="2" s="1"/>
  <c r="AK80" i="2"/>
  <c r="W89" i="2"/>
  <c r="AR90" i="2"/>
  <c r="AK99" i="2"/>
  <c r="AK113" i="2"/>
  <c r="AR117" i="2"/>
  <c r="AR121" i="2"/>
  <c r="AJ127" i="2"/>
  <c r="AN127" i="2" s="1"/>
  <c r="AJ137" i="2"/>
  <c r="AK137" i="2"/>
  <c r="AQ138" i="2"/>
  <c r="AU138" i="2" s="1"/>
  <c r="AR149" i="2"/>
  <c r="AU149" i="2" s="1"/>
  <c r="AL151" i="2"/>
  <c r="AM151" i="2" s="1"/>
  <c r="AJ151" i="2"/>
  <c r="AK157" i="2"/>
  <c r="AJ157" i="2"/>
  <c r="AQ160" i="2"/>
  <c r="AU160" i="2" s="1"/>
  <c r="AS160" i="2"/>
  <c r="AT160" i="2" s="1"/>
  <c r="AR190" i="2"/>
  <c r="AU190" i="2" s="1"/>
  <c r="AK193" i="2"/>
  <c r="AR246" i="2"/>
  <c r="AS255" i="2"/>
  <c r="AT255" i="2" s="1"/>
  <c r="AQ255" i="2"/>
  <c r="AU255" i="2" s="1"/>
  <c r="AK292" i="2"/>
  <c r="AJ292" i="2"/>
  <c r="AS63" i="2"/>
  <c r="AT63" i="2" s="1"/>
  <c r="AQ63" i="2"/>
  <c r="AU63" i="2" s="1"/>
  <c r="AK147" i="2"/>
  <c r="AL147" i="2"/>
  <c r="AM147" i="2" s="1"/>
  <c r="AN68" i="2"/>
  <c r="AU115" i="2"/>
  <c r="AN22" i="2"/>
  <c r="AQ10" i="2"/>
  <c r="AQ13" i="2"/>
  <c r="AS31" i="2"/>
  <c r="AT31" i="2" s="1"/>
  <c r="AN40" i="2"/>
  <c r="AR47" i="2"/>
  <c r="AS47" i="2"/>
  <c r="AT47" i="2" s="1"/>
  <c r="AL49" i="2"/>
  <c r="AM49" i="2" s="1"/>
  <c r="AK49" i="2"/>
  <c r="AR64" i="2"/>
  <c r="AS64" i="2"/>
  <c r="AT64" i="2" s="1"/>
  <c r="AR76" i="2"/>
  <c r="AQ76" i="2"/>
  <c r="AU76" i="2" s="1"/>
  <c r="AL80" i="2"/>
  <c r="AM80" i="2" s="1"/>
  <c r="AS90" i="2"/>
  <c r="AT90" i="2" s="1"/>
  <c r="AQ99" i="2"/>
  <c r="AR99" i="2"/>
  <c r="AS117" i="2"/>
  <c r="AT117" i="2" s="1"/>
  <c r="AK140" i="2"/>
  <c r="AL140" i="2"/>
  <c r="AM140" i="2" s="1"/>
  <c r="AS149" i="2"/>
  <c r="AT149" i="2" s="1"/>
  <c r="AU173" i="2"/>
  <c r="AR39" i="2"/>
  <c r="AQ39" i="2"/>
  <c r="AU39" i="2" s="1"/>
  <c r="AU47" i="2"/>
  <c r="AS49" i="2"/>
  <c r="AT49" i="2" s="1"/>
  <c r="AQ49" i="2"/>
  <c r="AU64" i="2"/>
  <c r="AU113" i="2"/>
  <c r="AK116" i="2"/>
  <c r="AL116" i="2"/>
  <c r="AM116" i="2" s="1"/>
  <c r="AK120" i="2"/>
  <c r="AL120" i="2"/>
  <c r="AM120" i="2" s="1"/>
  <c r="AR199" i="2"/>
  <c r="AS199" i="2"/>
  <c r="AT199" i="2" s="1"/>
  <c r="AS202" i="2"/>
  <c r="AT202" i="2" s="1"/>
  <c r="AR202" i="2"/>
  <c r="AN226" i="2"/>
  <c r="AU235" i="2"/>
  <c r="AK290" i="2"/>
  <c r="AJ290" i="2"/>
  <c r="AN290" i="2" s="1"/>
  <c r="AU22" i="2"/>
  <c r="AJ2" i="2"/>
  <c r="AN2" i="2" s="1"/>
  <c r="AJ6" i="2"/>
  <c r="AN6" i="2" s="1"/>
  <c r="AJ9" i="2"/>
  <c r="AN9" i="2" s="1"/>
  <c r="AL9" i="2"/>
  <c r="AM9" i="2" s="1"/>
  <c r="AR22" i="2"/>
  <c r="AR25" i="2"/>
  <c r="AR49" i="2"/>
  <c r="AQ54" i="2"/>
  <c r="AU54" i="2" s="1"/>
  <c r="AU55" i="2"/>
  <c r="AJ69" i="2"/>
  <c r="AR73" i="2"/>
  <c r="AQ73" i="2"/>
  <c r="AU73" i="2" s="1"/>
  <c r="AR86" i="2"/>
  <c r="AQ86" i="2"/>
  <c r="AJ116" i="2"/>
  <c r="AN116" i="2" s="1"/>
  <c r="AJ120" i="2"/>
  <c r="AQ157" i="2"/>
  <c r="AU157" i="2" s="1"/>
  <c r="AQ165" i="2"/>
  <c r="AS165" i="2"/>
  <c r="AT165" i="2" s="1"/>
  <c r="AR181" i="2"/>
  <c r="AS184" i="2"/>
  <c r="AT184" i="2" s="1"/>
  <c r="AU184" i="2" s="1"/>
  <c r="AR193" i="2"/>
  <c r="AU193" i="2" s="1"/>
  <c r="AQ199" i="2"/>
  <c r="AQ202" i="2"/>
  <c r="AQ211" i="2"/>
  <c r="AR211" i="2"/>
  <c r="AR239" i="2"/>
  <c r="AU239" i="2" s="1"/>
  <c r="AS239" i="2"/>
  <c r="AT239" i="2" s="1"/>
  <c r="AR263" i="2"/>
  <c r="AQ263" i="2"/>
  <c r="AU263" i="2" s="1"/>
  <c r="AU272" i="2"/>
  <c r="AS287" i="2"/>
  <c r="AT287" i="2" s="1"/>
  <c r="AU287" i="2" s="1"/>
  <c r="AQ287" i="2"/>
  <c r="AL290" i="2"/>
  <c r="AM290" i="2" s="1"/>
  <c r="AK297" i="2"/>
  <c r="AJ297" i="2"/>
  <c r="AK4" i="2"/>
  <c r="AQ276" i="2"/>
  <c r="AR276" i="2"/>
  <c r="AK2" i="2"/>
  <c r="AK6" i="2"/>
  <c r="AK9" i="2"/>
  <c r="AS22" i="2"/>
  <c r="AT22" i="2" s="1"/>
  <c r="AK27" i="2"/>
  <c r="AL27" i="2"/>
  <c r="AM27" i="2" s="1"/>
  <c r="AL69" i="2"/>
  <c r="AM69" i="2" s="1"/>
  <c r="AN69" i="2" s="1"/>
  <c r="AK88" i="2"/>
  <c r="AJ88" i="2"/>
  <c r="AN88" i="2" s="1"/>
  <c r="AN104" i="2"/>
  <c r="AR109" i="2"/>
  <c r="AS109" i="2"/>
  <c r="AT109" i="2" s="1"/>
  <c r="AN112" i="2"/>
  <c r="AR157" i="2"/>
  <c r="AJ172" i="2"/>
  <c r="AN172" i="2" s="1"/>
  <c r="AK172" i="2"/>
  <c r="AS181" i="2"/>
  <c r="AT181" i="2" s="1"/>
  <c r="AU181" i="2" s="1"/>
  <c r="AS193" i="2"/>
  <c r="AT193" i="2" s="1"/>
  <c r="AR224" i="2"/>
  <c r="AQ224" i="2"/>
  <c r="AN313" i="2"/>
  <c r="AU319" i="2"/>
  <c r="AU322" i="2"/>
  <c r="AR151" i="2"/>
  <c r="AU151" i="2" s="1"/>
  <c r="AS195" i="2"/>
  <c r="AT195" i="2" s="1"/>
  <c r="AQ200" i="2"/>
  <c r="AU200" i="2" s="1"/>
  <c r="AR201" i="2"/>
  <c r="AU222" i="2"/>
  <c r="AN238" i="2"/>
  <c r="AN251" i="2"/>
  <c r="AU280" i="2"/>
  <c r="AK313" i="2"/>
  <c r="AR316" i="2"/>
  <c r="AU316" i="2" s="1"/>
  <c r="AR322" i="2"/>
  <c r="AJ325" i="2"/>
  <c r="AS143" i="2"/>
  <c r="AT143" i="2" s="1"/>
  <c r="AQ164" i="2"/>
  <c r="AU164" i="2" s="1"/>
  <c r="AJ199" i="2"/>
  <c r="AN199" i="2" s="1"/>
  <c r="AJ208" i="2"/>
  <c r="AN208" i="2" s="1"/>
  <c r="AJ212" i="2"/>
  <c r="AN212" i="2" s="1"/>
  <c r="AU219" i="2"/>
  <c r="AL231" i="2"/>
  <c r="AM231" i="2" s="1"/>
  <c r="AJ235" i="2"/>
  <c r="AR256" i="2"/>
  <c r="AJ258" i="2"/>
  <c r="AN258" i="2" s="1"/>
  <c r="AJ260" i="2"/>
  <c r="AS266" i="2"/>
  <c r="AT266" i="2" s="1"/>
  <c r="AQ273" i="2"/>
  <c r="AK278" i="2"/>
  <c r="AR290" i="2"/>
  <c r="AU290" i="2" s="1"/>
  <c r="AS316" i="2"/>
  <c r="AT316" i="2" s="1"/>
  <c r="AK318" i="2"/>
  <c r="AN318" i="2" s="1"/>
  <c r="AU311" i="2"/>
  <c r="AU161" i="2"/>
  <c r="AN210" i="2"/>
  <c r="AQ271" i="2"/>
  <c r="AQ278" i="2"/>
  <c r="AQ296" i="2"/>
  <c r="AU303" i="2"/>
  <c r="AU238" i="2"/>
  <c r="AN242" i="2"/>
  <c r="AU262" i="2"/>
  <c r="AR278" i="2"/>
  <c r="AQ318" i="2"/>
  <c r="AK323" i="2"/>
  <c r="AS318" i="2"/>
  <c r="AT318" i="2" s="1"/>
  <c r="AN321" i="2"/>
  <c r="AN326" i="2"/>
  <c r="AU19" i="2"/>
  <c r="AL184" i="2"/>
  <c r="AM184" i="2" s="1"/>
  <c r="AN184" i="2" s="1"/>
  <c r="AS207" i="2"/>
  <c r="AT207" i="2" s="1"/>
  <c r="AU207" i="2" s="1"/>
  <c r="AU237" i="2"/>
  <c r="AK265" i="2"/>
  <c r="AR267" i="2"/>
  <c r="AU267" i="2" s="1"/>
  <c r="AK281" i="2"/>
  <c r="AN281" i="2" s="1"/>
  <c r="AU232" i="2"/>
  <c r="AU234" i="2"/>
  <c r="AN259" i="2"/>
  <c r="AU291" i="2"/>
  <c r="AL225" i="2"/>
  <c r="AM225" i="2" s="1"/>
  <c r="AN225" i="2" s="1"/>
  <c r="AL254" i="2"/>
  <c r="AM254" i="2" s="1"/>
  <c r="AS261" i="2"/>
  <c r="AT261" i="2" s="1"/>
  <c r="AU261" i="2" s="1"/>
  <c r="AS272" i="2"/>
  <c r="AT272" i="2" s="1"/>
  <c r="AU302" i="2"/>
  <c r="AJ324" i="2"/>
  <c r="AU192" i="2"/>
  <c r="AL286" i="2"/>
  <c r="AM286" i="2" s="1"/>
  <c r="AN8" i="2"/>
  <c r="AN24" i="2"/>
  <c r="M38" i="2"/>
  <c r="M53" i="2"/>
  <c r="S3" i="2"/>
  <c r="AQ7" i="2"/>
  <c r="AJ12" i="2"/>
  <c r="S13" i="2"/>
  <c r="M14" i="2"/>
  <c r="AS14" i="2"/>
  <c r="AT14" i="2" s="1"/>
  <c r="AJ16" i="2"/>
  <c r="X17" i="2"/>
  <c r="S24" i="2"/>
  <c r="AU29" i="2"/>
  <c r="X33" i="2"/>
  <c r="X36" i="2"/>
  <c r="W36" i="2"/>
  <c r="AS43" i="2"/>
  <c r="AT43" i="2" s="1"/>
  <c r="AQ43" i="2"/>
  <c r="AR44" i="2"/>
  <c r="X46" i="2"/>
  <c r="M52" i="2"/>
  <c r="S53" i="2"/>
  <c r="S62" i="2"/>
  <c r="W67" i="2"/>
  <c r="X67" i="2"/>
  <c r="S73" i="2"/>
  <c r="W74" i="2"/>
  <c r="X74" i="2"/>
  <c r="AU77" i="2"/>
  <c r="AU80" i="2"/>
  <c r="AU88" i="2"/>
  <c r="M94" i="2"/>
  <c r="AL95" i="2"/>
  <c r="AM95" i="2" s="1"/>
  <c r="AK95" i="2"/>
  <c r="AR105" i="2"/>
  <c r="AQ105" i="2"/>
  <c r="AS105" i="2"/>
  <c r="AT105" i="2" s="1"/>
  <c r="S9" i="2"/>
  <c r="X68" i="2"/>
  <c r="M72" i="2"/>
  <c r="AR87" i="2"/>
  <c r="AU87" i="2" s="1"/>
  <c r="AS87" i="2"/>
  <c r="AT87" i="2" s="1"/>
  <c r="X142" i="2"/>
  <c r="AR7" i="2"/>
  <c r="AK12" i="2"/>
  <c r="AK16" i="2"/>
  <c r="AL17" i="2"/>
  <c r="AM17" i="2" s="1"/>
  <c r="AJ17" i="2"/>
  <c r="M20" i="2"/>
  <c r="X24" i="2"/>
  <c r="S25" i="2"/>
  <c r="S26" i="2"/>
  <c r="M28" i="2"/>
  <c r="AL33" i="2"/>
  <c r="AM33" i="2" s="1"/>
  <c r="AJ33" i="2"/>
  <c r="AL36" i="2"/>
  <c r="AM36" i="2" s="1"/>
  <c r="AJ36" i="2"/>
  <c r="AS44" i="2"/>
  <c r="AT44" i="2" s="1"/>
  <c r="S48" i="2"/>
  <c r="S52" i="2"/>
  <c r="S59" i="2"/>
  <c r="S66" i="2"/>
  <c r="AL67" i="2"/>
  <c r="AM67" i="2" s="1"/>
  <c r="AK67" i="2"/>
  <c r="AJ67" i="2"/>
  <c r="X70" i="2"/>
  <c r="S71" i="2"/>
  <c r="AR75" i="2"/>
  <c r="AQ75" i="2"/>
  <c r="X85" i="2"/>
  <c r="M91" i="2"/>
  <c r="S101" i="2"/>
  <c r="AU103" i="2"/>
  <c r="X154" i="2"/>
  <c r="S63" i="2"/>
  <c r="AJ252" i="2"/>
  <c r="AL252" i="2"/>
  <c r="AM252" i="2" s="1"/>
  <c r="AK252" i="2"/>
  <c r="W3" i="2"/>
  <c r="M4" i="2"/>
  <c r="S6" i="2"/>
  <c r="M7" i="2"/>
  <c r="X9" i="2"/>
  <c r="W13" i="2"/>
  <c r="AQ15" i="2"/>
  <c r="AU15" i="2" s="1"/>
  <c r="AK17" i="2"/>
  <c r="X18" i="2"/>
  <c r="S20" i="2"/>
  <c r="W24" i="2"/>
  <c r="S28" i="2"/>
  <c r="M29" i="2"/>
  <c r="AR30" i="2"/>
  <c r="AK33" i="2"/>
  <c r="AJ34" i="2"/>
  <c r="X35" i="2"/>
  <c r="AK36" i="2"/>
  <c r="X37" i="2"/>
  <c r="M39" i="2"/>
  <c r="AN46" i="2"/>
  <c r="X48" i="2"/>
  <c r="M56" i="2"/>
  <c r="S61" i="2"/>
  <c r="S64" i="2"/>
  <c r="X69" i="2"/>
  <c r="X71" i="2"/>
  <c r="S84" i="2"/>
  <c r="S91" i="2"/>
  <c r="AK121" i="2"/>
  <c r="AJ121" i="2"/>
  <c r="AN121" i="2" s="1"/>
  <c r="AL121" i="2"/>
  <c r="AM121" i="2" s="1"/>
  <c r="S35" i="2"/>
  <c r="S69" i="2"/>
  <c r="M83" i="2"/>
  <c r="AL92" i="2"/>
  <c r="AM92" i="2" s="1"/>
  <c r="AJ92" i="2"/>
  <c r="AK92" i="2"/>
  <c r="AS321" i="2"/>
  <c r="AT321" i="2" s="1"/>
  <c r="AR321" i="2"/>
  <c r="AQ321" i="2"/>
  <c r="S10" i="2"/>
  <c r="M11" i="2"/>
  <c r="M21" i="2"/>
  <c r="X25" i="2"/>
  <c r="S27" i="2"/>
  <c r="AS30" i="2"/>
  <c r="AT30" i="2" s="1"/>
  <c r="AK34" i="2"/>
  <c r="S38" i="2"/>
  <c r="S39" i="2"/>
  <c r="M40" i="2"/>
  <c r="AK47" i="2"/>
  <c r="AN47" i="2" s="1"/>
  <c r="W48" i="2"/>
  <c r="S51" i="2"/>
  <c r="X54" i="2"/>
  <c r="S56" i="2"/>
  <c r="S57" i="2"/>
  <c r="M58" i="2"/>
  <c r="S60" i="2"/>
  <c r="X65" i="2"/>
  <c r="W65" i="2"/>
  <c r="AU67" i="2"/>
  <c r="AK70" i="2"/>
  <c r="AN70" i="2" s="1"/>
  <c r="W71" i="2"/>
  <c r="S72" i="2"/>
  <c r="X73" i="2"/>
  <c r="W73" i="2"/>
  <c r="AL74" i="2"/>
  <c r="AM74" i="2" s="1"/>
  <c r="AN74" i="2" s="1"/>
  <c r="S83" i="2"/>
  <c r="AU86" i="2"/>
  <c r="S90" i="2"/>
  <c r="AU98" i="2"/>
  <c r="X141" i="2"/>
  <c r="M109" i="2"/>
  <c r="M101" i="2"/>
  <c r="M93" i="2"/>
  <c r="M85" i="2"/>
  <c r="M108" i="2"/>
  <c r="M100" i="2"/>
  <c r="M92" i="2"/>
  <c r="M105" i="2"/>
  <c r="M88" i="2"/>
  <c r="M76" i="2"/>
  <c r="M68" i="2"/>
  <c r="M60" i="2"/>
  <c r="M73" i="2"/>
  <c r="M65" i="2"/>
  <c r="M111" i="2"/>
  <c r="M90" i="2"/>
  <c r="M110" i="2"/>
  <c r="M97" i="2"/>
  <c r="M75" i="2"/>
  <c r="M103" i="2"/>
  <c r="M77" i="2"/>
  <c r="M61" i="2"/>
  <c r="M57" i="2"/>
  <c r="M89" i="2"/>
  <c r="M82" i="2"/>
  <c r="M69" i="2"/>
  <c r="M64" i="2"/>
  <c r="M45" i="2"/>
  <c r="M37" i="2"/>
  <c r="M74" i="2"/>
  <c r="M59" i="2"/>
  <c r="M50" i="2"/>
  <c r="M42" i="2"/>
  <c r="M34" i="2"/>
  <c r="M26" i="2"/>
  <c r="M18" i="2"/>
  <c r="M87" i="2"/>
  <c r="M107" i="2"/>
  <c r="M67" i="2"/>
  <c r="M62" i="2"/>
  <c r="M55" i="2"/>
  <c r="M104" i="2"/>
  <c r="AS16" i="2"/>
  <c r="AT16" i="2" s="1"/>
  <c r="AQ16" i="2"/>
  <c r="AL25" i="2"/>
  <c r="AM25" i="2" s="1"/>
  <c r="AJ25" i="2"/>
  <c r="M41" i="2"/>
  <c r="X49" i="2"/>
  <c r="X52" i="2"/>
  <c r="W52" i="2"/>
  <c r="X53" i="2"/>
  <c r="W59" i="2"/>
  <c r="X59" i="2"/>
  <c r="X62" i="2"/>
  <c r="X64" i="2"/>
  <c r="X66" i="2"/>
  <c r="AS74" i="2"/>
  <c r="AT74" i="2" s="1"/>
  <c r="AR74" i="2"/>
  <c r="M79" i="2"/>
  <c r="AR85" i="2"/>
  <c r="AQ85" i="2"/>
  <c r="AS85" i="2"/>
  <c r="AT85" i="2" s="1"/>
  <c r="W94" i="2"/>
  <c r="X94" i="2"/>
  <c r="X114" i="2"/>
  <c r="X130" i="2"/>
  <c r="X152" i="2"/>
  <c r="W152" i="2"/>
  <c r="AQ2" i="2"/>
  <c r="AJ3" i="2"/>
  <c r="X6" i="2"/>
  <c r="AR8" i="2"/>
  <c r="W10" i="2"/>
  <c r="AK13" i="2"/>
  <c r="AR16" i="2"/>
  <c r="X19" i="2"/>
  <c r="X20" i="2"/>
  <c r="AK25" i="2"/>
  <c r="AJ26" i="2"/>
  <c r="X28" i="2"/>
  <c r="M30" i="2"/>
  <c r="AS32" i="2"/>
  <c r="AT32" i="2" s="1"/>
  <c r="AQ32" i="2"/>
  <c r="AQ33" i="2"/>
  <c r="AU33" i="2" s="1"/>
  <c r="W38" i="2"/>
  <c r="AJ48" i="2"/>
  <c r="AL52" i="2"/>
  <c r="AM52" i="2" s="1"/>
  <c r="AJ52" i="2"/>
  <c r="AK53" i="2"/>
  <c r="AL53" i="2"/>
  <c r="AM53" i="2" s="1"/>
  <c r="AJ54" i="2"/>
  <c r="AL59" i="2"/>
  <c r="AM59" i="2" s="1"/>
  <c r="AJ59" i="2"/>
  <c r="AK63" i="2"/>
  <c r="AJ65" i="2"/>
  <c r="AN65" i="2" s="1"/>
  <c r="AK73" i="2"/>
  <c r="AN73" i="2" s="1"/>
  <c r="AQ74" i="2"/>
  <c r="S76" i="2"/>
  <c r="S77" i="2"/>
  <c r="M78" i="2"/>
  <c r="S79" i="2"/>
  <c r="S88" i="2"/>
  <c r="W91" i="2"/>
  <c r="X91" i="2"/>
  <c r="AK94" i="2"/>
  <c r="AL94" i="2"/>
  <c r="AM94" i="2" s="1"/>
  <c r="S100" i="2"/>
  <c r="X120" i="2"/>
  <c r="S37" i="2"/>
  <c r="M2" i="2"/>
  <c r="AR2" i="2"/>
  <c r="AK3" i="2"/>
  <c r="AS8" i="2"/>
  <c r="AT8" i="2" s="1"/>
  <c r="AR12" i="2"/>
  <c r="AU12" i="2" s="1"/>
  <c r="AL13" i="2"/>
  <c r="AM13" i="2" s="1"/>
  <c r="W14" i="2"/>
  <c r="AQ17" i="2"/>
  <c r="W20" i="2"/>
  <c r="M22" i="2"/>
  <c r="AQ23" i="2"/>
  <c r="AK26" i="2"/>
  <c r="X27" i="2"/>
  <c r="W28" i="2"/>
  <c r="S29" i="2"/>
  <c r="AR32" i="2"/>
  <c r="AR33" i="2"/>
  <c r="AS35" i="2"/>
  <c r="AT35" i="2" s="1"/>
  <c r="AQ35" i="2"/>
  <c r="AR36" i="2"/>
  <c r="M44" i="2"/>
  <c r="AK48" i="2"/>
  <c r="AJ50" i="2"/>
  <c r="AN50" i="2" s="1"/>
  <c r="X51" i="2"/>
  <c r="AK52" i="2"/>
  <c r="AJ53" i="2"/>
  <c r="AN53" i="2" s="1"/>
  <c r="AK54" i="2"/>
  <c r="AK59" i="2"/>
  <c r="W61" i="2"/>
  <c r="AL63" i="2"/>
  <c r="AM63" i="2" s="1"/>
  <c r="AN64" i="2"/>
  <c r="AK65" i="2"/>
  <c r="AL73" i="2"/>
  <c r="AM73" i="2" s="1"/>
  <c r="AJ83" i="2"/>
  <c r="AL83" i="2"/>
  <c r="AM83" i="2" s="1"/>
  <c r="AK83" i="2"/>
  <c r="AJ94" i="2"/>
  <c r="AN94" i="2" s="1"/>
  <c r="S111" i="2"/>
  <c r="X329" i="2"/>
  <c r="X326" i="2"/>
  <c r="X323" i="2"/>
  <c r="X303" i="2"/>
  <c r="X324" i="2"/>
  <c r="X319" i="2"/>
  <c r="X315" i="2"/>
  <c r="X310" i="2"/>
  <c r="X250" i="2"/>
  <c r="X218" i="2"/>
  <c r="X215" i="2"/>
  <c r="X282" i="2"/>
  <c r="X262" i="2"/>
  <c r="X254" i="2"/>
  <c r="X222" i="2"/>
  <c r="X290" i="2"/>
  <c r="X295" i="2"/>
  <c r="X288" i="2"/>
  <c r="X277" i="2"/>
  <c r="X263" i="2"/>
  <c r="X285" i="2"/>
  <c r="X239" i="2"/>
  <c r="X283" i="2"/>
  <c r="X314" i="2"/>
  <c r="X304" i="2"/>
  <c r="X306" i="2"/>
  <c r="X278" i="2"/>
  <c r="X217" i="2"/>
  <c r="X318" i="2"/>
  <c r="X298" i="2"/>
  <c r="X294" i="2"/>
  <c r="X292" i="2"/>
  <c r="X287" i="2"/>
  <c r="X231" i="2"/>
  <c r="X240" i="2"/>
  <c r="X207" i="2"/>
  <c r="X205" i="2"/>
  <c r="X204" i="2"/>
  <c r="X246" i="2"/>
  <c r="X299" i="2"/>
  <c r="X195" i="2"/>
  <c r="X161" i="2"/>
  <c r="X237" i="2"/>
  <c r="X209" i="2"/>
  <c r="X266" i="2"/>
  <c r="X238" i="2"/>
  <c r="X234" i="2"/>
  <c r="X212" i="2"/>
  <c r="X248" i="2"/>
  <c r="X313" i="2"/>
  <c r="X260" i="2"/>
  <c r="X245" i="2"/>
  <c r="X271" i="2"/>
  <c r="X206" i="2"/>
  <c r="X186" i="2"/>
  <c r="X178" i="2"/>
  <c r="X170" i="2"/>
  <c r="X169" i="2"/>
  <c r="X208" i="2"/>
  <c r="X168" i="2"/>
  <c r="X188" i="2"/>
  <c r="X172" i="2"/>
  <c r="X229" i="2"/>
  <c r="X176" i="2"/>
  <c r="X155" i="2"/>
  <c r="X219" i="2"/>
  <c r="X157" i="2"/>
  <c r="X156" i="2"/>
  <c r="X127" i="2"/>
  <c r="X126" i="2"/>
  <c r="X181" i="2"/>
  <c r="X153" i="2"/>
  <c r="X135" i="2"/>
  <c r="X228" i="2"/>
  <c r="X196" i="2"/>
  <c r="X180" i="2"/>
  <c r="X197" i="2"/>
  <c r="X210" i="2"/>
  <c r="X164" i="2"/>
  <c r="X149" i="2"/>
  <c r="X151" i="2"/>
  <c r="X132" i="2"/>
  <c r="X117" i="2"/>
  <c r="X50" i="2"/>
  <c r="X42" i="2"/>
  <c r="X34" i="2"/>
  <c r="X26" i="2"/>
  <c r="X119" i="2"/>
  <c r="X63" i="2"/>
  <c r="X47" i="2"/>
  <c r="X39" i="2"/>
  <c r="X31" i="2"/>
  <c r="X23" i="2"/>
  <c r="X133" i="2"/>
  <c r="X177" i="2"/>
  <c r="X106" i="2"/>
  <c r="X105" i="2"/>
  <c r="X87" i="2"/>
  <c r="X202" i="2"/>
  <c r="X99" i="2"/>
  <c r="X98" i="2"/>
  <c r="X86" i="2"/>
  <c r="X55" i="2"/>
  <c r="X123" i="2"/>
  <c r="X173" i="2"/>
  <c r="X84" i="2"/>
  <c r="X125" i="2"/>
  <c r="X233" i="2"/>
  <c r="X111" i="2"/>
  <c r="X189" i="2"/>
  <c r="X165" i="2"/>
  <c r="X145" i="2"/>
  <c r="M8" i="2"/>
  <c r="AS12" i="2"/>
  <c r="AT12" i="2" s="1"/>
  <c r="AR17" i="2"/>
  <c r="S21" i="2"/>
  <c r="AR23" i="2"/>
  <c r="AL28" i="2"/>
  <c r="AM28" i="2" s="1"/>
  <c r="AJ28" i="2"/>
  <c r="M31" i="2"/>
  <c r="AS36" i="2"/>
  <c r="AT36" i="2" s="1"/>
  <c r="S44" i="2"/>
  <c r="AK50" i="2"/>
  <c r="X56" i="2"/>
  <c r="X58" i="2"/>
  <c r="W58" i="2"/>
  <c r="M99" i="2"/>
  <c r="S103" i="2"/>
  <c r="S108" i="2"/>
  <c r="S74" i="2"/>
  <c r="S106" i="2"/>
  <c r="S105" i="2"/>
  <c r="S99" i="2"/>
  <c r="S98" i="2"/>
  <c r="S58" i="2"/>
  <c r="S109" i="2"/>
  <c r="S92" i="2"/>
  <c r="M5" i="2"/>
  <c r="AJ10" i="2"/>
  <c r="AN10" i="2" s="1"/>
  <c r="M12" i="2"/>
  <c r="M16" i="2"/>
  <c r="AL19" i="2"/>
  <c r="AM19" i="2" s="1"/>
  <c r="AN19" i="2" s="1"/>
  <c r="AK20" i="2"/>
  <c r="AS24" i="2"/>
  <c r="AT24" i="2" s="1"/>
  <c r="AQ24" i="2"/>
  <c r="AQ25" i="2"/>
  <c r="AU25" i="2" s="1"/>
  <c r="AJ27" i="2"/>
  <c r="AN27" i="2" s="1"/>
  <c r="AK28" i="2"/>
  <c r="AS34" i="2"/>
  <c r="AT34" i="2" s="1"/>
  <c r="AU34" i="2" s="1"/>
  <c r="AN38" i="2"/>
  <c r="AN39" i="2"/>
  <c r="X40" i="2"/>
  <c r="S41" i="2"/>
  <c r="AS46" i="2"/>
  <c r="AT46" i="2" s="1"/>
  <c r="AU46" i="2" s="1"/>
  <c r="AJ51" i="2"/>
  <c r="AN51" i="2" s="1"/>
  <c r="AL58" i="2"/>
  <c r="AM58" i="2" s="1"/>
  <c r="AJ58" i="2"/>
  <c r="AK60" i="2"/>
  <c r="AN60" i="2" s="1"/>
  <c r="AN61" i="2"/>
  <c r="AS66" i="2"/>
  <c r="AT66" i="2" s="1"/>
  <c r="AQ66" i="2"/>
  <c r="AQ69" i="2"/>
  <c r="AR69" i="2"/>
  <c r="S80" i="2"/>
  <c r="X90" i="2"/>
  <c r="X93" i="2"/>
  <c r="M96" i="2"/>
  <c r="W129" i="2"/>
  <c r="X129" i="2"/>
  <c r="X184" i="2"/>
  <c r="X185" i="2"/>
  <c r="X7" i="2"/>
  <c r="M23" i="2"/>
  <c r="X29" i="2"/>
  <c r="S30" i="2"/>
  <c r="M32" i="2"/>
  <c r="S43" i="2"/>
  <c r="S45" i="2"/>
  <c r="M46" i="2"/>
  <c r="AR52" i="2"/>
  <c r="AQ52" i="2"/>
  <c r="AL57" i="2"/>
  <c r="AM57" i="2" s="1"/>
  <c r="AJ57" i="2"/>
  <c r="X78" i="2"/>
  <c r="X79" i="2"/>
  <c r="M86" i="2"/>
  <c r="M98" i="2"/>
  <c r="AS106" i="2"/>
  <c r="AT106" i="2" s="1"/>
  <c r="AQ106" i="2"/>
  <c r="AU106" i="2" s="1"/>
  <c r="AR106" i="2"/>
  <c r="W162" i="2"/>
  <c r="X162" i="2"/>
  <c r="S2" i="2"/>
  <c r="X11" i="2"/>
  <c r="M17" i="2"/>
  <c r="X21" i="2"/>
  <c r="AQ26" i="2"/>
  <c r="M33" i="2"/>
  <c r="X41" i="2"/>
  <c r="X44" i="2"/>
  <c r="W44" i="2"/>
  <c r="AS51" i="2"/>
  <c r="AT51" i="2" s="1"/>
  <c r="AQ51" i="2"/>
  <c r="AU51" i="2" s="1"/>
  <c r="AS52" i="2"/>
  <c r="AT52" i="2" s="1"/>
  <c r="AQ53" i="2"/>
  <c r="AU53" i="2" s="1"/>
  <c r="AK57" i="2"/>
  <c r="AU59" i="2"/>
  <c r="X76" i="2"/>
  <c r="X77" i="2"/>
  <c r="X81" i="2"/>
  <c r="S86" i="2"/>
  <c r="X88" i="2"/>
  <c r="AK93" i="2"/>
  <c r="AJ93" i="2"/>
  <c r="AN93" i="2" s="1"/>
  <c r="S97" i="2"/>
  <c r="M102" i="2"/>
  <c r="AN7" i="2"/>
  <c r="S8" i="2"/>
  <c r="M9" i="2"/>
  <c r="X15" i="2"/>
  <c r="AS26" i="2"/>
  <c r="AT26" i="2" s="1"/>
  <c r="AS27" i="2"/>
  <c r="AT27" i="2" s="1"/>
  <c r="AQ27" i="2"/>
  <c r="S31" i="2"/>
  <c r="M35" i="2"/>
  <c r="AL44" i="2"/>
  <c r="AM44" i="2" s="1"/>
  <c r="AJ44" i="2"/>
  <c r="AS53" i="2"/>
  <c r="AT53" i="2" s="1"/>
  <c r="AS58" i="2"/>
  <c r="AT58" i="2" s="1"/>
  <c r="AR58" i="2"/>
  <c r="AQ61" i="2"/>
  <c r="AR61" i="2"/>
  <c r="AN80" i="2"/>
  <c r="AK81" i="2"/>
  <c r="AL81" i="2"/>
  <c r="AM81" i="2" s="1"/>
  <c r="M95" i="2"/>
  <c r="W146" i="2"/>
  <c r="X146" i="2"/>
  <c r="M3" i="2"/>
  <c r="S5" i="2"/>
  <c r="AQ6" i="2"/>
  <c r="AU6" i="2" s="1"/>
  <c r="X8" i="2"/>
  <c r="AJ11" i="2"/>
  <c r="AN11" i="2" s="1"/>
  <c r="M13" i="2"/>
  <c r="AK21" i="2"/>
  <c r="AN21" i="2" s="1"/>
  <c r="M24" i="2"/>
  <c r="AR27" i="2"/>
  <c r="AR28" i="2"/>
  <c r="AU28" i="2" s="1"/>
  <c r="X30" i="2"/>
  <c r="M36" i="2"/>
  <c r="AU38" i="2"/>
  <c r="AJ42" i="2"/>
  <c r="AN42" i="2" s="1"/>
  <c r="X43" i="2"/>
  <c r="AK44" i="2"/>
  <c r="X45" i="2"/>
  <c r="M47" i="2"/>
  <c r="AQ58" i="2"/>
  <c r="AS61" i="2"/>
  <c r="AT61" i="2" s="1"/>
  <c r="M70" i="2"/>
  <c r="W75" i="2"/>
  <c r="X75" i="2"/>
  <c r="AJ81" i="2"/>
  <c r="S96" i="2"/>
  <c r="X103" i="2"/>
  <c r="AU10" i="2"/>
  <c r="X12" i="2"/>
  <c r="AN15" i="2"/>
  <c r="X16" i="2"/>
  <c r="S23" i="2"/>
  <c r="M25" i="2"/>
  <c r="S32" i="2"/>
  <c r="S36" i="2"/>
  <c r="AK42" i="2"/>
  <c r="S47" i="2"/>
  <c r="M48" i="2"/>
  <c r="M66" i="2"/>
  <c r="S67" i="2"/>
  <c r="M71" i="2"/>
  <c r="W96" i="2"/>
  <c r="X96" i="2"/>
  <c r="S107" i="2"/>
  <c r="W175" i="2"/>
  <c r="X175" i="2"/>
  <c r="M6" i="2"/>
  <c r="W12" i="2"/>
  <c r="W16" i="2"/>
  <c r="S17" i="2"/>
  <c r="M19" i="2"/>
  <c r="AS20" i="2"/>
  <c r="AT20" i="2" s="1"/>
  <c r="AU20" i="2" s="1"/>
  <c r="AN30" i="2"/>
  <c r="AN31" i="2"/>
  <c r="X32" i="2"/>
  <c r="S33" i="2"/>
  <c r="AS38" i="2"/>
  <c r="AT38" i="2" s="1"/>
  <c r="AJ43" i="2"/>
  <c r="AN43" i="2" s="1"/>
  <c r="AK45" i="2"/>
  <c r="AN45" i="2" s="1"/>
  <c r="M49" i="2"/>
  <c r="M54" i="2"/>
  <c r="AS56" i="2"/>
  <c r="AT56" i="2" s="1"/>
  <c r="AQ56" i="2"/>
  <c r="AU56" i="2" s="1"/>
  <c r="M63" i="2"/>
  <c r="AJ75" i="2"/>
  <c r="AN75" i="2" s="1"/>
  <c r="M84" i="2"/>
  <c r="S85" i="2"/>
  <c r="W92" i="2"/>
  <c r="X92" i="2"/>
  <c r="X102" i="2"/>
  <c r="X116" i="2"/>
  <c r="X158" i="2"/>
  <c r="AL141" i="2"/>
  <c r="AM141" i="2" s="1"/>
  <c r="AJ141" i="2"/>
  <c r="AN141" i="2" s="1"/>
  <c r="AS154" i="2"/>
  <c r="AT154" i="2" s="1"/>
  <c r="AR154" i="2"/>
  <c r="AQ154" i="2"/>
  <c r="W199" i="2"/>
  <c r="X199" i="2"/>
  <c r="X95" i="2"/>
  <c r="S110" i="2"/>
  <c r="W113" i="2"/>
  <c r="X113" i="2"/>
  <c r="W115" i="2"/>
  <c r="X115" i="2"/>
  <c r="AU121" i="2"/>
  <c r="AJ129" i="2"/>
  <c r="AN129" i="2" s="1"/>
  <c r="AK141" i="2"/>
  <c r="AN157" i="2"/>
  <c r="AK170" i="2"/>
  <c r="AL170" i="2"/>
  <c r="AM170" i="2" s="1"/>
  <c r="S78" i="2"/>
  <c r="AU79" i="2"/>
  <c r="AN82" i="2"/>
  <c r="X83" i="2"/>
  <c r="W95" i="2"/>
  <c r="S104" i="2"/>
  <c r="X112" i="2"/>
  <c r="AL115" i="2"/>
  <c r="AM115" i="2" s="1"/>
  <c r="AJ115" i="2"/>
  <c r="AN115" i="2" s="1"/>
  <c r="AU119" i="2"/>
  <c r="X128" i="2"/>
  <c r="AK129" i="2"/>
  <c r="AQ134" i="2"/>
  <c r="AU134" i="2" s="1"/>
  <c r="X140" i="2"/>
  <c r="W140" i="2"/>
  <c r="AS142" i="2"/>
  <c r="AT142" i="2" s="1"/>
  <c r="AQ142" i="2"/>
  <c r="AJ169" i="2"/>
  <c r="AL169" i="2"/>
  <c r="AM169" i="2" s="1"/>
  <c r="AJ170" i="2"/>
  <c r="AQ175" i="2"/>
  <c r="AS175" i="2"/>
  <c r="AT175" i="2" s="1"/>
  <c r="AR175" i="2"/>
  <c r="AQ191" i="2"/>
  <c r="AR191" i="2"/>
  <c r="AS191" i="2"/>
  <c r="AT191" i="2" s="1"/>
  <c r="X110" i="2"/>
  <c r="AN140" i="2"/>
  <c r="X144" i="2"/>
  <c r="W150" i="2"/>
  <c r="X150" i="2"/>
  <c r="AJ164" i="2"/>
  <c r="AL164" i="2"/>
  <c r="AM164" i="2" s="1"/>
  <c r="AK164" i="2"/>
  <c r="W183" i="2"/>
  <c r="X183" i="2"/>
  <c r="AU81" i="2"/>
  <c r="X101" i="2"/>
  <c r="X109" i="2"/>
  <c r="AL111" i="2"/>
  <c r="AM111" i="2" s="1"/>
  <c r="AK111" i="2"/>
  <c r="X139" i="2"/>
  <c r="S87" i="2"/>
  <c r="X104" i="2"/>
  <c r="W108" i="2"/>
  <c r="X108" i="2"/>
  <c r="AJ111" i="2"/>
  <c r="AQ116" i="2"/>
  <c r="X138" i="2"/>
  <c r="AK139" i="2"/>
  <c r="AJ139" i="2"/>
  <c r="AS150" i="2"/>
  <c r="AT150" i="2" s="1"/>
  <c r="AQ150" i="2"/>
  <c r="AR150" i="2"/>
  <c r="W187" i="2"/>
  <c r="X187" i="2"/>
  <c r="AS81" i="2"/>
  <c r="AT81" i="2" s="1"/>
  <c r="AR82" i="2"/>
  <c r="AU82" i="2" s="1"/>
  <c r="W85" i="2"/>
  <c r="AL90" i="2"/>
  <c r="AM90" i="2" s="1"/>
  <c r="AN90" i="2" s="1"/>
  <c r="AJ91" i="2"/>
  <c r="AR93" i="2"/>
  <c r="AQ93" i="2"/>
  <c r="AU93" i="2" s="1"/>
  <c r="X97" i="2"/>
  <c r="W100" i="2"/>
  <c r="X100" i="2"/>
  <c r="X107" i="2"/>
  <c r="AJ110" i="2"/>
  <c r="AN110" i="2" s="1"/>
  <c r="AS116" i="2"/>
  <c r="AT116" i="2" s="1"/>
  <c r="X124" i="2"/>
  <c r="AR128" i="2"/>
  <c r="AS128" i="2"/>
  <c r="AT128" i="2" s="1"/>
  <c r="X136" i="2"/>
  <c r="AL139" i="2"/>
  <c r="AM139" i="2" s="1"/>
  <c r="AK207" i="2"/>
  <c r="AJ207" i="2"/>
  <c r="AL207" i="2"/>
  <c r="AM207" i="2" s="1"/>
  <c r="AS82" i="2"/>
  <c r="AT82" i="2" s="1"/>
  <c r="AL91" i="2"/>
  <c r="AM91" i="2" s="1"/>
  <c r="AL100" i="2"/>
  <c r="AM100" i="2" s="1"/>
  <c r="AJ100" i="2"/>
  <c r="AN108" i="2"/>
  <c r="X148" i="2"/>
  <c r="AS156" i="2"/>
  <c r="AT156" i="2" s="1"/>
  <c r="AQ156" i="2"/>
  <c r="AR156" i="2"/>
  <c r="AS174" i="2"/>
  <c r="AT174" i="2" s="1"/>
  <c r="AQ174" i="2"/>
  <c r="AR174" i="2"/>
  <c r="AK78" i="2"/>
  <c r="AN78" i="2" s="1"/>
  <c r="AR89" i="2"/>
  <c r="AS91" i="2"/>
  <c r="AT91" i="2" s="1"/>
  <c r="AQ91" i="2"/>
  <c r="AS92" i="2"/>
  <c r="AT92" i="2" s="1"/>
  <c r="AU92" i="2" s="1"/>
  <c r="AR94" i="2"/>
  <c r="AU94" i="2" s="1"/>
  <c r="AK100" i="2"/>
  <c r="AL101" i="2"/>
  <c r="AM101" i="2" s="1"/>
  <c r="AN101" i="2" s="1"/>
  <c r="AS102" i="2"/>
  <c r="AT102" i="2" s="1"/>
  <c r="AQ102" i="2"/>
  <c r="AN107" i="2"/>
  <c r="AU111" i="2"/>
  <c r="X122" i="2"/>
  <c r="W122" i="2"/>
  <c r="AL123" i="2"/>
  <c r="AM123" i="2" s="1"/>
  <c r="AJ123" i="2"/>
  <c r="AU127" i="2"/>
  <c r="AL137" i="2"/>
  <c r="AM137" i="2" s="1"/>
  <c r="AN137" i="2" s="1"/>
  <c r="W148" i="2"/>
  <c r="AJ155" i="2"/>
  <c r="AL155" i="2"/>
  <c r="AM155" i="2" s="1"/>
  <c r="AK155" i="2"/>
  <c r="AS187" i="2"/>
  <c r="AT187" i="2" s="1"/>
  <c r="AQ187" i="2"/>
  <c r="AR187" i="2"/>
  <c r="AQ40" i="2"/>
  <c r="AU40" i="2" s="1"/>
  <c r="AJ41" i="2"/>
  <c r="AN41" i="2" s="1"/>
  <c r="AQ48" i="2"/>
  <c r="AU48" i="2" s="1"/>
  <c r="AJ49" i="2"/>
  <c r="AN49" i="2" s="1"/>
  <c r="AK62" i="2"/>
  <c r="AN62" i="2" s="1"/>
  <c r="AQ65" i="2"/>
  <c r="AU65" i="2" s="1"/>
  <c r="X72" i="2"/>
  <c r="S75" i="2"/>
  <c r="AL78" i="2"/>
  <c r="AM78" i="2" s="1"/>
  <c r="AU83" i="2"/>
  <c r="AK85" i="2"/>
  <c r="AN85" i="2" s="1"/>
  <c r="AS89" i="2"/>
  <c r="AT89" i="2" s="1"/>
  <c r="AR101" i="2"/>
  <c r="AU101" i="2" s="1"/>
  <c r="AS101" i="2"/>
  <c r="AT101" i="2" s="1"/>
  <c r="X134" i="2"/>
  <c r="AU139" i="2"/>
  <c r="AJ148" i="2"/>
  <c r="AL148" i="2"/>
  <c r="AM148" i="2" s="1"/>
  <c r="AK148" i="2"/>
  <c r="AJ163" i="2"/>
  <c r="AL163" i="2"/>
  <c r="AM163" i="2" s="1"/>
  <c r="AK163" i="2"/>
  <c r="AJ167" i="2"/>
  <c r="AL167" i="2"/>
  <c r="AM167" i="2" s="1"/>
  <c r="AU90" i="2"/>
  <c r="AN99" i="2"/>
  <c r="AK106" i="2"/>
  <c r="AJ106" i="2"/>
  <c r="AJ143" i="2"/>
  <c r="AL143" i="2"/>
  <c r="AM143" i="2" s="1"/>
  <c r="AK143" i="2"/>
  <c r="AJ159" i="2"/>
  <c r="AK159" i="2"/>
  <c r="AN72" i="2"/>
  <c r="X80" i="2"/>
  <c r="S82" i="2"/>
  <c r="AJ87" i="2"/>
  <c r="AN87" i="2" s="1"/>
  <c r="S89" i="2"/>
  <c r="AR100" i="2"/>
  <c r="AS100" i="2"/>
  <c r="AT100" i="2" s="1"/>
  <c r="AQ100" i="2"/>
  <c r="AU100" i="2" s="1"/>
  <c r="AN105" i="2"/>
  <c r="AL106" i="2"/>
  <c r="AM106" i="2" s="1"/>
  <c r="X118" i="2"/>
  <c r="X121" i="2"/>
  <c r="AR124" i="2"/>
  <c r="AQ124" i="2"/>
  <c r="AU125" i="2"/>
  <c r="AR126" i="2"/>
  <c r="AS126" i="2"/>
  <c r="AT126" i="2" s="1"/>
  <c r="AQ126" i="2"/>
  <c r="AU126" i="2" s="1"/>
  <c r="W131" i="2"/>
  <c r="X131" i="2"/>
  <c r="AJ147" i="2"/>
  <c r="AU148" i="2"/>
  <c r="AL159" i="2"/>
  <c r="AM159" i="2" s="1"/>
  <c r="AQ167" i="2"/>
  <c r="AS167" i="2"/>
  <c r="AT167" i="2" s="1"/>
  <c r="AR167" i="2"/>
  <c r="AJ171" i="2"/>
  <c r="AL171" i="2"/>
  <c r="AM171" i="2" s="1"/>
  <c r="AK171" i="2"/>
  <c r="AS178" i="2"/>
  <c r="AT178" i="2" s="1"/>
  <c r="AQ178" i="2"/>
  <c r="AR178" i="2"/>
  <c r="S54" i="2"/>
  <c r="S70" i="2"/>
  <c r="AU71" i="2"/>
  <c r="AU99" i="2"/>
  <c r="AN119" i="2"/>
  <c r="AS171" i="2"/>
  <c r="AT171" i="2" s="1"/>
  <c r="AQ171" i="2"/>
  <c r="AU171" i="2" s="1"/>
  <c r="AR171" i="2"/>
  <c r="AN191" i="2"/>
  <c r="W143" i="2"/>
  <c r="X143" i="2"/>
  <c r="W163" i="2"/>
  <c r="X163" i="2"/>
  <c r="X166" i="2"/>
  <c r="AJ183" i="2"/>
  <c r="AL183" i="2"/>
  <c r="AM183" i="2" s="1"/>
  <c r="AJ185" i="2"/>
  <c r="AL185" i="2"/>
  <c r="AM185" i="2" s="1"/>
  <c r="AK186" i="2"/>
  <c r="AN186" i="2" s="1"/>
  <c r="AL186" i="2"/>
  <c r="AM186" i="2" s="1"/>
  <c r="AR218" i="2"/>
  <c r="AS218" i="2"/>
  <c r="AT218" i="2" s="1"/>
  <c r="AQ218" i="2"/>
  <c r="AU201" i="2"/>
  <c r="AS216" i="2"/>
  <c r="AT216" i="2" s="1"/>
  <c r="AQ216" i="2"/>
  <c r="AU216" i="2" s="1"/>
  <c r="AJ245" i="2"/>
  <c r="AK245" i="2"/>
  <c r="AL245" i="2"/>
  <c r="AM245" i="2" s="1"/>
  <c r="AS120" i="2"/>
  <c r="AT120" i="2" s="1"/>
  <c r="AU120" i="2" s="1"/>
  <c r="AS138" i="2"/>
  <c r="AT138" i="2" s="1"/>
  <c r="AL144" i="2"/>
  <c r="AM144" i="2" s="1"/>
  <c r="AN144" i="2" s="1"/>
  <c r="AL145" i="2"/>
  <c r="AM145" i="2" s="1"/>
  <c r="AN145" i="2" s="1"/>
  <c r="AL165" i="2"/>
  <c r="AM165" i="2" s="1"/>
  <c r="AJ165" i="2"/>
  <c r="AK166" i="2"/>
  <c r="AL166" i="2"/>
  <c r="AM166" i="2" s="1"/>
  <c r="AS170" i="2"/>
  <c r="AT170" i="2" s="1"/>
  <c r="AQ170" i="2"/>
  <c r="X182" i="2"/>
  <c r="X198" i="2"/>
  <c r="AU202" i="2"/>
  <c r="AR216" i="2"/>
  <c r="X230" i="2"/>
  <c r="W230" i="2"/>
  <c r="W179" i="2"/>
  <c r="X179" i="2"/>
  <c r="AQ183" i="2"/>
  <c r="AS183" i="2"/>
  <c r="AT183" i="2" s="1"/>
  <c r="AS186" i="2"/>
  <c r="AT186" i="2" s="1"/>
  <c r="AQ186" i="2"/>
  <c r="AS213" i="2"/>
  <c r="AT213" i="2" s="1"/>
  <c r="AR213" i="2"/>
  <c r="AJ228" i="2"/>
  <c r="AL228" i="2"/>
  <c r="AM228" i="2" s="1"/>
  <c r="AK228" i="2"/>
  <c r="S94" i="2"/>
  <c r="AS130" i="2"/>
  <c r="AT130" i="2" s="1"/>
  <c r="AU130" i="2" s="1"/>
  <c r="AQ140" i="2"/>
  <c r="AJ150" i="2"/>
  <c r="AN150" i="2" s="1"/>
  <c r="X160" i="2"/>
  <c r="AJ161" i="2"/>
  <c r="AJ179" i="2"/>
  <c r="AL179" i="2"/>
  <c r="AM179" i="2" s="1"/>
  <c r="AL181" i="2"/>
  <c r="AM181" i="2" s="1"/>
  <c r="AJ181" i="2"/>
  <c r="AK182" i="2"/>
  <c r="AL182" i="2"/>
  <c r="AM182" i="2" s="1"/>
  <c r="AR183" i="2"/>
  <c r="AR186" i="2"/>
  <c r="AJ195" i="2"/>
  <c r="AN198" i="2"/>
  <c r="AU199" i="2"/>
  <c r="AQ213" i="2"/>
  <c r="AU213" i="2" s="1"/>
  <c r="AQ228" i="2"/>
  <c r="AR228" i="2"/>
  <c r="AS228" i="2"/>
  <c r="AT228" i="2" s="1"/>
  <c r="AK249" i="2"/>
  <c r="AL249" i="2"/>
  <c r="AM249" i="2" s="1"/>
  <c r="AJ249" i="2"/>
  <c r="AS140" i="2"/>
  <c r="AT140" i="2" s="1"/>
  <c r="AS146" i="2"/>
  <c r="AT146" i="2" s="1"/>
  <c r="AQ146" i="2"/>
  <c r="AL150" i="2"/>
  <c r="AM150" i="2" s="1"/>
  <c r="AJ160" i="2"/>
  <c r="AK160" i="2"/>
  <c r="AL161" i="2"/>
  <c r="AM161" i="2" s="1"/>
  <c r="AS163" i="2"/>
  <c r="AT163" i="2" s="1"/>
  <c r="AQ163" i="2"/>
  <c r="AS166" i="2"/>
  <c r="AT166" i="2" s="1"/>
  <c r="AQ166" i="2"/>
  <c r="AN182" i="2"/>
  <c r="AL195" i="2"/>
  <c r="AM195" i="2" s="1"/>
  <c r="AK206" i="2"/>
  <c r="AL206" i="2"/>
  <c r="AM206" i="2" s="1"/>
  <c r="W232" i="2"/>
  <c r="X232" i="2"/>
  <c r="X258" i="2"/>
  <c r="S102" i="2"/>
  <c r="AS122" i="2"/>
  <c r="AT122" i="2" s="1"/>
  <c r="AQ132" i="2"/>
  <c r="AU132" i="2" s="1"/>
  <c r="X137" i="2"/>
  <c r="AQ143" i="2"/>
  <c r="AS144" i="2"/>
  <c r="AT144" i="2" s="1"/>
  <c r="AU144" i="2" s="1"/>
  <c r="AR146" i="2"/>
  <c r="W159" i="2"/>
  <c r="X159" i="2"/>
  <c r="AL160" i="2"/>
  <c r="AM160" i="2" s="1"/>
  <c r="AR163" i="2"/>
  <c r="AR166" i="2"/>
  <c r="X194" i="2"/>
  <c r="W194" i="2"/>
  <c r="AJ206" i="2"/>
  <c r="AN206" i="2" s="1"/>
  <c r="AK217" i="2"/>
  <c r="AN217" i="2" s="1"/>
  <c r="AL217" i="2"/>
  <c r="AM217" i="2" s="1"/>
  <c r="AS179" i="2"/>
  <c r="AT179" i="2" s="1"/>
  <c r="AQ179" i="2"/>
  <c r="AS182" i="2"/>
  <c r="AT182" i="2" s="1"/>
  <c r="AQ182" i="2"/>
  <c r="X192" i="2"/>
  <c r="AK194" i="2"/>
  <c r="AL194" i="2"/>
  <c r="AM194" i="2" s="1"/>
  <c r="AU195" i="2"/>
  <c r="AJ209" i="2"/>
  <c r="AL209" i="2"/>
  <c r="AM209" i="2" s="1"/>
  <c r="AL86" i="2"/>
  <c r="AM86" i="2" s="1"/>
  <c r="AN86" i="2" s="1"/>
  <c r="S95" i="2"/>
  <c r="AS114" i="2"/>
  <c r="AT114" i="2" s="1"/>
  <c r="AU114" i="2" s="1"/>
  <c r="AK154" i="2"/>
  <c r="AN154" i="2" s="1"/>
  <c r="AL154" i="2"/>
  <c r="AM154" i="2" s="1"/>
  <c r="AS162" i="2"/>
  <c r="AT162" i="2" s="1"/>
  <c r="AQ162" i="2"/>
  <c r="AJ175" i="2"/>
  <c r="AL175" i="2"/>
  <c r="AM175" i="2" s="1"/>
  <c r="AJ177" i="2"/>
  <c r="AL177" i="2"/>
  <c r="AM177" i="2" s="1"/>
  <c r="AK178" i="2"/>
  <c r="AL178" i="2"/>
  <c r="AM178" i="2" s="1"/>
  <c r="AR179" i="2"/>
  <c r="AR182" i="2"/>
  <c r="W192" i="2"/>
  <c r="AN193" i="2"/>
  <c r="AJ194" i="2"/>
  <c r="AU196" i="2"/>
  <c r="AU197" i="2"/>
  <c r="AK204" i="2"/>
  <c r="AJ204" i="2"/>
  <c r="AQ206" i="2"/>
  <c r="AS206" i="2"/>
  <c r="AT206" i="2" s="1"/>
  <c r="AR206" i="2"/>
  <c r="AK209" i="2"/>
  <c r="X211" i="2"/>
  <c r="W211" i="2"/>
  <c r="W214" i="2"/>
  <c r="X214" i="2"/>
  <c r="AS217" i="2"/>
  <c r="AT217" i="2" s="1"/>
  <c r="AR217" i="2"/>
  <c r="AQ225" i="2"/>
  <c r="AR225" i="2"/>
  <c r="X227" i="2"/>
  <c r="W227" i="2"/>
  <c r="AK240" i="2"/>
  <c r="AJ240" i="2"/>
  <c r="AL240" i="2"/>
  <c r="AM240" i="2" s="1"/>
  <c r="X255" i="2"/>
  <c r="W203" i="2"/>
  <c r="X203" i="2"/>
  <c r="AU212" i="2"/>
  <c r="AU217" i="2"/>
  <c r="W171" i="2"/>
  <c r="X171" i="2"/>
  <c r="X174" i="2"/>
  <c r="X190" i="2"/>
  <c r="AN192" i="2"/>
  <c r="AS194" i="2"/>
  <c r="AT194" i="2" s="1"/>
  <c r="AR194" i="2"/>
  <c r="AU194" i="2" s="1"/>
  <c r="W201" i="2"/>
  <c r="X201" i="2"/>
  <c r="AJ203" i="2"/>
  <c r="AL203" i="2"/>
  <c r="AM203" i="2" s="1"/>
  <c r="X224" i="2"/>
  <c r="AS247" i="2"/>
  <c r="AT247" i="2" s="1"/>
  <c r="AR247" i="2"/>
  <c r="AQ247" i="2"/>
  <c r="AU251" i="2"/>
  <c r="AN246" i="2"/>
  <c r="AR155" i="2"/>
  <c r="AU155" i="2" s="1"/>
  <c r="AS159" i="2"/>
  <c r="AT159" i="2" s="1"/>
  <c r="AL173" i="2"/>
  <c r="AM173" i="2" s="1"/>
  <c r="AJ173" i="2"/>
  <c r="AK174" i="2"/>
  <c r="AL174" i="2"/>
  <c r="AM174" i="2" s="1"/>
  <c r="AJ187" i="2"/>
  <c r="AN187" i="2" s="1"/>
  <c r="AL187" i="2"/>
  <c r="AM187" i="2" s="1"/>
  <c r="AL189" i="2"/>
  <c r="AM189" i="2" s="1"/>
  <c r="AJ189" i="2"/>
  <c r="AK190" i="2"/>
  <c r="AL190" i="2"/>
  <c r="AM190" i="2" s="1"/>
  <c r="X200" i="2"/>
  <c r="AJ102" i="2"/>
  <c r="AN102" i="2" s="1"/>
  <c r="AQ109" i="2"/>
  <c r="AU109" i="2" s="1"/>
  <c r="AQ136" i="2"/>
  <c r="W147" i="2"/>
  <c r="X147" i="2"/>
  <c r="W167" i="2"/>
  <c r="X167" i="2"/>
  <c r="AK173" i="2"/>
  <c r="AJ174" i="2"/>
  <c r="AN174" i="2" s="1"/>
  <c r="AU177" i="2"/>
  <c r="AK187" i="2"/>
  <c r="AK189" i="2"/>
  <c r="AJ190" i="2"/>
  <c r="W200" i="2"/>
  <c r="AK236" i="2"/>
  <c r="AJ236" i="2"/>
  <c r="AN236" i="2" s="1"/>
  <c r="AL236" i="2"/>
  <c r="AM236" i="2" s="1"/>
  <c r="AU211" i="2"/>
  <c r="AJ220" i="2"/>
  <c r="AK220" i="2"/>
  <c r="AS233" i="2"/>
  <c r="AT233" i="2" s="1"/>
  <c r="AQ233" i="2"/>
  <c r="AN265" i="2"/>
  <c r="X269" i="2"/>
  <c r="X235" i="2"/>
  <c r="AS249" i="2"/>
  <c r="AT249" i="2" s="1"/>
  <c r="AR249" i="2"/>
  <c r="AQ249" i="2"/>
  <c r="AL255" i="2"/>
  <c r="AM255" i="2" s="1"/>
  <c r="AJ255" i="2"/>
  <c r="AK255" i="2"/>
  <c r="X264" i="2"/>
  <c r="W264" i="2"/>
  <c r="AQ265" i="2"/>
  <c r="AR265" i="2"/>
  <c r="AL223" i="2"/>
  <c r="AM223" i="2" s="1"/>
  <c r="AJ223" i="2"/>
  <c r="AL239" i="2"/>
  <c r="AM239" i="2" s="1"/>
  <c r="AK239" i="2"/>
  <c r="X251" i="2"/>
  <c r="AN260" i="2"/>
  <c r="AN264" i="2"/>
  <c r="AS265" i="2"/>
  <c r="AT265" i="2" s="1"/>
  <c r="AN269" i="2"/>
  <c r="AU273" i="2"/>
  <c r="AU230" i="2"/>
  <c r="AL232" i="2"/>
  <c r="AM232" i="2" s="1"/>
  <c r="AJ232" i="2"/>
  <c r="AK232" i="2"/>
  <c r="AN235" i="2"/>
  <c r="AN239" i="2"/>
  <c r="AR243" i="2"/>
  <c r="AS243" i="2"/>
  <c r="AT243" i="2" s="1"/>
  <c r="AQ243" i="2"/>
  <c r="X257" i="2"/>
  <c r="AS258" i="2"/>
  <c r="AT258" i="2" s="1"/>
  <c r="AR258" i="2"/>
  <c r="X274" i="2"/>
  <c r="AU205" i="2"/>
  <c r="AN219" i="2"/>
  <c r="AN254" i="2"/>
  <c r="AR210" i="2"/>
  <c r="AQ210" i="2"/>
  <c r="W244" i="2"/>
  <c r="X244" i="2"/>
  <c r="AL248" i="2"/>
  <c r="AM248" i="2" s="1"/>
  <c r="AJ248" i="2"/>
  <c r="AK248" i="2"/>
  <c r="X259" i="2"/>
  <c r="AN285" i="2"/>
  <c r="AR293" i="2"/>
  <c r="AS293" i="2"/>
  <c r="AT293" i="2" s="1"/>
  <c r="AQ293" i="2"/>
  <c r="AU293" i="2" s="1"/>
  <c r="AL152" i="2"/>
  <c r="AM152" i="2" s="1"/>
  <c r="AN152" i="2" s="1"/>
  <c r="AL158" i="2"/>
  <c r="AM158" i="2" s="1"/>
  <c r="AN158" i="2" s="1"/>
  <c r="X191" i="2"/>
  <c r="W193" i="2"/>
  <c r="X193" i="2"/>
  <c r="AS210" i="2"/>
  <c r="AT210" i="2" s="1"/>
  <c r="X216" i="2"/>
  <c r="AJ222" i="2"/>
  <c r="AK222" i="2"/>
  <c r="W225" i="2"/>
  <c r="X225" i="2"/>
  <c r="AJ234" i="2"/>
  <c r="AL234" i="2"/>
  <c r="AM234" i="2" s="1"/>
  <c r="AK234" i="2"/>
  <c r="X241" i="2"/>
  <c r="AS242" i="2"/>
  <c r="AT242" i="2" s="1"/>
  <c r="AQ242" i="2"/>
  <c r="AJ244" i="2"/>
  <c r="AL244" i="2"/>
  <c r="AM244" i="2" s="1"/>
  <c r="W272" i="2"/>
  <c r="X272" i="2"/>
  <c r="X247" i="2"/>
  <c r="W253" i="2"/>
  <c r="X253" i="2"/>
  <c r="AL272" i="2"/>
  <c r="AM272" i="2" s="1"/>
  <c r="AJ272" i="2"/>
  <c r="AK272" i="2"/>
  <c r="W279" i="2"/>
  <c r="X279" i="2"/>
  <c r="W247" i="2"/>
  <c r="AQ248" i="2"/>
  <c r="AU248" i="2" s="1"/>
  <c r="AJ253" i="2"/>
  <c r="AL253" i="2"/>
  <c r="AM253" i="2" s="1"/>
  <c r="AK253" i="2"/>
  <c r="AU257" i="2"/>
  <c r="AS209" i="2"/>
  <c r="AT209" i="2" s="1"/>
  <c r="AU209" i="2" s="1"/>
  <c r="AR209" i="2"/>
  <c r="AJ218" i="2"/>
  <c r="AL218" i="2"/>
  <c r="AM218" i="2" s="1"/>
  <c r="AK218" i="2"/>
  <c r="AJ221" i="2"/>
  <c r="AN221" i="2" s="1"/>
  <c r="AL221" i="2"/>
  <c r="AM221" i="2" s="1"/>
  <c r="AQ244" i="2"/>
  <c r="AS244" i="2"/>
  <c r="AT244" i="2" s="1"/>
  <c r="AR244" i="2"/>
  <c r="AS248" i="2"/>
  <c r="AT248" i="2" s="1"/>
  <c r="X256" i="2"/>
  <c r="AN247" i="2"/>
  <c r="AJ263" i="2"/>
  <c r="AL263" i="2"/>
  <c r="AM263" i="2" s="1"/>
  <c r="AK263" i="2"/>
  <c r="AS270" i="2"/>
  <c r="AT270" i="2" s="1"/>
  <c r="AR270" i="2"/>
  <c r="X243" i="2"/>
  <c r="W243" i="2"/>
  <c r="AU253" i="2"/>
  <c r="AK256" i="2"/>
  <c r="AJ256" i="2"/>
  <c r="AL256" i="2"/>
  <c r="AM256" i="2" s="1"/>
  <c r="AU259" i="2"/>
  <c r="AQ270" i="2"/>
  <c r="AK200" i="2"/>
  <c r="AJ200" i="2"/>
  <c r="AN200" i="2" s="1"/>
  <c r="AL215" i="2"/>
  <c r="AM215" i="2" s="1"/>
  <c r="AJ215" i="2"/>
  <c r="AS231" i="2"/>
  <c r="AT231" i="2" s="1"/>
  <c r="AR231" i="2"/>
  <c r="AU231" i="2" s="1"/>
  <c r="AK233" i="2"/>
  <c r="AN233" i="2" s="1"/>
  <c r="AL233" i="2"/>
  <c r="AM233" i="2" s="1"/>
  <c r="X236" i="2"/>
  <c r="W236" i="2"/>
  <c r="W249" i="2"/>
  <c r="X249" i="2"/>
  <c r="AJ275" i="2"/>
  <c r="AK275" i="2"/>
  <c r="AU240" i="2"/>
  <c r="X242" i="2"/>
  <c r="AU245" i="2"/>
  <c r="X265" i="2"/>
  <c r="X268" i="2"/>
  <c r="AS269" i="2"/>
  <c r="AT269" i="2" s="1"/>
  <c r="AQ269" i="2"/>
  <c r="AU269" i="2" s="1"/>
  <c r="AK271" i="2"/>
  <c r="AL271" i="2"/>
  <c r="AM271" i="2" s="1"/>
  <c r="AJ282" i="2"/>
  <c r="AL282" i="2"/>
  <c r="AM282" i="2" s="1"/>
  <c r="AK282" i="2"/>
  <c r="AS295" i="2"/>
  <c r="AT295" i="2" s="1"/>
  <c r="AQ295" i="2"/>
  <c r="AU295" i="2" s="1"/>
  <c r="AK299" i="2"/>
  <c r="AL299" i="2"/>
  <c r="AM299" i="2" s="1"/>
  <c r="AK303" i="2"/>
  <c r="AL303" i="2"/>
  <c r="AM303" i="2" s="1"/>
  <c r="AJ303" i="2"/>
  <c r="X307" i="2"/>
  <c r="W307" i="2"/>
  <c r="X322" i="2"/>
  <c r="AR277" i="2"/>
  <c r="AQ277" i="2"/>
  <c r="X284" i="2"/>
  <c r="AQ297" i="2"/>
  <c r="AS297" i="2"/>
  <c r="AT297" i="2" s="1"/>
  <c r="AR297" i="2"/>
  <c r="AK305" i="2"/>
  <c r="AJ305" i="2"/>
  <c r="AJ307" i="2"/>
  <c r="AK307" i="2"/>
  <c r="AL213" i="2"/>
  <c r="AM213" i="2" s="1"/>
  <c r="AN213" i="2" s="1"/>
  <c r="AR227" i="2"/>
  <c r="AS227" i="2"/>
  <c r="AT227" i="2" s="1"/>
  <c r="AN231" i="2"/>
  <c r="AS251" i="2"/>
  <c r="AT251" i="2" s="1"/>
  <c r="AL268" i="2"/>
  <c r="AM268" i="2" s="1"/>
  <c r="AJ268" i="2"/>
  <c r="AN268" i="2" s="1"/>
  <c r="X276" i="2"/>
  <c r="AS277" i="2"/>
  <c r="AT277" i="2" s="1"/>
  <c r="AJ279" i="2"/>
  <c r="AN279" i="2" s="1"/>
  <c r="W284" i="2"/>
  <c r="X296" i="2"/>
  <c r="W296" i="2"/>
  <c r="AL305" i="2"/>
  <c r="AM305" i="2" s="1"/>
  <c r="AL307" i="2"/>
  <c r="AM307" i="2" s="1"/>
  <c r="AS315" i="2"/>
  <c r="AT315" i="2" s="1"/>
  <c r="AR315" i="2"/>
  <c r="AQ315" i="2"/>
  <c r="AN324" i="2"/>
  <c r="AL211" i="2"/>
  <c r="AM211" i="2" s="1"/>
  <c r="AJ211" i="2"/>
  <c r="AN211" i="2" s="1"/>
  <c r="AU215" i="2"/>
  <c r="AQ260" i="2"/>
  <c r="AR260" i="2"/>
  <c r="AU266" i="2"/>
  <c r="X270" i="2"/>
  <c r="X273" i="2"/>
  <c r="AS274" i="2"/>
  <c r="AT274" i="2" s="1"/>
  <c r="AQ274" i="2"/>
  <c r="AK276" i="2"/>
  <c r="AL276" i="2"/>
  <c r="AM276" i="2" s="1"/>
  <c r="AL279" i="2"/>
  <c r="AM279" i="2" s="1"/>
  <c r="X281" i="2"/>
  <c r="AL284" i="2"/>
  <c r="AM284" i="2" s="1"/>
  <c r="AK284" i="2"/>
  <c r="AK296" i="2"/>
  <c r="AJ296" i="2"/>
  <c r="AN296" i="2" s="1"/>
  <c r="X316" i="2"/>
  <c r="W316" i="2"/>
  <c r="X289" i="2"/>
  <c r="AU301" i="2"/>
  <c r="AR305" i="2"/>
  <c r="AQ305" i="2"/>
  <c r="AL316" i="2"/>
  <c r="AM316" i="2" s="1"/>
  <c r="AK316" i="2"/>
  <c r="AJ316" i="2"/>
  <c r="AU271" i="2"/>
  <c r="AJ273" i="2"/>
  <c r="AL273" i="2"/>
  <c r="AM273" i="2" s="1"/>
  <c r="AU279" i="2"/>
  <c r="X286" i="2"/>
  <c r="AQ313" i="2"/>
  <c r="AS313" i="2"/>
  <c r="AT313" i="2" s="1"/>
  <c r="AR313" i="2"/>
  <c r="X325" i="2"/>
  <c r="X223" i="2"/>
  <c r="AK224" i="2"/>
  <c r="AJ224" i="2"/>
  <c r="AS226" i="2"/>
  <c r="AT226" i="2" s="1"/>
  <c r="AQ226" i="2"/>
  <c r="AJ229" i="2"/>
  <c r="AL229" i="2"/>
  <c r="AM229" i="2" s="1"/>
  <c r="W258" i="2"/>
  <c r="X261" i="2"/>
  <c r="W267" i="2"/>
  <c r="X267" i="2"/>
  <c r="AU268" i="2"/>
  <c r="AK270" i="2"/>
  <c r="AN270" i="2" s="1"/>
  <c r="AK273" i="2"/>
  <c r="X275" i="2"/>
  <c r="AJ294" i="2"/>
  <c r="AL224" i="2"/>
  <c r="AM224" i="2" s="1"/>
  <c r="AR226" i="2"/>
  <c r="AK229" i="2"/>
  <c r="AK241" i="2"/>
  <c r="AN241" i="2" s="1"/>
  <c r="X252" i="2"/>
  <c r="W252" i="2"/>
  <c r="AL261" i="2"/>
  <c r="AM261" i="2" s="1"/>
  <c r="AK261" i="2"/>
  <c r="AK267" i="2"/>
  <c r="AJ267" i="2"/>
  <c r="AL270" i="2"/>
  <c r="AM270" i="2" s="1"/>
  <c r="W275" i="2"/>
  <c r="AU276" i="2"/>
  <c r="AU284" i="2"/>
  <c r="AN289" i="2"/>
  <c r="AL294" i="2"/>
  <c r="AM294" i="2" s="1"/>
  <c r="AU296" i="2"/>
  <c r="X302" i="2"/>
  <c r="W302" i="2"/>
  <c r="W320" i="2"/>
  <c r="X320" i="2"/>
  <c r="X291" i="2"/>
  <c r="AQ292" i="2"/>
  <c r="AR292" i="2"/>
  <c r="AL300" i="2"/>
  <c r="AM300" i="2" s="1"/>
  <c r="AK300" i="2"/>
  <c r="AJ300" i="2"/>
  <c r="AJ302" i="2"/>
  <c r="AK302" i="2"/>
  <c r="X308" i="2"/>
  <c r="AS292" i="2"/>
  <c r="AT292" i="2" s="1"/>
  <c r="AL302" i="2"/>
  <c r="AM302" i="2" s="1"/>
  <c r="AL304" i="2"/>
  <c r="AM304" i="2" s="1"/>
  <c r="AN304" i="2" s="1"/>
  <c r="AK304" i="2"/>
  <c r="W308" i="2"/>
  <c r="AJ314" i="2"/>
  <c r="AN314" i="2" s="1"/>
  <c r="AL314" i="2"/>
  <c r="AM314" i="2" s="1"/>
  <c r="X297" i="2"/>
  <c r="W297" i="2"/>
  <c r="AK308" i="2"/>
  <c r="AL308" i="2"/>
  <c r="AM308" i="2" s="1"/>
  <c r="AJ308" i="2"/>
  <c r="AS310" i="2"/>
  <c r="AT310" i="2" s="1"/>
  <c r="AQ310" i="2"/>
  <c r="AL216" i="2"/>
  <c r="AM216" i="2" s="1"/>
  <c r="AK216" i="2"/>
  <c r="W221" i="2"/>
  <c r="X221" i="2"/>
  <c r="AU224" i="2"/>
  <c r="AQ241" i="2"/>
  <c r="AS241" i="2"/>
  <c r="AT241" i="2" s="1"/>
  <c r="AJ257" i="2"/>
  <c r="AK257" i="2"/>
  <c r="AL280" i="2"/>
  <c r="AM280" i="2" s="1"/>
  <c r="AN280" i="2" s="1"/>
  <c r="AQ281" i="2"/>
  <c r="AS281" i="2"/>
  <c r="AT281" i="2" s="1"/>
  <c r="AQ286" i="2"/>
  <c r="AU286" i="2" s="1"/>
  <c r="X293" i="2"/>
  <c r="AU298" i="2"/>
  <c r="AS300" i="2"/>
  <c r="AT300" i="2" s="1"/>
  <c r="AQ300" i="2"/>
  <c r="AR310" i="2"/>
  <c r="AU318" i="2"/>
  <c r="X321" i="2"/>
  <c r="W321" i="2"/>
  <c r="AU278" i="2"/>
  <c r="AQ308" i="2"/>
  <c r="AS308" i="2"/>
  <c r="AT308" i="2" s="1"/>
  <c r="AR308" i="2"/>
  <c r="W311" i="2"/>
  <c r="X311" i="2"/>
  <c r="AL293" i="2"/>
  <c r="AM293" i="2" s="1"/>
  <c r="AK293" i="2"/>
  <c r="AJ293" i="2"/>
  <c r="AK295" i="2"/>
  <c r="AJ295" i="2"/>
  <c r="AU306" i="2"/>
  <c r="X309" i="2"/>
  <c r="AL311" i="2"/>
  <c r="AM311" i="2" s="1"/>
  <c r="AK311" i="2"/>
  <c r="AJ311" i="2"/>
  <c r="X213" i="2"/>
  <c r="X220" i="2"/>
  <c r="W220" i="2"/>
  <c r="X226" i="2"/>
  <c r="AJ266" i="2"/>
  <c r="AN266" i="2" s="1"/>
  <c r="AK266" i="2"/>
  <c r="AU275" i="2"/>
  <c r="AL295" i="2"/>
  <c r="AM295" i="2" s="1"/>
  <c r="X301" i="2"/>
  <c r="AU264" i="2"/>
  <c r="AL278" i="2"/>
  <c r="AM278" i="2" s="1"/>
  <c r="AN278" i="2" s="1"/>
  <c r="AS289" i="2"/>
  <c r="AT289" i="2" s="1"/>
  <c r="AU289" i="2" s="1"/>
  <c r="AR294" i="2"/>
  <c r="AU294" i="2" s="1"/>
  <c r="AR299" i="2"/>
  <c r="AU299" i="2" s="1"/>
  <c r="AS304" i="2"/>
  <c r="AT304" i="2" s="1"/>
  <c r="AU304" i="2" s="1"/>
  <c r="AL312" i="2"/>
  <c r="AM312" i="2" s="1"/>
  <c r="AN312" i="2" s="1"/>
  <c r="AS314" i="2"/>
  <c r="AT314" i="2" s="1"/>
  <c r="AU314" i="2" s="1"/>
  <c r="AL323" i="2"/>
  <c r="AM323" i="2" s="1"/>
  <c r="AN323" i="2" s="1"/>
  <c r="X327" i="2"/>
  <c r="W327" i="2"/>
  <c r="AK277" i="2"/>
  <c r="AN277" i="2" s="1"/>
  <c r="AL287" i="2"/>
  <c r="AM287" i="2" s="1"/>
  <c r="AN287" i="2" s="1"/>
  <c r="AL292" i="2"/>
  <c r="AM292" i="2" s="1"/>
  <c r="AN292" i="2" s="1"/>
  <c r="W322" i="2"/>
  <c r="AK325" i="2"/>
  <c r="AN325" i="2" s="1"/>
  <c r="X280" i="2"/>
  <c r="AN286" i="2"/>
  <c r="X300" i="2"/>
  <c r="X305" i="2"/>
  <c r="AN306" i="2"/>
  <c r="AU317" i="2"/>
  <c r="AL320" i="2"/>
  <c r="AM320" i="2" s="1"/>
  <c r="AK320" i="2"/>
  <c r="AN320" i="2" s="1"/>
  <c r="AU323" i="2"/>
  <c r="AU312" i="2"/>
  <c r="AS325" i="2"/>
  <c r="AT325" i="2" s="1"/>
  <c r="AR325" i="2"/>
  <c r="AQ325" i="2"/>
  <c r="AQ327" i="2"/>
  <c r="AU256" i="2"/>
  <c r="W309" i="2"/>
  <c r="AJ310" i="2"/>
  <c r="AN310" i="2" s="1"/>
  <c r="AJ315" i="2"/>
  <c r="AR327" i="2"/>
  <c r="AL315" i="2"/>
  <c r="AM315" i="2" s="1"/>
  <c r="AK319" i="2"/>
  <c r="AJ319" i="2"/>
  <c r="AS320" i="2"/>
  <c r="AT320" i="2" s="1"/>
  <c r="AR320" i="2"/>
  <c r="AQ320" i="2"/>
  <c r="X328" i="2"/>
  <c r="X312" i="2"/>
  <c r="X317" i="2"/>
  <c r="AU328" i="2"/>
  <c r="AJ283" i="2"/>
  <c r="AN283" i="2" s="1"/>
  <c r="AJ288" i="2"/>
  <c r="AN288" i="2" s="1"/>
  <c r="AK298" i="2"/>
  <c r="AN298" i="2" s="1"/>
  <c r="AQ309" i="2"/>
  <c r="AU309" i="2" s="1"/>
  <c r="AS326" i="2"/>
  <c r="AT326" i="2" s="1"/>
  <c r="AR326" i="2"/>
  <c r="AU326" i="2" s="1"/>
  <c r="W325" i="2"/>
  <c r="AJ328" i="2"/>
  <c r="AK328" i="2"/>
  <c r="AQ324" i="2"/>
  <c r="AR324" i="2"/>
  <c r="AU324" i="2" l="1"/>
  <c r="AU241" i="2"/>
  <c r="AN275" i="2"/>
  <c r="AU124" i="2"/>
  <c r="AN139" i="2"/>
  <c r="AN48" i="2"/>
  <c r="AU30" i="2"/>
  <c r="AN35" i="2"/>
  <c r="AN132" i="2"/>
  <c r="AN224" i="2"/>
  <c r="AN248" i="2"/>
  <c r="AU136" i="2"/>
  <c r="AU166" i="2"/>
  <c r="AU228" i="2"/>
  <c r="AU140" i="2"/>
  <c r="AU187" i="2"/>
  <c r="AU69" i="2"/>
  <c r="AU2" i="2"/>
  <c r="AU165" i="2"/>
  <c r="AN151" i="2"/>
  <c r="AN135" i="2"/>
  <c r="AU236" i="2"/>
  <c r="AU198" i="2"/>
  <c r="AU247" i="2"/>
  <c r="AN178" i="2"/>
  <c r="AU163" i="2"/>
  <c r="AU32" i="2"/>
  <c r="AU49" i="2"/>
  <c r="AN76" i="2"/>
  <c r="AN188" i="2"/>
  <c r="AU180" i="2"/>
  <c r="AU300" i="2"/>
  <c r="AN216" i="2"/>
  <c r="AU143" i="2"/>
  <c r="AN195" i="2"/>
  <c r="AU170" i="2"/>
  <c r="AU91" i="2"/>
  <c r="AU36" i="2"/>
  <c r="AN37" i="2"/>
  <c r="AU107" i="2"/>
  <c r="AN20" i="2"/>
  <c r="AN91" i="2"/>
  <c r="AU35" i="2"/>
  <c r="AU14" i="2"/>
  <c r="AU152" i="2"/>
  <c r="AN180" i="2"/>
  <c r="AN222" i="2"/>
  <c r="AN271" i="2"/>
  <c r="AN175" i="2"/>
  <c r="AU89" i="2"/>
  <c r="AU168" i="2"/>
  <c r="AN300" i="2"/>
  <c r="AU122" i="2"/>
  <c r="AN166" i="2"/>
  <c r="AN63" i="2"/>
  <c r="AU129" i="2"/>
  <c r="AN284" i="2"/>
  <c r="AN215" i="2"/>
  <c r="AN203" i="2"/>
  <c r="AN240" i="2"/>
  <c r="AN204" i="2"/>
  <c r="AN165" i="2"/>
  <c r="AN147" i="2"/>
  <c r="AN59" i="2"/>
  <c r="AU75" i="2"/>
  <c r="AN146" i="2"/>
  <c r="AN117" i="2"/>
  <c r="AN114" i="2"/>
  <c r="AN71" i="2"/>
  <c r="AN267" i="2"/>
  <c r="AU315" i="2"/>
  <c r="AN181" i="2"/>
  <c r="AU174" i="2"/>
  <c r="AU61" i="2"/>
  <c r="AU246" i="2"/>
  <c r="AN250" i="2"/>
  <c r="AU60" i="2"/>
  <c r="AN273" i="2"/>
  <c r="AU258" i="2"/>
  <c r="AU128" i="2"/>
  <c r="AN13" i="2"/>
  <c r="AU44" i="2"/>
  <c r="AU62" i="2"/>
  <c r="AN197" i="2"/>
  <c r="AN179" i="2"/>
  <c r="AN183" i="2"/>
  <c r="AN95" i="2"/>
  <c r="AN134" i="2"/>
  <c r="AN176" i="2"/>
  <c r="AU288" i="2"/>
  <c r="AN276" i="2"/>
  <c r="AN299" i="2"/>
  <c r="AU233" i="2"/>
  <c r="AU8" i="2"/>
  <c r="AN120" i="2"/>
  <c r="AU226" i="2"/>
  <c r="AU159" i="2"/>
  <c r="AN159" i="2"/>
  <c r="AN148" i="2"/>
  <c r="AU102" i="2"/>
  <c r="AN17" i="2"/>
  <c r="AN297" i="2"/>
  <c r="AN205" i="2"/>
  <c r="AU42" i="2"/>
  <c r="AN293" i="2"/>
  <c r="AU310" i="2"/>
  <c r="AU305" i="2"/>
  <c r="AU274" i="2"/>
  <c r="AN307" i="2"/>
  <c r="AU206" i="2"/>
  <c r="AU162" i="2"/>
  <c r="AU179" i="2"/>
  <c r="AN228" i="2"/>
  <c r="AN81" i="2"/>
  <c r="AU74" i="2"/>
  <c r="AN34" i="2"/>
  <c r="AU43" i="2"/>
  <c r="AN305" i="2"/>
  <c r="AU270" i="2"/>
  <c r="AN160" i="2"/>
  <c r="AN83" i="2"/>
  <c r="AU327" i="2"/>
  <c r="AU325" i="2"/>
  <c r="AU218" i="2"/>
  <c r="AN171" i="2"/>
  <c r="AN143" i="2"/>
  <c r="AU150" i="2"/>
  <c r="AU191" i="2"/>
  <c r="AN252" i="2"/>
  <c r="AN308" i="2"/>
  <c r="AN294" i="2"/>
  <c r="AU244" i="2"/>
  <c r="AN234" i="2"/>
  <c r="AU243" i="2"/>
  <c r="AU146" i="2"/>
  <c r="AU186" i="2"/>
  <c r="AN106" i="2"/>
  <c r="AN100" i="2"/>
  <c r="AU26" i="2"/>
  <c r="AN57" i="2"/>
  <c r="AN26" i="2"/>
  <c r="AU321" i="2"/>
  <c r="AN302" i="2"/>
  <c r="AN256" i="2"/>
  <c r="AN272" i="2"/>
  <c r="AN223" i="2"/>
  <c r="AN173" i="2"/>
  <c r="AN25" i="2"/>
  <c r="AU281" i="2"/>
  <c r="AU313" i="2"/>
  <c r="AN194" i="2"/>
  <c r="AU167" i="2"/>
  <c r="AN155" i="2"/>
  <c r="AU175" i="2"/>
  <c r="AU58" i="2"/>
  <c r="AN44" i="2"/>
  <c r="AU52" i="2"/>
  <c r="AN28" i="2"/>
  <c r="AU85" i="2"/>
  <c r="AU320" i="2"/>
  <c r="AU260" i="2"/>
  <c r="AU297" i="2"/>
  <c r="AU225" i="2"/>
  <c r="AN249" i="2"/>
  <c r="AU183" i="2"/>
  <c r="AN170" i="2"/>
  <c r="AN54" i="2"/>
  <c r="AU16" i="2"/>
  <c r="AN36" i="2"/>
  <c r="AN92" i="2"/>
  <c r="AN282" i="2"/>
  <c r="AU265" i="2"/>
  <c r="AN220" i="2"/>
  <c r="AN161" i="2"/>
  <c r="AU116" i="2"/>
  <c r="AN169" i="2"/>
  <c r="AN33" i="2"/>
  <c r="AN16" i="2"/>
  <c r="AU308" i="2"/>
  <c r="AN257" i="2"/>
  <c r="AU277" i="2"/>
  <c r="AN218" i="2"/>
  <c r="AN328" i="2"/>
  <c r="AN319" i="2"/>
  <c r="AN311" i="2"/>
  <c r="AU292" i="2"/>
  <c r="AU210" i="2"/>
  <c r="AN232" i="2"/>
  <c r="AN209" i="2"/>
  <c r="AN185" i="2"/>
  <c r="AN167" i="2"/>
  <c r="AN123" i="2"/>
  <c r="AN111" i="2"/>
  <c r="AN164" i="2"/>
  <c r="AU142" i="2"/>
  <c r="AU27" i="2"/>
  <c r="AU23" i="2"/>
  <c r="AN52" i="2"/>
  <c r="AN261" i="2"/>
  <c r="AN207" i="2"/>
  <c r="AU154" i="2"/>
  <c r="AU66" i="2"/>
  <c r="AU24" i="2"/>
  <c r="AN163" i="2"/>
  <c r="AU17" i="2"/>
  <c r="AN3" i="2"/>
  <c r="AN12" i="2"/>
  <c r="AN229" i="2"/>
  <c r="AU227" i="2"/>
  <c r="AN315" i="2"/>
  <c r="AN244" i="2"/>
  <c r="AN177" i="2"/>
  <c r="AN245" i="2"/>
  <c r="AU105" i="2"/>
  <c r="AU7" i="2"/>
  <c r="AN255" i="2"/>
  <c r="AN316" i="2"/>
  <c r="AN303" i="2"/>
  <c r="AN263" i="2"/>
  <c r="AN295" i="2"/>
  <c r="AN253" i="2"/>
  <c r="AU242" i="2"/>
  <c r="AU249" i="2"/>
  <c r="AN190" i="2"/>
  <c r="AN189" i="2"/>
  <c r="AU182" i="2"/>
  <c r="AU178" i="2"/>
  <c r="AU156" i="2"/>
  <c r="AN58" i="2"/>
  <c r="AN67" i="2"/>
</calcChain>
</file>

<file path=xl/sharedStrings.xml><?xml version="1.0" encoding="utf-8"?>
<sst xmlns="http://schemas.openxmlformats.org/spreadsheetml/2006/main" count="1414" uniqueCount="991">
  <si>
    <t>Argentina</t>
  </si>
  <si>
    <t>Phuket</t>
  </si>
  <si>
    <t>Phang-nga</t>
  </si>
  <si>
    <t>12.00</t>
  </si>
  <si>
    <t>:</t>
  </si>
  <si>
    <t>สัญชาติ</t>
  </si>
  <si>
    <t>ประเทศ</t>
  </si>
  <si>
    <t>Armenia</t>
  </si>
  <si>
    <t>รหัสสัญชาติ</t>
  </si>
  <si>
    <t>ชื่อสัญชาติ (ไทย)</t>
  </si>
  <si>
    <t>ชื่อสัญชาติ (อังกฤษ)</t>
  </si>
  <si>
    <t>รหัสประเทศ</t>
  </si>
  <si>
    <t>ชื่อประเทศ (ไทย)</t>
  </si>
  <si>
    <t>ชื่อประเทศ (อังกฤษ)</t>
  </si>
  <si>
    <t>Australia</t>
  </si>
  <si>
    <t>โปรตุเกส</t>
  </si>
  <si>
    <t>PORTUGUESE</t>
  </si>
  <si>
    <t>REPUBLIC OF PORTUGAL</t>
  </si>
  <si>
    <t>Austria</t>
  </si>
  <si>
    <t>ดัตช์</t>
  </si>
  <si>
    <t>DUTCH</t>
  </si>
  <si>
    <t>เนเธอร์แลนด์</t>
  </si>
  <si>
    <t>KINGDOM OF THE NETHERLANDS</t>
  </si>
  <si>
    <t>Azerbaijan</t>
  </si>
  <si>
    <t>M</t>
  </si>
  <si>
    <t>Mr.</t>
  </si>
  <si>
    <t>เยอรมัน</t>
  </si>
  <si>
    <t>GERMAN</t>
  </si>
  <si>
    <t>เยอรมนี</t>
  </si>
  <si>
    <t>FEDERAL REPUBLIC OF GERMANY</t>
  </si>
  <si>
    <t>Belarus</t>
  </si>
  <si>
    <t>F</t>
  </si>
  <si>
    <t>Ms.</t>
  </si>
  <si>
    <t>ฝรั่งเศส</t>
  </si>
  <si>
    <t>FRANCE</t>
  </si>
  <si>
    <t>FRENCH REPUBLIC</t>
  </si>
  <si>
    <t>Belgium</t>
  </si>
  <si>
    <t>เดนมาร์ก</t>
  </si>
  <si>
    <t>DANNISH</t>
  </si>
  <si>
    <t>KINGDOM OF DENMARK</t>
  </si>
  <si>
    <t>Brazil</t>
  </si>
  <si>
    <t>สวีเดน</t>
  </si>
  <si>
    <t>SWEDEN</t>
  </si>
  <si>
    <t>KINGDOM OF SWEDEN</t>
  </si>
  <si>
    <t>Bulgaria</t>
  </si>
  <si>
    <t>สวิส</t>
  </si>
  <si>
    <t>Swiss</t>
  </si>
  <si>
    <t>สวิตเซอร์แลนด์</t>
  </si>
  <si>
    <t>Swiss Confederation</t>
  </si>
  <si>
    <t>Canada</t>
  </si>
  <si>
    <t>อิตาลี</t>
  </si>
  <si>
    <t>ITALIAN</t>
  </si>
  <si>
    <t>THE ITALIAN REPUBLIC</t>
  </si>
  <si>
    <t>China</t>
  </si>
  <si>
    <t>นอร์เวย์</t>
  </si>
  <si>
    <t>NORWAY</t>
  </si>
  <si>
    <t>KINGDOM OF NORWAY</t>
  </si>
  <si>
    <t>Cyprus</t>
  </si>
  <si>
    <t>ออสเตรีย</t>
  </si>
  <si>
    <t>AUSTRIA</t>
  </si>
  <si>
    <t>REPUBLIC OF AUSTRIA</t>
  </si>
  <si>
    <t>Czechia</t>
  </si>
  <si>
    <t>ไอริช</t>
  </si>
  <si>
    <t>IRISH</t>
  </si>
  <si>
    <t>ไอร์แลนด์</t>
  </si>
  <si>
    <t>IRELAND</t>
  </si>
  <si>
    <t>Denmark</t>
  </si>
  <si>
    <t>ฟินแลนด์</t>
  </si>
  <si>
    <t>FINLAND</t>
  </si>
  <si>
    <t>REPUBLIC OF FINLAND</t>
  </si>
  <si>
    <t>Egypt</t>
  </si>
  <si>
    <t>เบลเยียม</t>
  </si>
  <si>
    <t>BELGIAN</t>
  </si>
  <si>
    <t>KINGDOM OF BELGIUM</t>
  </si>
  <si>
    <t>El Salvador</t>
  </si>
  <si>
    <t>สเปน</t>
  </si>
  <si>
    <t>SPAIN</t>
  </si>
  <si>
    <t>KINGDOM OF SPAIN</t>
  </si>
  <si>
    <t>Estonia</t>
  </si>
  <si>
    <t>รัสเซีย</t>
  </si>
  <si>
    <t>THE RUSSIAN FEDERATION</t>
  </si>
  <si>
    <t>RUSSIAN FEDERATION</t>
  </si>
  <si>
    <t>Ethiopia</t>
  </si>
  <si>
    <t>โปแลนด์</t>
  </si>
  <si>
    <t>POLAND</t>
  </si>
  <si>
    <t>REPUBLIC OF POLAND</t>
  </si>
  <si>
    <t>Fiji</t>
  </si>
  <si>
    <t>เช็ก</t>
  </si>
  <si>
    <t>CZECH</t>
  </si>
  <si>
    <t>สาธารณรัฐเช็ก</t>
  </si>
  <si>
    <t>CZECH REPUBLIC</t>
  </si>
  <si>
    <t>Finland</t>
  </si>
  <si>
    <t>ฮังการี</t>
  </si>
  <si>
    <t>HUNGARY</t>
  </si>
  <si>
    <t>France</t>
  </si>
  <si>
    <t>กรีก</t>
  </si>
  <si>
    <t>GREECE</t>
  </si>
  <si>
    <t>กรีซ</t>
  </si>
  <si>
    <t>HELLENIC REPUBLIC</t>
  </si>
  <si>
    <t>Georgia</t>
  </si>
  <si>
    <t>ยูโกสลาฟ</t>
  </si>
  <si>
    <t>YUGOSLAV</t>
  </si>
  <si>
    <t>ยูโกสลาเวีย</t>
  </si>
  <si>
    <t>FEDERAL REPUBLIC OF YUGOSLAVIA</t>
  </si>
  <si>
    <t>Germany</t>
  </si>
  <si>
    <t>ลักเซมเบิร์ก</t>
  </si>
  <si>
    <t>LUXEMBOURGE</t>
  </si>
  <si>
    <t>GRAND DUCHY OF LUXEMBLURG</t>
  </si>
  <si>
    <t>Greece</t>
  </si>
  <si>
    <t>วาติกัน</t>
  </si>
  <si>
    <t>VATIGAN</t>
  </si>
  <si>
    <t>VATICAN CITY STATE ; THE HOLY SEE</t>
  </si>
  <si>
    <t>Hong Kong</t>
  </si>
  <si>
    <t>มอลตา</t>
  </si>
  <si>
    <t>MALTESE</t>
  </si>
  <si>
    <t>REPUBLIC OF MALTA</t>
  </si>
  <si>
    <t>Hungary</t>
  </si>
  <si>
    <t>ลีซู</t>
  </si>
  <si>
    <t>Lisu</t>
  </si>
  <si>
    <t>บัลแกเรีย</t>
  </si>
  <si>
    <t>REPUBLIC OF BULGARIA</t>
  </si>
  <si>
    <t>India</t>
  </si>
  <si>
    <t>BULGARIA</t>
  </si>
  <si>
    <t>โรมาเนีย</t>
  </si>
  <si>
    <t>ROMANIA</t>
  </si>
  <si>
    <t>Indonesia</t>
  </si>
  <si>
    <t>ROMANIAN</t>
  </si>
  <si>
    <t>ไซปรัส</t>
  </si>
  <si>
    <t>REPUBLIC OF CYPRUS</t>
  </si>
  <si>
    <t>Ireland</t>
  </si>
  <si>
    <t>CYPRUS</t>
  </si>
  <si>
    <t>สหรัฐอเมริกา</t>
  </si>
  <si>
    <t>UNITED STATES OF AMERICA</t>
  </si>
  <si>
    <t>Israel</t>
  </si>
  <si>
    <t>อเมริกัน</t>
  </si>
  <si>
    <t>AMERICAN</t>
  </si>
  <si>
    <t>แคนาดา</t>
  </si>
  <si>
    <t>CANADA</t>
  </si>
  <si>
    <t>Italy</t>
  </si>
  <si>
    <t>CANADIAN</t>
  </si>
  <si>
    <t>เม็กซิโก</t>
  </si>
  <si>
    <t>UNITED MEXICAN STATES</t>
  </si>
  <si>
    <t>Japan</t>
  </si>
  <si>
    <t>เม็กซิกัน</t>
  </si>
  <si>
    <t>MEXICAN</t>
  </si>
  <si>
    <t>คิวบา</t>
  </si>
  <si>
    <t>REPUBLIC OF CUBA</t>
  </si>
  <si>
    <t>Kazakhstan</t>
  </si>
  <si>
    <t>CUBA</t>
  </si>
  <si>
    <t>อาร์เจนตินา</t>
  </si>
  <si>
    <t>ARGENTINE REPUBLIC</t>
  </si>
  <si>
    <t>Kosovan</t>
  </si>
  <si>
    <t>ARGENTINA</t>
  </si>
  <si>
    <t>บราซิล</t>
  </si>
  <si>
    <t>FEDERATIVE REPUBLIC OF BRAZIL</t>
  </si>
  <si>
    <t>Kyrgyzstan</t>
  </si>
  <si>
    <t>BRAZIL</t>
  </si>
  <si>
    <t>ชิลี</t>
  </si>
  <si>
    <t>REPUBLIC OF CHILE</t>
  </si>
  <si>
    <t>Lebanon</t>
  </si>
  <si>
    <t>CHILE</t>
  </si>
  <si>
    <t>โคลัมเบีย</t>
  </si>
  <si>
    <t>REPUBLIC OF COLOMBIA</t>
  </si>
  <si>
    <t>Lithuania</t>
  </si>
  <si>
    <t>อาข่า</t>
  </si>
  <si>
    <t>Akha</t>
  </si>
  <si>
    <t>เปรู</t>
  </si>
  <si>
    <t>REPUBLIC OF PERU</t>
  </si>
  <si>
    <t>Luxembourg</t>
  </si>
  <si>
    <t>COLOMBIA</t>
  </si>
  <si>
    <t>ปานามา</t>
  </si>
  <si>
    <t>REPUBLIC OF PANAMA</t>
  </si>
  <si>
    <t>Malaysia</t>
  </si>
  <si>
    <t>ลั๊ว</t>
  </si>
  <si>
    <t>Lua</t>
  </si>
  <si>
    <t>อุรุกวัย</t>
  </si>
  <si>
    <t>URUGUAY</t>
  </si>
  <si>
    <t>Mauritius</t>
  </si>
  <si>
    <t>PERU</t>
  </si>
  <si>
    <t>เวเนซุเอลา</t>
  </si>
  <si>
    <t>REPUBLIC OF VENEZUELA</t>
  </si>
  <si>
    <t>Mongolia</t>
  </si>
  <si>
    <t>PANAMA</t>
  </si>
  <si>
    <t>เปอร์โตริโก</t>
  </si>
  <si>
    <t>PUERTORICO</t>
  </si>
  <si>
    <t>Nepal</t>
  </si>
  <si>
    <t>สาธารณรัฐประชาชนจีน</t>
  </si>
  <si>
    <t>PEOPLE'S REPUBLIC OF CHINA</t>
  </si>
  <si>
    <t>Netherlands</t>
  </si>
  <si>
    <t>VENEZUELA</t>
  </si>
  <si>
    <t>อินเดีย</t>
  </si>
  <si>
    <t>REPUBLIC OF INDIA</t>
  </si>
  <si>
    <t>New Zealand</t>
  </si>
  <si>
    <t>จีน</t>
  </si>
  <si>
    <t>CHINESE</t>
  </si>
  <si>
    <t>เวียดนาม</t>
  </si>
  <si>
    <t>SOCIALIST REPUBLIC OF VIETNAM</t>
  </si>
  <si>
    <t>Norway</t>
  </si>
  <si>
    <t>INDIA</t>
  </si>
  <si>
    <t>ญี่ปุ่น</t>
  </si>
  <si>
    <t>JAPAN</t>
  </si>
  <si>
    <t>Philippines</t>
  </si>
  <si>
    <t>VIETNAMESE</t>
  </si>
  <si>
    <t>เมียนมา</t>
  </si>
  <si>
    <t>UNION OF MYANMAR</t>
  </si>
  <si>
    <t>Poland</t>
  </si>
  <si>
    <t>ฟิลิปปินส์</t>
  </si>
  <si>
    <t>REPUBLIC OF THE PHILIPPINES</t>
  </si>
  <si>
    <t>Portugal</t>
  </si>
  <si>
    <t>Myanmar</t>
  </si>
  <si>
    <t>มาเลเซีย</t>
  </si>
  <si>
    <t>MALAYSIA</t>
  </si>
  <si>
    <t>Romania</t>
  </si>
  <si>
    <t>ฟิลิปปิน</t>
  </si>
  <si>
    <t>PHILIPPINE</t>
  </si>
  <si>
    <t>อินโดนีเซีย</t>
  </si>
  <si>
    <t>REPUBLIC OF INDONESIA</t>
  </si>
  <si>
    <t>Russia</t>
  </si>
  <si>
    <t>MALAYSIAN</t>
  </si>
  <si>
    <t>ปากีสถาน</t>
  </si>
  <si>
    <t>ISLAMIC REPUBLIC OF PAKISTAN</t>
  </si>
  <si>
    <t>Saint Barthélemy</t>
  </si>
  <si>
    <t>INDONESIA</t>
  </si>
  <si>
    <t>เกาหลีใต้</t>
  </si>
  <si>
    <t>REPUBLIC OF KOREA</t>
  </si>
  <si>
    <t>Saudi Arabia</t>
  </si>
  <si>
    <t>PAKISTAN</t>
  </si>
  <si>
    <t>สิงคโปร์</t>
  </si>
  <si>
    <t>REPUBLIC OF SINGAPORE</t>
  </si>
  <si>
    <t>Serbia</t>
  </si>
  <si>
    <t>THE REPUBLIC OF KOREA</t>
  </si>
  <si>
    <t>เนปาล</t>
  </si>
  <si>
    <t>KINGDOM OF NEPAL</t>
  </si>
  <si>
    <t>Singapore</t>
  </si>
  <si>
    <t>SINGAPORE</t>
  </si>
  <si>
    <t>ลาว</t>
  </si>
  <si>
    <t>LAO PEOPLE'S DEMOCRATIC REPUBLIC</t>
  </si>
  <si>
    <t>Slovakia</t>
  </si>
  <si>
    <t>NEPAL</t>
  </si>
  <si>
    <t>กัมพูชา</t>
  </si>
  <si>
    <t>KINGDOM OF CAMBODIA</t>
  </si>
  <si>
    <t>South Africa</t>
  </si>
  <si>
    <t>LAO</t>
  </si>
  <si>
    <t>ศรีลังกา</t>
  </si>
  <si>
    <t>DEMOCRATIC SOCIALIST REPUBLIC OF SRI LANKA</t>
  </si>
  <si>
    <t>South Korea</t>
  </si>
  <si>
    <t>Cambodian</t>
  </si>
  <si>
    <t>ซาอุดีอาระเบีย</t>
  </si>
  <si>
    <t>KINGDOM OF SAUDI ARABIA</t>
  </si>
  <si>
    <t>Spain</t>
  </si>
  <si>
    <t>SRI LANKA</t>
  </si>
  <si>
    <t>อิสราเอล</t>
  </si>
  <si>
    <t>STATE OF ISRAEL</t>
  </si>
  <si>
    <t>Sri Lanka</t>
  </si>
  <si>
    <t>SAUDI ARABIAN</t>
  </si>
  <si>
    <t>เลบานอน</t>
  </si>
  <si>
    <t>REPUBLIC OF LEBANON</t>
  </si>
  <si>
    <t>Sweden</t>
  </si>
  <si>
    <t>ISRAEL</t>
  </si>
  <si>
    <t>อิหร่าน</t>
  </si>
  <si>
    <t>ISLAMIC REPUBLIC OF IRAN</t>
  </si>
  <si>
    <t>Switzerland</t>
  </si>
  <si>
    <t>LEBANON</t>
  </si>
  <si>
    <t>ตุรกี</t>
  </si>
  <si>
    <t>REPUBLIC OF TURKEY</t>
  </si>
  <si>
    <t>Syria</t>
  </si>
  <si>
    <t>IRAN</t>
  </si>
  <si>
    <t>บังกลาเทศ</t>
  </si>
  <si>
    <t>PEOPLE'S REPUBLIC OF BANGLADESH</t>
  </si>
  <si>
    <t>Taiwan (Chinese Taipei)</t>
  </si>
  <si>
    <t>TURKEY</t>
  </si>
  <si>
    <t>ซีเรีย</t>
  </si>
  <si>
    <t>SYRIAN ARAB REPUBLIC</t>
  </si>
  <si>
    <t>Thailand</t>
  </si>
  <si>
    <t>BANGLADESH</t>
  </si>
  <si>
    <t>อิรัก</t>
  </si>
  <si>
    <t>REPUBLIC OF IRAQ</t>
  </si>
  <si>
    <t>Turkey</t>
  </si>
  <si>
    <t>ถูกถอนสัญชาติ</t>
  </si>
  <si>
    <t xml:space="preserve"> </t>
  </si>
  <si>
    <t>คูเวต</t>
  </si>
  <si>
    <t>STATE OF KUWAIT</t>
  </si>
  <si>
    <t>Ukraine</t>
  </si>
  <si>
    <t>SYRIA</t>
  </si>
  <si>
    <t>บรูไนดารุสซาลาม</t>
  </si>
  <si>
    <t>NEGARA BRUNEI DARUSSALAM</t>
  </si>
  <si>
    <t>United Kingdom</t>
  </si>
  <si>
    <t>IRAQI</t>
  </si>
  <si>
    <t>แอฟริกาใต้</t>
  </si>
  <si>
    <t>REPUBLIC OF SOUTH AFRICA</t>
  </si>
  <si>
    <t>United States</t>
  </si>
  <si>
    <t>KUWAIT</t>
  </si>
  <si>
    <t>เคนยา</t>
  </si>
  <si>
    <t>REPUBLIC OF KENYA</t>
  </si>
  <si>
    <t>Uzbekistan</t>
  </si>
  <si>
    <t>บรูไน</t>
  </si>
  <si>
    <t>BRUNEI</t>
  </si>
  <si>
    <t>อียิปต์</t>
  </si>
  <si>
    <t>ARAB REPUBLIC OF EGYPT</t>
  </si>
  <si>
    <t>Peru</t>
  </si>
  <si>
    <t>SOUTH AFRICAN</t>
  </si>
  <si>
    <t>เอธิโอเปีย</t>
  </si>
  <si>
    <t>FEDERAL DEMOCRATIC REPUBLIC OF ETHIOPIA</t>
  </si>
  <si>
    <t>Grenada</t>
  </si>
  <si>
    <t>กะเหรี่ยง</t>
  </si>
  <si>
    <t>Karen</t>
  </si>
  <si>
    <t>ไนจีเรีย</t>
  </si>
  <si>
    <t>FEDERAL REPUBLIC OF NIGERIA</t>
  </si>
  <si>
    <t>Bahrain</t>
  </si>
  <si>
    <t>ลาหู่</t>
  </si>
  <si>
    <t>Lahu</t>
  </si>
  <si>
    <t>สหรัฐอาหรับเอมิเรตส์</t>
  </si>
  <si>
    <t>UNITED ARAB EMIRATES</t>
  </si>
  <si>
    <t>Trinidad and Tobago</t>
  </si>
  <si>
    <t>KENYA</t>
  </si>
  <si>
    <t>กินี</t>
  </si>
  <si>
    <t>REPUBLIC OF GUINEA</t>
  </si>
  <si>
    <t>EGYPT</t>
  </si>
  <si>
    <t>ออสเตรเลีย</t>
  </si>
  <si>
    <t>COMMONWEALTH OF AUSTRALIA</t>
  </si>
  <si>
    <t>Vietnam</t>
  </si>
  <si>
    <t>ETHIOPIA</t>
  </si>
  <si>
    <t>นิวซีแลนด์</t>
  </si>
  <si>
    <t>NEW ZEALAND</t>
  </si>
  <si>
    <t>Oman</t>
  </si>
  <si>
    <t>NIGERIA</t>
  </si>
  <si>
    <t>ปาปัวนิวกินี</t>
  </si>
  <si>
    <t>PAPUA NEW GUINEA</t>
  </si>
  <si>
    <t>Jordan</t>
  </si>
  <si>
    <t>UNITED ARAB EMIRATE</t>
  </si>
  <si>
    <t>ไทย</t>
  </si>
  <si>
    <t>KINGDOM OF THAILAND</t>
  </si>
  <si>
    <t>Colombia</t>
  </si>
  <si>
    <t>GUINEA</t>
  </si>
  <si>
    <t>อัฟกานิสถาน</t>
  </si>
  <si>
    <t>ISLAMIC STATE OF AFGHANISTAN</t>
  </si>
  <si>
    <t>United Arab Emirates</t>
  </si>
  <si>
    <t>AUSTRALIA</t>
  </si>
  <si>
    <t>บาห์เรน</t>
  </si>
  <si>
    <t>KINGDOM OF BAHRAIN</t>
  </si>
  <si>
    <t>Laos</t>
  </si>
  <si>
    <t>ภูฏาน</t>
  </si>
  <si>
    <t>KINGDOM OF BHUTAN</t>
  </si>
  <si>
    <t>Pakistan</t>
  </si>
  <si>
    <t>จอร์แดน</t>
  </si>
  <si>
    <t>HASEMITE KINGDOM OF JORDAN</t>
  </si>
  <si>
    <t>Liechtenstein</t>
  </si>
  <si>
    <t>ม้ง</t>
  </si>
  <si>
    <t>Hmong</t>
  </si>
  <si>
    <t>เกาหลีเหนือ</t>
  </si>
  <si>
    <t>DEMOCRATIC PEOPLE'S REPUBLIC OF KOREA</t>
  </si>
  <si>
    <t>Slovenia</t>
  </si>
  <si>
    <t>เมี่ยน</t>
  </si>
  <si>
    <t>Mien</t>
  </si>
  <si>
    <t>มัลดีฟส์</t>
  </si>
  <si>
    <t>REPUBLIC OF MALDIVES</t>
  </si>
  <si>
    <t>Antigua and Barbuda</t>
  </si>
  <si>
    <t>จีนฮ่อ</t>
  </si>
  <si>
    <t>Haw</t>
  </si>
  <si>
    <t>มองโกเลีย</t>
  </si>
  <si>
    <t>MONGOLIA</t>
  </si>
  <si>
    <t>Kuwait</t>
  </si>
  <si>
    <t>จีน (อดีต ทจช.)</t>
  </si>
  <si>
    <t>โอมาน</t>
  </si>
  <si>
    <t>SULTANATE OF OMAN</t>
  </si>
  <si>
    <t>Iceland</t>
  </si>
  <si>
    <t>ผู้พลัดถิ่นสัญชาติพม่า</t>
  </si>
  <si>
    <t>กาตาร์</t>
  </si>
  <si>
    <t>STATE OF QATAR</t>
  </si>
  <si>
    <t>Dominica</t>
  </si>
  <si>
    <t>ผู้อพยพเชื้อสายจากกัมพูชา</t>
  </si>
  <si>
    <t>เยเมน</t>
  </si>
  <si>
    <t>REPUBLIC OF YEMEN</t>
  </si>
  <si>
    <t>Mauritania</t>
  </si>
  <si>
    <t>ลาว (ลาวอพยพ)</t>
  </si>
  <si>
    <t>สาธารณรัฐฟิจิ</t>
  </si>
  <si>
    <t>REPUBLIC OF FIJI</t>
  </si>
  <si>
    <t>Bhutan</t>
  </si>
  <si>
    <t>เขมรอพยพ</t>
  </si>
  <si>
    <t>คิริบาส</t>
  </si>
  <si>
    <t>REPUBLIC OF KIRIBATI</t>
  </si>
  <si>
    <t>Mexico</t>
  </si>
  <si>
    <t>ไร้สัญชาติ</t>
  </si>
  <si>
    <t>Stateless</t>
  </si>
  <si>
    <t>นาอูรู</t>
  </si>
  <si>
    <t>REPUBLIC OF NAURU</t>
  </si>
  <si>
    <t>Algeria</t>
  </si>
  <si>
    <t>อื่นๆ</t>
  </si>
  <si>
    <t>Other</t>
  </si>
  <si>
    <t>หมู่เกาะโซโลมอน</t>
  </si>
  <si>
    <t>SOLOMON ISLANDS</t>
  </si>
  <si>
    <t>Latvia</t>
  </si>
  <si>
    <t>ไม่ได้สัญชาติไทย</t>
  </si>
  <si>
    <t>Non-Thai</t>
  </si>
  <si>
    <t>ตองกา</t>
  </si>
  <si>
    <t>KINGDOM OF TONGA</t>
  </si>
  <si>
    <t>Iran</t>
  </si>
  <si>
    <t>THAI</t>
  </si>
  <si>
    <t>ตูวาลู</t>
  </si>
  <si>
    <t>TUVALU</t>
  </si>
  <si>
    <t>Morocco</t>
  </si>
  <si>
    <t>อัฟกัน</t>
  </si>
  <si>
    <t>AFGHAN</t>
  </si>
  <si>
    <t>วานูอาตู</t>
  </si>
  <si>
    <t>REPUBLIC OF VANUATU</t>
  </si>
  <si>
    <t>Montenegro</t>
  </si>
  <si>
    <t>BAHRAINI</t>
  </si>
  <si>
    <t>ซามัว</t>
  </si>
  <si>
    <t>INDEPENDENT STATE OF SAMOA</t>
  </si>
  <si>
    <t>Croatia</t>
  </si>
  <si>
    <t>BAHRAIN</t>
  </si>
  <si>
    <t>แอลเบเนีย</t>
  </si>
  <si>
    <t>REPUBLIC OF ALBANIA</t>
  </si>
  <si>
    <t>Bosnia and Herzegovina</t>
  </si>
  <si>
    <t>JORDAN</t>
  </si>
  <si>
    <t>อันดอร์รา</t>
  </si>
  <si>
    <t>PRINCIPALITY OF ANDORRA</t>
  </si>
  <si>
    <t>Tokelau</t>
  </si>
  <si>
    <t>THE DEMOCRATIC OF KOREA</t>
  </si>
  <si>
    <t>ไอซ์แลนด์</t>
  </si>
  <si>
    <t>REPUBLIC OF ICELAND</t>
  </si>
  <si>
    <t>Zambia</t>
  </si>
  <si>
    <t>มัลดีฟ</t>
  </si>
  <si>
    <t>MALDIVIAN</t>
  </si>
  <si>
    <t>ลิกเตนสไตน์</t>
  </si>
  <si>
    <t>PRINCIPALITY OF LIECHTENSTEIN</t>
  </si>
  <si>
    <t>Bangladesh</t>
  </si>
  <si>
    <t>โมนาโก</t>
  </si>
  <si>
    <t>PRINCIPALITY OF MONACO</t>
  </si>
  <si>
    <t>Malawi</t>
  </si>
  <si>
    <t>OMAN</t>
  </si>
  <si>
    <t>ซานมารีโน</t>
  </si>
  <si>
    <t>REPUBLIC OF SAN MARINO</t>
  </si>
  <si>
    <t>Panama</t>
  </si>
  <si>
    <t>QATAR</t>
  </si>
  <si>
    <t>สหราชอาณาจักร</t>
  </si>
  <si>
    <t>UNITED KINGDOM OF GREAT BRITAIN AND NORTHERN IRELAND</t>
  </si>
  <si>
    <t>Venezuela</t>
  </si>
  <si>
    <t>YEMEN</t>
  </si>
  <si>
    <t>แอลจีเรีย</t>
  </si>
  <si>
    <t>DEMOCRATIC AND POPULAR REPUBLIC OF ALGERIA</t>
  </si>
  <si>
    <t>Cuba</t>
  </si>
  <si>
    <t>ฟิจิ</t>
  </si>
  <si>
    <t>FIJI</t>
  </si>
  <si>
    <t>แองโกลา</t>
  </si>
  <si>
    <t>REPUBLIC OF ANGOLA</t>
  </si>
  <si>
    <t>Moldova</t>
  </si>
  <si>
    <t>KIRIBATI</t>
  </si>
  <si>
    <t>เบนิน</t>
  </si>
  <si>
    <t>REPUBLIC OF BENIN</t>
  </si>
  <si>
    <t>Tunisia</t>
  </si>
  <si>
    <t>NAURU</t>
  </si>
  <si>
    <t>บอตสวานา</t>
  </si>
  <si>
    <t>REPUBLIC OF BOTSWANA</t>
  </si>
  <si>
    <t>Suriname</t>
  </si>
  <si>
    <t>บูร์กินาฟาโซ</t>
  </si>
  <si>
    <t>BURKINA FASO</t>
  </si>
  <si>
    <t>Cambodia</t>
  </si>
  <si>
    <t>ตองก้า</t>
  </si>
  <si>
    <t>TONGA</t>
  </si>
  <si>
    <t>บุรุนดี</t>
  </si>
  <si>
    <t>REPUBLIC OF BURUNDI</t>
  </si>
  <si>
    <t>Jamaica</t>
  </si>
  <si>
    <t>แคเมอรูน</t>
  </si>
  <si>
    <t>REPUBLIC OF CAMEROON</t>
  </si>
  <si>
    <t>Yemen</t>
  </si>
  <si>
    <t>VANUATU</t>
  </si>
  <si>
    <t>เคปเวิร์ด</t>
  </si>
  <si>
    <t>REPUBLIC OF CAPE VERDE</t>
  </si>
  <si>
    <t>SAMOAN</t>
  </si>
  <si>
    <t>สาธารณรัฐแอฟริกากลาง</t>
  </si>
  <si>
    <t>CENTRAL AFRICAN REPUBLIC</t>
  </si>
  <si>
    <t>ALBANIA</t>
  </si>
  <si>
    <t>ชาด</t>
  </si>
  <si>
    <t>REPUBLIC OF CHAD</t>
  </si>
  <si>
    <t>ANDORRA</t>
  </si>
  <si>
    <t>คอโมโรส</t>
  </si>
  <si>
    <t>FEDERAL ISLAMIC REPUBLIC OF THE COMOROS</t>
  </si>
  <si>
    <t>ICELAND</t>
  </si>
  <si>
    <t>คองโก</t>
  </si>
  <si>
    <t>REPUBLIC OF THE CONGO</t>
  </si>
  <si>
    <t>LIECHTENSTEIN</t>
  </si>
  <si>
    <t>โกตดิวัวร์</t>
  </si>
  <si>
    <t>REPUBLIC OF COTE D'IVOIRE</t>
  </si>
  <si>
    <t>MONACO</t>
  </si>
  <si>
    <t>จิบูตี</t>
  </si>
  <si>
    <t>REPUBLIC OF DJIBOUTI</t>
  </si>
  <si>
    <t>SAN MARINO</t>
  </si>
  <si>
    <t>อิเควทอเรียลกินี</t>
  </si>
  <si>
    <t>REPUBLIC OF EQUATORIAL GUINEA</t>
  </si>
  <si>
    <t>บริติช</t>
  </si>
  <si>
    <t>British</t>
  </si>
  <si>
    <t>กาบอง</t>
  </si>
  <si>
    <t>GABONESE REPUBLIC</t>
  </si>
  <si>
    <t>ALGERIA</t>
  </si>
  <si>
    <t>แกมเบีย</t>
  </si>
  <si>
    <t>REPUBLIC OF THE GAMBIA</t>
  </si>
  <si>
    <t>ANGOLAN</t>
  </si>
  <si>
    <t>กานา</t>
  </si>
  <si>
    <t>REPUBLIC OF GHANA</t>
  </si>
  <si>
    <t>BENIN</t>
  </si>
  <si>
    <t>กินีบิสเซา</t>
  </si>
  <si>
    <t>REPUBLIC OF GUINEA BISSAU</t>
  </si>
  <si>
    <t>BOTSWANA</t>
  </si>
  <si>
    <t>เลโซโท</t>
  </si>
  <si>
    <t>KINGDOM OF LESOTHO</t>
  </si>
  <si>
    <t>ไลบีเรีย</t>
  </si>
  <si>
    <t>REPUBLIC OF LIBERIA</t>
  </si>
  <si>
    <t>BURUNDI</t>
  </si>
  <si>
    <t>ลิเบีย</t>
  </si>
  <si>
    <t>THE GREAT SOCIALIST PEOPLE'S LIBYAN ARAB JAMAHIR</t>
  </si>
  <si>
    <t>CAMEROON</t>
  </si>
  <si>
    <t>มาดากัสการ์</t>
  </si>
  <si>
    <t>REPUBLIC OF MADAGASCAR</t>
  </si>
  <si>
    <t>CAPE VERDE</t>
  </si>
  <si>
    <t>มาลาวี</t>
  </si>
  <si>
    <t>REPUBLIC OF MALAWI</t>
  </si>
  <si>
    <t>แอฟริกากลาง</t>
  </si>
  <si>
    <t>มาลี</t>
  </si>
  <si>
    <t>MALI</t>
  </si>
  <si>
    <t>CHAD</t>
  </si>
  <si>
    <t>มอริเตเนีย</t>
  </si>
  <si>
    <t>ISLAMIC REPUBLIC OF MAURITANIA</t>
  </si>
  <si>
    <t>COMOROS</t>
  </si>
  <si>
    <t>มอริเชียส</t>
  </si>
  <si>
    <t>MAURITIUS</t>
  </si>
  <si>
    <t>CONGO</t>
  </si>
  <si>
    <t>โมร็อกโก</t>
  </si>
  <si>
    <t>KINGDOM OF MOROCCO</t>
  </si>
  <si>
    <t>ไอโวเรี่ยน</t>
  </si>
  <si>
    <t>IVOIRIENNE</t>
  </si>
  <si>
    <t>สาธารณรัฐโมซัมบิก</t>
  </si>
  <si>
    <t>REPUBLIC OF MOZAMBIQUE</t>
  </si>
  <si>
    <t>DJIBOUTI</t>
  </si>
  <si>
    <t>ไนเจอร์</t>
  </si>
  <si>
    <t>REPUBLIC OF NIGER</t>
  </si>
  <si>
    <t>EQUATORIAL GUINEA</t>
  </si>
  <si>
    <t>รวันดา</t>
  </si>
  <si>
    <t>REPUBLIC OF RWANDA</t>
  </si>
  <si>
    <t>GABON</t>
  </si>
  <si>
    <t>เซาโตเมและปรินซิเป</t>
  </si>
  <si>
    <t>DEMOCRATIC REPUBLIC OF SAO TOME AND PRINCIPE</t>
  </si>
  <si>
    <t>GAMBIA</t>
  </si>
  <si>
    <t>เซเนกัล</t>
  </si>
  <si>
    <t>REPUBLIC OF SENEGAL</t>
  </si>
  <si>
    <t>GHANA</t>
  </si>
  <si>
    <t>เซเชลส์</t>
  </si>
  <si>
    <t>REPUBLIC OF SEYCHELLES</t>
  </si>
  <si>
    <t>กินีบีสเซา</t>
  </si>
  <si>
    <t>GUINEA BISSAU</t>
  </si>
  <si>
    <t>เซียร์ราลีโอน</t>
  </si>
  <si>
    <t>REPUBLIC OF SIERRA LEONE</t>
  </si>
  <si>
    <t>LESOTHO</t>
  </si>
  <si>
    <t>โซมาเลีย</t>
  </si>
  <si>
    <t>SOMALI EDMOCRATIC REPUBLIC</t>
  </si>
  <si>
    <t>LIBERIA</t>
  </si>
  <si>
    <t>ซูดาน</t>
  </si>
  <si>
    <t>REPUBLIC OF THE SUDAN</t>
  </si>
  <si>
    <t>Libya</t>
  </si>
  <si>
    <t>สวาซิแลนด์</t>
  </si>
  <si>
    <t>KINGDOM OF SWAZILAND</t>
  </si>
  <si>
    <t>มาลากาซี</t>
  </si>
  <si>
    <t>MALAGASY</t>
  </si>
  <si>
    <t>แทนซาเนีย</t>
  </si>
  <si>
    <t>UNITED REPUBLIC OF TANZANIA</t>
  </si>
  <si>
    <t>MALAWIAN</t>
  </si>
  <si>
    <t>โตโก</t>
  </si>
  <si>
    <t>REPUBLIC OF TOGO</t>
  </si>
  <si>
    <t>ตูนิเซีย</t>
  </si>
  <si>
    <t>REPUBLIC OF TUNISIA</t>
  </si>
  <si>
    <t>MAURITANTA</t>
  </si>
  <si>
    <t>ยูกันดา</t>
  </si>
  <si>
    <t>REPUBLIC OF UGANDA</t>
  </si>
  <si>
    <t>สาธารณรัฐประชาธิปไตยคองโก</t>
  </si>
  <si>
    <t>THE DEMOCATIC REPUBLIC OF THE CONGO</t>
  </si>
  <si>
    <t>MOROCCAN</t>
  </si>
  <si>
    <t>แซมเบีย</t>
  </si>
  <si>
    <t>REPUBLIC OF ZAMBIA</t>
  </si>
  <si>
    <t>โมซัมบิก</t>
  </si>
  <si>
    <t>MOZAMBIQUE</t>
  </si>
  <si>
    <t>ซิมบับเว</t>
  </si>
  <si>
    <t>REPUBLIC OF ZIMBABWE</t>
  </si>
  <si>
    <t>NIGER</t>
  </si>
  <si>
    <t>แอนติกาและบาร์บูดา</t>
  </si>
  <si>
    <t>ANTIGUA AND BARBUDA</t>
  </si>
  <si>
    <t>RWANDA</t>
  </si>
  <si>
    <t>บาฮามาส</t>
  </si>
  <si>
    <t>COMMONWEALTH OF THE BAHAMAS</t>
  </si>
  <si>
    <t>SAO TOME AND PRINCIPE</t>
  </si>
  <si>
    <t>บาร์เบโดส</t>
  </si>
  <si>
    <t>BARBADOS</t>
  </si>
  <si>
    <t>SENEGAL</t>
  </si>
  <si>
    <t>เบลีซ</t>
  </si>
  <si>
    <t>BELIZE</t>
  </si>
  <si>
    <t>SEYCHELLES</t>
  </si>
  <si>
    <t>คอสตาริกา</t>
  </si>
  <si>
    <t>REPUBLIC OF COSTA RICA</t>
  </si>
  <si>
    <t>SIERRA LEONE</t>
  </si>
  <si>
    <t>โดมินิกา</t>
  </si>
  <si>
    <t>COMMONWEALTH OF DOMINICA</t>
  </si>
  <si>
    <t>โซมาลี</t>
  </si>
  <si>
    <t>SOMALI</t>
  </si>
  <si>
    <t>สาธารณรัฐโดมินิกัน</t>
  </si>
  <si>
    <t>DOMINICAN REPUBLIC</t>
  </si>
  <si>
    <t>SUDAN</t>
  </si>
  <si>
    <t>เอลซัลวาดอร์</t>
  </si>
  <si>
    <t>REPUBLIC OF EL SALVADOR</t>
  </si>
  <si>
    <t>สวาซี</t>
  </si>
  <si>
    <t>SWAZI</t>
  </si>
  <si>
    <t>เกรเนดา</t>
  </si>
  <si>
    <t>GRENADA</t>
  </si>
  <si>
    <t>TANZANIA</t>
  </si>
  <si>
    <t>กัวเตมาลา</t>
  </si>
  <si>
    <t>REPUBLIC OF GUATEMALA</t>
  </si>
  <si>
    <t>TOGO</t>
  </si>
  <si>
    <t>เฮติ</t>
  </si>
  <si>
    <t>REPUBLIC OF HAITI</t>
  </si>
  <si>
    <t>TUNISIAN</t>
  </si>
  <si>
    <t>ฮอนดูรัส</t>
  </si>
  <si>
    <t>REPUBLIC OF HONDURAS</t>
  </si>
  <si>
    <t>UGANDA</t>
  </si>
  <si>
    <t>จาเมกา</t>
  </si>
  <si>
    <t>JAMAICA</t>
  </si>
  <si>
    <t>ซาอีร์</t>
  </si>
  <si>
    <t>ZAIRE</t>
  </si>
  <si>
    <t>นิการากัว</t>
  </si>
  <si>
    <t>REPUBLIC OF NICARAGUA</t>
  </si>
  <si>
    <t>ZAMBIA</t>
  </si>
  <si>
    <t>เซนต์คิตส์และเนวิส</t>
  </si>
  <si>
    <t>SAINT KITTS AND NEVIS</t>
  </si>
  <si>
    <t>ZIMBABWE</t>
  </si>
  <si>
    <t>เซนต์ลูเซีย</t>
  </si>
  <si>
    <t>SAINT LUCIA</t>
  </si>
  <si>
    <t>เซนต์วินเซนต์และเกรนาดีนส์</t>
  </si>
  <si>
    <t>SAINT VINCENT AND THE GRENADINES</t>
  </si>
  <si>
    <t>BAHAMAS</t>
  </si>
  <si>
    <t>ตรินิแดดและโตเบโก</t>
  </si>
  <si>
    <t>REPUBLIC OF TRINIDAD AND TOBAGO</t>
  </si>
  <si>
    <t>โบลีเวีย</t>
  </si>
  <si>
    <t>BOLIVIA</t>
  </si>
  <si>
    <t>เบลิซ</t>
  </si>
  <si>
    <t>เอกวาดอร์</t>
  </si>
  <si>
    <t>REPUBLIC OF ECUADOR</t>
  </si>
  <si>
    <t>COSTA RICA</t>
  </si>
  <si>
    <t>กายอานา</t>
  </si>
  <si>
    <t>COOPERATIVE REPUBLIC OF GUYANA</t>
  </si>
  <si>
    <t>DOMINICA</t>
  </si>
  <si>
    <t>ปารากวัย</t>
  </si>
  <si>
    <t>REPUBLIC OF PARAGUAY</t>
  </si>
  <si>
    <t>โดมินิกัน</t>
  </si>
  <si>
    <t>DOMINICAN</t>
  </si>
  <si>
    <t>ซูรินาเม</t>
  </si>
  <si>
    <t>REPUBLIC OF SURINAME</t>
  </si>
  <si>
    <t>EL,SALVADOR</t>
  </si>
  <si>
    <t>อาหรับ</t>
  </si>
  <si>
    <t>ARAB</t>
  </si>
  <si>
    <t>ยูเครน</t>
  </si>
  <si>
    <t>UKRAINE</t>
  </si>
  <si>
    <t>GUATEMALA</t>
  </si>
  <si>
    <t>ไต้หวัน</t>
  </si>
  <si>
    <t>CHINA (TAIWAN)</t>
  </si>
  <si>
    <t>HAITI</t>
  </si>
  <si>
    <t>สาธารณรัฐโครเอเชีย</t>
  </si>
  <si>
    <t>REPUBLIC OF CROATIA</t>
  </si>
  <si>
    <t>HONDURAS</t>
  </si>
  <si>
    <t>คาซัคสถาน</t>
  </si>
  <si>
    <t>REPUBLIC OF KAZAKHSTAN</t>
  </si>
  <si>
    <t>อาร์เมเนีย</t>
  </si>
  <si>
    <t>REPUBLIC OF ARMENIA</t>
  </si>
  <si>
    <t>NICARAGUA</t>
  </si>
  <si>
    <t>อาเซอร์ไบจาน</t>
  </si>
  <si>
    <t>REPUBLIC OF AZERBAIJAN</t>
  </si>
  <si>
    <t>จอร์เจีย</t>
  </si>
  <si>
    <t>REPUBLIC OF GEORGIA</t>
  </si>
  <si>
    <t>คีร์กีซ</t>
  </si>
  <si>
    <t>KYRGYZ REPUBLIC</t>
  </si>
  <si>
    <t>SAINT VINCENT AND THE</t>
  </si>
  <si>
    <t>ทาจิกิสถาน</t>
  </si>
  <si>
    <t>REPUBLIC OF TAJIKSTAN</t>
  </si>
  <si>
    <t>TRINIDAD AND TOBAGO</t>
  </si>
  <si>
    <t>อุซเบกิสถาน</t>
  </si>
  <si>
    <t>REPUBLIC OF UZBEKISTAN</t>
  </si>
  <si>
    <t>หมู่เกาะมาร์แชลล์</t>
  </si>
  <si>
    <t>REPUBLIC OF THE MARSHALL ISLANDS</t>
  </si>
  <si>
    <t>ECUADOR</t>
  </si>
  <si>
    <t>ไมโครนีเซีย</t>
  </si>
  <si>
    <t>FEDERATED STATES OF MICRONESIA</t>
  </si>
  <si>
    <t>GUYANA</t>
  </si>
  <si>
    <t>ปาเลา</t>
  </si>
  <si>
    <t>REPUBLIC OF PALAU</t>
  </si>
  <si>
    <t>PARAGUAY</t>
  </si>
  <si>
    <t>เบลารุส</t>
  </si>
  <si>
    <t>REPUBLIC OF BELARUS</t>
  </si>
  <si>
    <t>SURINAME</t>
  </si>
  <si>
    <t>บอสเนียและเฮอร์เซโกวีนา</t>
  </si>
  <si>
    <t>REPUBLIC OF BOSNIA AND HERZEGOVINA</t>
  </si>
  <si>
    <t>เติร์กเมนิสถาน</t>
  </si>
  <si>
    <t>TURKMENISTAN</t>
  </si>
  <si>
    <t>คะฉิ่น</t>
  </si>
  <si>
    <t>Kachin</t>
  </si>
  <si>
    <t>เอสโตเนีย</t>
  </si>
  <si>
    <t>REPUBLIC OF ESTONIA</t>
  </si>
  <si>
    <t>ว้า</t>
  </si>
  <si>
    <t>Wa</t>
  </si>
  <si>
    <t>ลัตเวีย</t>
  </si>
  <si>
    <t>REPUBLIC OF LATVIA</t>
  </si>
  <si>
    <t>ไทยใหญ่</t>
  </si>
  <si>
    <t>Shan</t>
  </si>
  <si>
    <t>ลิทัวเนีย</t>
  </si>
  <si>
    <t>REPUBLIC OF LITHUANIA</t>
  </si>
  <si>
    <t>ไทยลื้อ</t>
  </si>
  <si>
    <t>THAILUE</t>
  </si>
  <si>
    <t>มาซิโดเนีย</t>
  </si>
  <si>
    <t>REPUBLIC OF MACEDONIA</t>
  </si>
  <si>
    <t>ขมุ</t>
  </si>
  <si>
    <t>KHAMU</t>
  </si>
  <si>
    <t>มอลโดวา</t>
  </si>
  <si>
    <t>REPUBLIC OF MOLDOVA</t>
  </si>
  <si>
    <t>ตองสู</t>
  </si>
  <si>
    <t>TONGSU</t>
  </si>
  <si>
    <t>สโลวะเกีย</t>
  </si>
  <si>
    <t>SLOVAK REPUBLIC</t>
  </si>
  <si>
    <t>ละว้า</t>
  </si>
  <si>
    <t>LAWA</t>
  </si>
  <si>
    <t>สาธารณรัฐสโลวีเนีย</t>
  </si>
  <si>
    <t>REPUBLIC OF SLOVENIA</t>
  </si>
  <si>
    <t>ปะหร่อง</t>
  </si>
  <si>
    <t>PALONG</t>
  </si>
  <si>
    <t>เอริเทรีย</t>
  </si>
  <si>
    <t>ERITREA</t>
  </si>
  <si>
    <t>ถิ่น</t>
  </si>
  <si>
    <t>Htin</t>
  </si>
  <si>
    <t>นามิเบีย</t>
  </si>
  <si>
    <t>REPUBLIC OF NAMIBIA</t>
  </si>
  <si>
    <t>ปะโอ</t>
  </si>
  <si>
    <t>PAO</t>
  </si>
  <si>
    <t>โบลิเวีย</t>
  </si>
  <si>
    <t>REPUBLIC OF BOLIVIA</t>
  </si>
  <si>
    <t>มอญ</t>
  </si>
  <si>
    <t>Mon</t>
  </si>
  <si>
    <t>หมู่เกาะคุก</t>
  </si>
  <si>
    <t>COOK ISLANDS</t>
  </si>
  <si>
    <t>มลาบรี</t>
  </si>
  <si>
    <t>Mlabri</t>
  </si>
  <si>
    <t>สาธารณรัฐประชาธิปไตยติมอร์ตะวันออก</t>
  </si>
  <si>
    <t>THE DEMOCRATIC REPUBLIC OF TIMOR- LESTE</t>
  </si>
  <si>
    <t>จีน (จีนฮ่ออิสระ)</t>
  </si>
  <si>
    <t>ปาเลสไตน์</t>
  </si>
  <si>
    <t>PALESTINE</t>
  </si>
  <si>
    <t>จีน (จีนฮ่ออพยพ)</t>
  </si>
  <si>
    <t>สาธารณรัฐประชาธิปไตยติมอร์-เลสเต</t>
  </si>
  <si>
    <t>THE DEMOCRATIC REPUBLIC OF TIMOR-LESTE</t>
  </si>
  <si>
    <t>เซอร์เบียแอนด์มอนเตเนโกร</t>
  </si>
  <si>
    <t>SERBIA AND MONTENEGRO</t>
  </si>
  <si>
    <t>จีน(ฮ่องกง)</t>
  </si>
  <si>
    <t>HONGKONG</t>
  </si>
  <si>
    <t>เซอร์เบีย</t>
  </si>
  <si>
    <t>SERBIA</t>
  </si>
  <si>
    <t>จีน(ไต้หวัน)</t>
  </si>
  <si>
    <t>มอนเตเนโกร</t>
  </si>
  <si>
    <t>MONTENEGRO</t>
  </si>
  <si>
    <t>โครเอเชีย</t>
  </si>
  <si>
    <t>CROATIA</t>
  </si>
  <si>
    <t>อารูบา</t>
  </si>
  <si>
    <t>ARUBA</t>
  </si>
  <si>
    <t>คาซัค</t>
  </si>
  <si>
    <t>KAZAKH</t>
  </si>
  <si>
    <t>สาธารณรัฐกาบูเวร์ดี</t>
  </si>
  <si>
    <t>Republic of Cabo Verde</t>
  </si>
  <si>
    <t>ARMENIAN</t>
  </si>
  <si>
    <t>สาธารณรัฐคอซอวอ</t>
  </si>
  <si>
    <t>Republic of Kosovo</t>
  </si>
  <si>
    <t>AZERBAIJANI</t>
  </si>
  <si>
    <t>สาธารณรัฐเซาท์ซูดาน</t>
  </si>
  <si>
    <t>Republic of South Sudan</t>
  </si>
  <si>
    <t>GEORGIAN</t>
  </si>
  <si>
    <t>เขตบริหารพิเศษฮ่องกง</t>
  </si>
  <si>
    <t>HONG KONG</t>
  </si>
  <si>
    <t>KYRGYZ</t>
  </si>
  <si>
    <t>ทาจิก</t>
  </si>
  <si>
    <t>TAJIK</t>
  </si>
  <si>
    <t>อุซเบก</t>
  </si>
  <si>
    <t>UZBEK</t>
  </si>
  <si>
    <t>THE MARSHALL ISLANDS</t>
  </si>
  <si>
    <t>MICRONESIA</t>
  </si>
  <si>
    <t>PALAU</t>
  </si>
  <si>
    <t>BELARUSIAN</t>
  </si>
  <si>
    <t>REPBLIC OF BOSNIA HERAEGO</t>
  </si>
  <si>
    <t>เติร์กเมน</t>
  </si>
  <si>
    <t>TURKMEN</t>
  </si>
  <si>
    <t>ESTONIAN</t>
  </si>
  <si>
    <t>LATVIAN</t>
  </si>
  <si>
    <t>LITHUANIAN</t>
  </si>
  <si>
    <t>MACEDONIA</t>
  </si>
  <si>
    <t>MOLDOVAN</t>
  </si>
  <si>
    <t>สโลวัก</t>
  </si>
  <si>
    <t>SLOVAK</t>
  </si>
  <si>
    <t>สโลวีน</t>
  </si>
  <si>
    <t>SLOVENE</t>
  </si>
  <si>
    <t>ERITREAN</t>
  </si>
  <si>
    <t>NAMIBIAN</t>
  </si>
  <si>
    <t>BOLIVIAN</t>
  </si>
  <si>
    <t>มอญ(ผู้พลัดถิ่นสัญชาติพม่า)</t>
  </si>
  <si>
    <t>ไทยใหญ่(ผู้พลัดถิ่นสัญชาติพม่า</t>
  </si>
  <si>
    <t>เวียดนาม(ญวนอพยพ)</t>
  </si>
  <si>
    <t>มาเลเชีย(อดีต จคม.)</t>
  </si>
  <si>
    <t>จีน(อดีต จคม.)</t>
  </si>
  <si>
    <t>สิงคโปร์(อดีต จคม.)</t>
  </si>
  <si>
    <t>กะเหรี่ยง(ผู้หลบหนีเข้าเมือง)</t>
  </si>
  <si>
    <t>มอญ(ผู้หลบหนีเข้าเมือง)</t>
  </si>
  <si>
    <t>ไทยใหญ่(ผู้หลบหนีเข้าเมือง)</t>
  </si>
  <si>
    <t>กัมพูชา(ผู้หลบหนีเข้าเมือง)</t>
  </si>
  <si>
    <t>มอญ(ชุมชนบนพื้นที่สูง)</t>
  </si>
  <si>
    <t>กะเหรี่ยง(ชุมชนบนพื้นที่สูง)</t>
  </si>
  <si>
    <t>ติมอร์-เลสเต</t>
  </si>
  <si>
    <t>TIMOR - LESTE</t>
  </si>
  <si>
    <t>สละสัญชาติไทย</t>
  </si>
  <si>
    <t>THE RENUNCIATION OF THAI NATIO</t>
  </si>
  <si>
    <t>เซอร์เบีย แอนด์ มอนเตเนโกร</t>
  </si>
  <si>
    <t>กัมพูชา(แรงงาน)</t>
  </si>
  <si>
    <t>Combodian</t>
  </si>
  <si>
    <t>เมียนมา(แรงงาน)</t>
  </si>
  <si>
    <t>ลาว(แรงงาน)</t>
  </si>
  <si>
    <t>เซอร์เบียน</t>
  </si>
  <si>
    <t>SERBIAN</t>
  </si>
  <si>
    <t>มอนเตเนกริน</t>
  </si>
  <si>
    <t>MONTENEGRIN</t>
  </si>
  <si>
    <t>กาบูเวร์ดี</t>
  </si>
  <si>
    <t>Cabo Verde</t>
  </si>
  <si>
    <t>คอซอวอ</t>
  </si>
  <si>
    <t>KOSOVO</t>
  </si>
  <si>
    <t>เซาท์ซูดาน</t>
  </si>
  <si>
    <t>South Sudan</t>
  </si>
  <si>
    <t>เมียนมา (กลุ่มเชื้อสายไทย)</t>
  </si>
  <si>
    <t>-</t>
  </si>
  <si>
    <t>กัมพูชา (กลุ่มเชื้อสายไทย)</t>
  </si>
  <si>
    <t>ลาว (กลุ่มเชื้อสายไทย)</t>
  </si>
  <si>
    <t>ไทยลื้อ (กลุ่มเชื้อสายไทย)</t>
  </si>
  <si>
    <t>เนปาล (เนปาลอพยพ)</t>
  </si>
  <si>
    <t>บุคคลที่ไม่มีสถานะทางทะเบียน</t>
  </si>
  <si>
    <t>อาชีพ</t>
  </si>
  <si>
    <t>รหัสอาชีพ</t>
  </si>
  <si>
    <t>ชื่ออาชีพ</t>
  </si>
  <si>
    <t>กรรมกร</t>
  </si>
  <si>
    <t>กสิกรรม</t>
  </si>
  <si>
    <t>การตลาด</t>
  </si>
  <si>
    <t>กำนัน</t>
  </si>
  <si>
    <t>เกษตร</t>
  </si>
  <si>
    <t>เกษตรกรรม</t>
  </si>
  <si>
    <t>ข้าราชการการเมือง</t>
  </si>
  <si>
    <t>ข้าราชการครู</t>
  </si>
  <si>
    <t>ข้าราชการในสำนักพระราชวัง</t>
  </si>
  <si>
    <t>ข้าราชการบำนาญ</t>
  </si>
  <si>
    <t>ข้าราชการพลเรือน</t>
  </si>
  <si>
    <t>ข้าราชการส่วนท้องถิ่น</t>
  </si>
  <si>
    <t>เขียนแบบ/ออกแบบวิศวกรรม</t>
  </si>
  <si>
    <t>คนขับรถที่ใช้สัตว์ลากเทียม</t>
  </si>
  <si>
    <t>คนขับรถรับจ้าง</t>
  </si>
  <si>
    <t>คนขับเรือ</t>
  </si>
  <si>
    <t>คนซักรีด</t>
  </si>
  <si>
    <t>คนทำความสะอาด</t>
  </si>
  <si>
    <t>คนปรุงอาหาร</t>
  </si>
  <si>
    <t>คนรับใช้</t>
  </si>
  <si>
    <t>คนเลี้ยงเด็ก</t>
  </si>
  <si>
    <t>คลังสินค้า</t>
  </si>
  <si>
    <t>คอมพิวเตอร์/ไอที</t>
  </si>
  <si>
    <t>ค้าขาย</t>
  </si>
  <si>
    <t>ค้าปลีก</t>
  </si>
  <si>
    <t>ค้าส่ง</t>
  </si>
  <si>
    <t>โฆษณา</t>
  </si>
  <si>
    <t>จิตรกร</t>
  </si>
  <si>
    <t>เจ้าของกิจการ</t>
  </si>
  <si>
    <t>ช่างเคาะพ่นสีรถยนต์</t>
  </si>
  <si>
    <t>ช่างชุบโลหะ</t>
  </si>
  <si>
    <t>ช่างเชื่อมโลหะ</t>
  </si>
  <si>
    <t>ช่างซ่อมเครื่องไฟฟ้า</t>
  </si>
  <si>
    <t>ช่างซ่อมเครื่องยนต์</t>
  </si>
  <si>
    <t>ช่างซ่อมนาฬิกา</t>
  </si>
  <si>
    <t>ช่างซ่อมวิทยุ โทรทัศน์</t>
  </si>
  <si>
    <t>ช่างตัดผม</t>
  </si>
  <si>
    <t>ช่างตัดเย็บเสื้อผ้า</t>
  </si>
  <si>
    <t>ช่างถ่ายรูป</t>
  </si>
  <si>
    <t>ช่างทอ ปั่น จักสาน</t>
  </si>
  <si>
    <t>ช่างทอง</t>
  </si>
  <si>
    <t>ช่างทาสี</t>
  </si>
  <si>
    <t>ช่างเทคนิควิศวกรรม</t>
  </si>
  <si>
    <t>ช่างปูน</t>
  </si>
  <si>
    <t>ช่างพิมพ์</t>
  </si>
  <si>
    <t>ช่างเพชรพลอย</t>
  </si>
  <si>
    <t>ช่างเฟอร์นิเจอร์</t>
  </si>
  <si>
    <t>ช่างภาพ</t>
  </si>
  <si>
    <t>ช่างไม้</t>
  </si>
  <si>
    <t>ช่างเย็บหนัง</t>
  </si>
  <si>
    <t>ช่างล้างอัดรูป</t>
  </si>
  <si>
    <t>ช่างโลหะ</t>
  </si>
  <si>
    <t>ช่างศิลป์</t>
  </si>
  <si>
    <t>ช่างเสริมสวย</t>
  </si>
  <si>
    <t>ช่างหลอมโลหะ</t>
  </si>
  <si>
    <t>ช่างเหล็ก</t>
  </si>
  <si>
    <t>ช่างอีเลคโทรนิคส์</t>
  </si>
  <si>
    <t>ตัวแทนจำหน่าย</t>
  </si>
  <si>
    <t>ตำรวจ</t>
  </si>
  <si>
    <t>ทนายความ</t>
  </si>
  <si>
    <t>ทหารบก</t>
  </si>
  <si>
    <t>ทหารเรือ</t>
  </si>
  <si>
    <t>ทหารอากาศ</t>
  </si>
  <si>
    <t>ทันตแพทย์</t>
  </si>
  <si>
    <t>ทำนา</t>
  </si>
  <si>
    <t>ทำฟาร์ม</t>
  </si>
  <si>
    <t>ทำไร่</t>
  </si>
  <si>
    <t>ทำสวน</t>
  </si>
  <si>
    <t>นักการ-ภารโรง</t>
  </si>
  <si>
    <t>นักการทูต</t>
  </si>
  <si>
    <t>นักกีฬา</t>
  </si>
  <si>
    <t>นักข่าว</t>
  </si>
  <si>
    <t>นักดนตรี</t>
  </si>
  <si>
    <t>นักท่องเที่ยว</t>
  </si>
  <si>
    <t>นักธุรกิจ</t>
  </si>
  <si>
    <t>นักบัญชี</t>
  </si>
  <si>
    <t>นักประพันธ์</t>
  </si>
  <si>
    <t>นักร้อง</t>
  </si>
  <si>
    <t>นักวิจัย</t>
  </si>
  <si>
    <t>นักวิทยาศาสตร์</t>
  </si>
  <si>
    <t>นักเศรษฐศาสตร์</t>
  </si>
  <si>
    <t>นักสถิติ</t>
  </si>
  <si>
    <t>นักสังคมวิทยา</t>
  </si>
  <si>
    <t>นักสังคมสงเคราะห์</t>
  </si>
  <si>
    <t>นักสำรวจ</t>
  </si>
  <si>
    <t>นักแสดง</t>
  </si>
  <si>
    <t>นักหนังสือพิมพ์</t>
  </si>
  <si>
    <t>นางแบบ</t>
  </si>
  <si>
    <t>นายธนาคาร</t>
  </si>
  <si>
    <t>นายหน้า</t>
  </si>
  <si>
    <t>นำเข้า-ส่งออก</t>
  </si>
  <si>
    <t>บัญชี/การเงิน</t>
  </si>
  <si>
    <t>ประชาสัมพันธ์</t>
  </si>
  <si>
    <t>ประติมากร</t>
  </si>
  <si>
    <t>ประมง</t>
  </si>
  <si>
    <t>ผู้ช่วยผู้ใหญ่บ้าน</t>
  </si>
  <si>
    <t>ผู้บริหารรัฐวิสาหกิจ</t>
  </si>
  <si>
    <t>ผู้ปฎิบัติงานเกี่ยวกับการค้าอื่น ๆ</t>
  </si>
  <si>
    <t>ผู้ปฎิบัติงานด้านกสิกรรม เลี้ยงสัตว์อื่น</t>
  </si>
  <si>
    <t>ผู้ปฎิบัติงานด้านช่างอื่น ๆ</t>
  </si>
  <si>
    <t>ผู้ปฎิบัติงานด้านบริการอื่น ๆ</t>
  </si>
  <si>
    <t>ผู้ปฏิบัติงานทางเทคนิคการแพทย์</t>
  </si>
  <si>
    <t>ผู้ปฏิบัติงานที่ใช้วิชาการอื่น ๆ</t>
  </si>
  <si>
    <t>ผู้ปฏิบัติหน่วยงานของรัฐอื่น ๆ</t>
  </si>
  <si>
    <t>ผู้ปฏิบัติหน่วยงานรัฐวิสาหกิจอื่น ๆ</t>
  </si>
  <si>
    <t>ผู้ปฏิบัติหน่วยงานเอกชนอื่น ๆ</t>
  </si>
  <si>
    <t>ผู้พิพากษา</t>
  </si>
  <si>
    <t>ผู้รักษาความปลอดภัย</t>
  </si>
  <si>
    <t>ผู้สอนศาสนา</t>
  </si>
  <si>
    <t>ผู้ใหญ่บ้าน</t>
  </si>
  <si>
    <t>ฝ่ายบุคคล</t>
  </si>
  <si>
    <t>พนักงานขับรถเมล์</t>
  </si>
  <si>
    <t>พนักงานขาย</t>
  </si>
  <si>
    <t>พนักงานโฆษณา</t>
  </si>
  <si>
    <t>พนักงานที่ทำงานช่วยเหลือด้านการแพทย์</t>
  </si>
  <si>
    <t>พนักงานประจำสถานบริการ</t>
  </si>
  <si>
    <t>พนักงานประชาสัมพันธ์</t>
  </si>
  <si>
    <t>พนักงานรัฐวิสาหกิจ</t>
  </si>
  <si>
    <t>พนักงานราชการ</t>
  </si>
  <si>
    <t>พนักงานโรงแรม</t>
  </si>
  <si>
    <t>พนักงานส่วนท้องถิ่น</t>
  </si>
  <si>
    <t>พนักงานเสริฟ</t>
  </si>
  <si>
    <t>พนักงานหน่วยงานเอกชน</t>
  </si>
  <si>
    <t>พยาบาล</t>
  </si>
  <si>
    <t>แพทย์</t>
  </si>
  <si>
    <t>แพทย์/พยาบาล</t>
  </si>
  <si>
    <t>แพทย์ประจำตำบล</t>
  </si>
  <si>
    <t>เภสัชกร</t>
  </si>
  <si>
    <t>มัคคุเทศก์</t>
  </si>
  <si>
    <t>ไม่ได้ทำงาน</t>
  </si>
  <si>
    <t>รับจ้าง</t>
  </si>
  <si>
    <t>รับราชการ</t>
  </si>
  <si>
    <t>ล่าสัตว์</t>
  </si>
  <si>
    <t>ลูกจ้างชั่วคราว</t>
  </si>
  <si>
    <t>ลูกจ้างประจำ</t>
  </si>
  <si>
    <t>วิศวกร</t>
  </si>
  <si>
    <t>ศัลยแพทย์</t>
  </si>
  <si>
    <t>สถาปนิก</t>
  </si>
  <si>
    <t>สัตวแพทย์</t>
  </si>
  <si>
    <t>สารวัตรกำนัน</t>
  </si>
  <si>
    <t>เสมียน</t>
  </si>
  <si>
    <t>หมอดู</t>
  </si>
  <si>
    <t>หาบเร่</t>
  </si>
  <si>
    <t>อนุศาสนาจารย์</t>
  </si>
  <si>
    <t>อัยการ</t>
  </si>
  <si>
    <t>อาจารย์มหาวิทยาลัย</t>
  </si>
  <si>
    <t>อาจารย์โรงเรียน</t>
  </si>
  <si>
    <t>อื่น 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</si>
</sst>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070000]dd/mm/yyyy;@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charset val="22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11">
    <xf numFmtId="0" fontId="0" fillId="0" borderId="0" xfId="0"/>
    <xf numFmtId="0" fontId="1" fillId="0" borderId="0" xfId="1"/>
    <xf numFmtId="164" fontId="1" fillId="0" borderId="0" xfId="1" applyNumberFormat="1"/>
    <xf numFmtId="0" fontId="1" fillId="0" borderId="0" xfId="1" quotePrefix="1"/>
    <xf numFmtId="0" fontId="4" fillId="3" borderId="0" xfId="2" applyFont="1" applyFill="1" applyAlignment="1">
      <alignment horizontal="center" vertical="center"/>
    </xf>
    <xf numFmtId="0" fontId="5" fillId="0" borderId="0" xfId="2" applyFont="1" applyAlignment="1">
      <alignment horizontal="center" vertical="center"/>
    </xf>
    <xf numFmtId="0" fontId="5" fillId="0" borderId="0" xfId="2" applyFont="1"/>
    <xf numFmtId="0" fontId="5" fillId="0" borderId="0" xfId="2" applyFont="1" applyAlignment="1">
      <alignment vertical="center"/>
    </xf>
    <xf numFmtId="14" fontId="1" fillId="0" borderId="0" xfId="1" applyNumberFormat="1"/>
    <xf numFmtId="0" fontId="3" fillId="2" borderId="0" xfId="2" applyFont="1" applyFill="1" applyAlignment="1">
      <alignment horizontal="center" vertical="center"/>
    </xf>
    <xf numFmtId="0" fontId="5" fillId="0" borderId="0" xfId="2" applyFont="1" applyAlignment="1">
      <alignment horizontal="left" vertical="center"/>
    </xf>
  </cellXfs>
  <cellStyles count="3">
    <cellStyle name="Normal" xfId="0" builtinId="0"/>
    <cellStyle name="Normal 2" xfId="1" xr:uid="{D862A512-C7AA-4551-B1BE-52BC6CCA624C}"/>
    <cellStyle name="Normal 4" xfId="2" xr:uid="{3BC96650-EBFC-4E94-83E5-868F7D16B072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ngt_VKHL\TM,%20RR4\DRAFT_RR.xlsm" TargetMode="External"/><Relationship Id="rId1" Type="http://schemas.openxmlformats.org/officeDocument/2006/relationships/externalLinkPath" Target="DRAFT_R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IM"/>
      <sheetName val="IMM"/>
      <sheetName val="F1_"/>
      <sheetName val="COP_"/>
      <sheetName val="ASSETs"/>
      <sheetName val="Car_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5B2AD-F05A-46FE-8A26-4D403449F16F}">
  <dimension ref="A1:B207"/>
  <sheetViews>
    <sheetView tabSelected="1" workbookViewId="0"/>
  </sheetViews>
  <sheetFormatPr defaultRowHeight="15" x14ac:dyDescent="0.25"/>
  <sheetData>
    <row r="1" spans="1:2" x14ac:dyDescent="0.25">
      <c r="A1" t="s">
        <v>17</v>
      </c>
      <c r="B1">
        <v>2</v>
      </c>
    </row>
    <row r="2" spans="1:2" x14ac:dyDescent="0.25">
      <c r="A2" t="s">
        <v>22</v>
      </c>
      <c r="B2">
        <v>3</v>
      </c>
    </row>
    <row r="3" spans="1:2" x14ac:dyDescent="0.25">
      <c r="A3" t="s">
        <v>29</v>
      </c>
      <c r="B3">
        <v>4</v>
      </c>
    </row>
    <row r="4" spans="1:2" x14ac:dyDescent="0.25">
      <c r="A4" t="s">
        <v>35</v>
      </c>
      <c r="B4">
        <v>5</v>
      </c>
    </row>
    <row r="5" spans="1:2" x14ac:dyDescent="0.25">
      <c r="A5" t="s">
        <v>39</v>
      </c>
      <c r="B5">
        <v>6</v>
      </c>
    </row>
    <row r="6" spans="1:2" x14ac:dyDescent="0.25">
      <c r="A6" t="s">
        <v>43</v>
      </c>
      <c r="B6">
        <v>7</v>
      </c>
    </row>
    <row r="7" spans="1:2" x14ac:dyDescent="0.25">
      <c r="A7" t="s">
        <v>48</v>
      </c>
      <c r="B7">
        <v>8</v>
      </c>
    </row>
    <row r="8" spans="1:2" x14ac:dyDescent="0.25">
      <c r="A8" t="s">
        <v>52</v>
      </c>
      <c r="B8">
        <v>9</v>
      </c>
    </row>
    <row r="9" spans="1:2" x14ac:dyDescent="0.25">
      <c r="A9" t="s">
        <v>56</v>
      </c>
      <c r="B9">
        <v>10</v>
      </c>
    </row>
    <row r="10" spans="1:2" x14ac:dyDescent="0.25">
      <c r="A10" t="s">
        <v>60</v>
      </c>
      <c r="B10">
        <v>11</v>
      </c>
    </row>
    <row r="11" spans="1:2" x14ac:dyDescent="0.25">
      <c r="A11" t="s">
        <v>65</v>
      </c>
      <c r="B11">
        <v>12</v>
      </c>
    </row>
    <row r="12" spans="1:2" x14ac:dyDescent="0.25">
      <c r="A12" t="s">
        <v>69</v>
      </c>
      <c r="B12">
        <v>13</v>
      </c>
    </row>
    <row r="13" spans="1:2" x14ac:dyDescent="0.25">
      <c r="A13" t="s">
        <v>73</v>
      </c>
      <c r="B13">
        <v>14</v>
      </c>
    </row>
    <row r="14" spans="1:2" x14ac:dyDescent="0.25">
      <c r="A14" t="s">
        <v>77</v>
      </c>
      <c r="B14">
        <v>15</v>
      </c>
    </row>
    <row r="15" spans="1:2" x14ac:dyDescent="0.25">
      <c r="A15" t="s">
        <v>81</v>
      </c>
      <c r="B15">
        <v>16</v>
      </c>
    </row>
    <row r="16" spans="1:2" x14ac:dyDescent="0.25">
      <c r="A16" t="s">
        <v>85</v>
      </c>
      <c r="B16">
        <v>17</v>
      </c>
    </row>
    <row r="17" spans="1:2" x14ac:dyDescent="0.25">
      <c r="A17" t="s">
        <v>90</v>
      </c>
      <c r="B17">
        <v>18</v>
      </c>
    </row>
    <row r="18" spans="1:2" x14ac:dyDescent="0.25">
      <c r="A18" t="s">
        <v>93</v>
      </c>
      <c r="B18">
        <v>19</v>
      </c>
    </row>
    <row r="19" spans="1:2" x14ac:dyDescent="0.25">
      <c r="A19" t="s">
        <v>98</v>
      </c>
      <c r="B19">
        <v>20</v>
      </c>
    </row>
    <row r="20" spans="1:2" x14ac:dyDescent="0.25">
      <c r="A20" t="s">
        <v>103</v>
      </c>
      <c r="B20">
        <v>21</v>
      </c>
    </row>
    <row r="21" spans="1:2" x14ac:dyDescent="0.25">
      <c r="A21" t="s">
        <v>107</v>
      </c>
      <c r="B21">
        <v>22</v>
      </c>
    </row>
    <row r="22" spans="1:2" x14ac:dyDescent="0.25">
      <c r="A22" t="s">
        <v>111</v>
      </c>
      <c r="B22">
        <v>23</v>
      </c>
    </row>
    <row r="23" spans="1:2" x14ac:dyDescent="0.25">
      <c r="A23" t="s">
        <v>115</v>
      </c>
      <c r="B23">
        <v>24</v>
      </c>
    </row>
    <row r="24" spans="1:2" x14ac:dyDescent="0.25">
      <c r="A24" t="s">
        <v>120</v>
      </c>
      <c r="B24">
        <v>26</v>
      </c>
    </row>
    <row r="25" spans="1:2" x14ac:dyDescent="0.25">
      <c r="A25" t="s">
        <v>124</v>
      </c>
      <c r="B25">
        <v>27</v>
      </c>
    </row>
    <row r="26" spans="1:2" x14ac:dyDescent="0.25">
      <c r="A26" t="s">
        <v>128</v>
      </c>
      <c r="B26">
        <v>28</v>
      </c>
    </row>
    <row r="27" spans="1:2" x14ac:dyDescent="0.25">
      <c r="A27" t="s">
        <v>132</v>
      </c>
      <c r="B27">
        <v>29</v>
      </c>
    </row>
    <row r="28" spans="1:2" x14ac:dyDescent="0.25">
      <c r="A28" t="s">
        <v>137</v>
      </c>
      <c r="B28">
        <v>30</v>
      </c>
    </row>
    <row r="29" spans="1:2" x14ac:dyDescent="0.25">
      <c r="A29" t="s">
        <v>141</v>
      </c>
      <c r="B29">
        <v>31</v>
      </c>
    </row>
    <row r="30" spans="1:2" x14ac:dyDescent="0.25">
      <c r="A30" t="s">
        <v>146</v>
      </c>
      <c r="B30">
        <v>32</v>
      </c>
    </row>
    <row r="31" spans="1:2" x14ac:dyDescent="0.25">
      <c r="A31" t="s">
        <v>150</v>
      </c>
      <c r="B31">
        <v>33</v>
      </c>
    </row>
    <row r="32" spans="1:2" x14ac:dyDescent="0.25">
      <c r="A32" t="s">
        <v>154</v>
      </c>
      <c r="B32">
        <v>34</v>
      </c>
    </row>
    <row r="33" spans="1:2" x14ac:dyDescent="0.25">
      <c r="A33" t="s">
        <v>158</v>
      </c>
      <c r="B33">
        <v>35</v>
      </c>
    </row>
    <row r="34" spans="1:2" x14ac:dyDescent="0.25">
      <c r="A34" t="s">
        <v>162</v>
      </c>
      <c r="B34">
        <v>37</v>
      </c>
    </row>
    <row r="35" spans="1:2" x14ac:dyDescent="0.25">
      <c r="A35" t="s">
        <v>167</v>
      </c>
      <c r="B35">
        <v>39</v>
      </c>
    </row>
    <row r="36" spans="1:2" x14ac:dyDescent="0.25">
      <c r="A36" t="s">
        <v>171</v>
      </c>
      <c r="B36">
        <v>40</v>
      </c>
    </row>
    <row r="37" spans="1:2" x14ac:dyDescent="0.25">
      <c r="A37" t="s">
        <v>176</v>
      </c>
      <c r="B37">
        <v>41</v>
      </c>
    </row>
    <row r="38" spans="1:2" x14ac:dyDescent="0.25">
      <c r="A38" t="s">
        <v>180</v>
      </c>
      <c r="B38">
        <v>42</v>
      </c>
    </row>
    <row r="39" spans="1:2" x14ac:dyDescent="0.25">
      <c r="A39" t="s">
        <v>184</v>
      </c>
      <c r="B39">
        <v>43</v>
      </c>
    </row>
    <row r="40" spans="1:2" x14ac:dyDescent="0.25">
      <c r="A40" t="s">
        <v>187</v>
      </c>
      <c r="B40">
        <v>44</v>
      </c>
    </row>
    <row r="41" spans="1:2" x14ac:dyDescent="0.25">
      <c r="A41" t="s">
        <v>191</v>
      </c>
      <c r="B41">
        <v>45</v>
      </c>
    </row>
    <row r="42" spans="1:2" x14ac:dyDescent="0.25">
      <c r="A42" t="s">
        <v>196</v>
      </c>
      <c r="B42">
        <v>46</v>
      </c>
    </row>
    <row r="43" spans="1:2" x14ac:dyDescent="0.25">
      <c r="A43" t="s">
        <v>200</v>
      </c>
      <c r="B43">
        <v>47</v>
      </c>
    </row>
    <row r="44" spans="1:2" x14ac:dyDescent="0.25">
      <c r="A44" t="s">
        <v>204</v>
      </c>
      <c r="B44">
        <v>48</v>
      </c>
    </row>
    <row r="45" spans="1:2" x14ac:dyDescent="0.25">
      <c r="A45" t="s">
        <v>207</v>
      </c>
      <c r="B45">
        <v>49</v>
      </c>
    </row>
    <row r="46" spans="1:2" x14ac:dyDescent="0.25">
      <c r="A46" t="s">
        <v>211</v>
      </c>
      <c r="B46">
        <v>50</v>
      </c>
    </row>
    <row r="47" spans="1:2" x14ac:dyDescent="0.25">
      <c r="A47" t="s">
        <v>216</v>
      </c>
      <c r="B47">
        <v>51</v>
      </c>
    </row>
    <row r="48" spans="1:2" x14ac:dyDescent="0.25">
      <c r="A48" t="s">
        <v>220</v>
      </c>
      <c r="B48">
        <v>52</v>
      </c>
    </row>
    <row r="49" spans="1:2" x14ac:dyDescent="0.25">
      <c r="A49" t="s">
        <v>224</v>
      </c>
      <c r="B49">
        <v>53</v>
      </c>
    </row>
    <row r="50" spans="1:2" x14ac:dyDescent="0.25">
      <c r="A50" t="s">
        <v>228</v>
      </c>
      <c r="B50">
        <v>54</v>
      </c>
    </row>
    <row r="51" spans="1:2" x14ac:dyDescent="0.25">
      <c r="A51" t="s">
        <v>232</v>
      </c>
      <c r="B51">
        <v>55</v>
      </c>
    </row>
    <row r="52" spans="1:2" x14ac:dyDescent="0.25">
      <c r="A52" t="s">
        <v>236</v>
      </c>
      <c r="B52">
        <v>56</v>
      </c>
    </row>
    <row r="53" spans="1:2" x14ac:dyDescent="0.25">
      <c r="A53" t="s">
        <v>240</v>
      </c>
      <c r="B53">
        <v>57</v>
      </c>
    </row>
    <row r="54" spans="1:2" x14ac:dyDescent="0.25">
      <c r="A54" t="s">
        <v>244</v>
      </c>
      <c r="B54">
        <v>58</v>
      </c>
    </row>
    <row r="55" spans="1:2" x14ac:dyDescent="0.25">
      <c r="A55" t="s">
        <v>248</v>
      </c>
      <c r="B55">
        <v>59</v>
      </c>
    </row>
    <row r="56" spans="1:2" x14ac:dyDescent="0.25">
      <c r="A56" t="s">
        <v>252</v>
      </c>
      <c r="B56">
        <v>60</v>
      </c>
    </row>
    <row r="57" spans="1:2" x14ac:dyDescent="0.25">
      <c r="A57" t="s">
        <v>256</v>
      </c>
      <c r="B57">
        <v>61</v>
      </c>
    </row>
    <row r="58" spans="1:2" x14ac:dyDescent="0.25">
      <c r="A58" t="s">
        <v>260</v>
      </c>
      <c r="B58">
        <v>62</v>
      </c>
    </row>
    <row r="59" spans="1:2" x14ac:dyDescent="0.25">
      <c r="A59" t="s">
        <v>264</v>
      </c>
      <c r="B59">
        <v>63</v>
      </c>
    </row>
    <row r="60" spans="1:2" x14ac:dyDescent="0.25">
      <c r="A60" t="s">
        <v>268</v>
      </c>
      <c r="B60">
        <v>64</v>
      </c>
    </row>
    <row r="61" spans="1:2" x14ac:dyDescent="0.25">
      <c r="A61" t="s">
        <v>272</v>
      </c>
      <c r="B61">
        <v>66</v>
      </c>
    </row>
    <row r="62" spans="1:2" x14ac:dyDescent="0.25">
      <c r="A62" t="s">
        <v>276</v>
      </c>
      <c r="B62">
        <v>67</v>
      </c>
    </row>
    <row r="63" spans="1:2" x14ac:dyDescent="0.25">
      <c r="A63" t="s">
        <v>281</v>
      </c>
      <c r="B63">
        <v>68</v>
      </c>
    </row>
    <row r="64" spans="1:2" x14ac:dyDescent="0.25">
      <c r="A64" t="s">
        <v>285</v>
      </c>
      <c r="B64">
        <v>69</v>
      </c>
    </row>
    <row r="65" spans="1:2" x14ac:dyDescent="0.25">
      <c r="A65" t="s">
        <v>289</v>
      </c>
      <c r="B65">
        <v>70</v>
      </c>
    </row>
    <row r="66" spans="1:2" x14ac:dyDescent="0.25">
      <c r="A66" t="s">
        <v>293</v>
      </c>
      <c r="B66">
        <v>73</v>
      </c>
    </row>
    <row r="67" spans="1:2" x14ac:dyDescent="0.25">
      <c r="A67" t="s">
        <v>298</v>
      </c>
      <c r="B67">
        <v>74</v>
      </c>
    </row>
    <row r="68" spans="1:2" x14ac:dyDescent="0.25">
      <c r="A68" t="s">
        <v>302</v>
      </c>
      <c r="B68">
        <v>75</v>
      </c>
    </row>
    <row r="69" spans="1:2" x14ac:dyDescent="0.25">
      <c r="A69" t="s">
        <v>307</v>
      </c>
      <c r="B69">
        <v>76</v>
      </c>
    </row>
    <row r="70" spans="1:2" x14ac:dyDescent="0.25">
      <c r="A70" t="s">
        <v>312</v>
      </c>
      <c r="B70">
        <v>77</v>
      </c>
    </row>
    <row r="71" spans="1:2" x14ac:dyDescent="0.25">
      <c r="A71" t="s">
        <v>316</v>
      </c>
      <c r="B71">
        <v>78</v>
      </c>
    </row>
    <row r="72" spans="1:2" x14ac:dyDescent="0.25">
      <c r="A72" t="s">
        <v>319</v>
      </c>
      <c r="B72">
        <v>79</v>
      </c>
    </row>
    <row r="73" spans="1:2" x14ac:dyDescent="0.25">
      <c r="A73" t="s">
        <v>323</v>
      </c>
      <c r="B73">
        <v>80</v>
      </c>
    </row>
    <row r="74" spans="1:2" x14ac:dyDescent="0.25">
      <c r="A74" t="s">
        <v>327</v>
      </c>
      <c r="B74">
        <v>81</v>
      </c>
    </row>
    <row r="75" spans="1:2" x14ac:dyDescent="0.25">
      <c r="A75" t="s">
        <v>331</v>
      </c>
      <c r="B75">
        <v>99</v>
      </c>
    </row>
    <row r="76" spans="1:2" x14ac:dyDescent="0.25">
      <c r="A76" t="s">
        <v>335</v>
      </c>
      <c r="B76">
        <v>100</v>
      </c>
    </row>
    <row r="77" spans="1:2" x14ac:dyDescent="0.25">
      <c r="A77" t="s">
        <v>339</v>
      </c>
      <c r="B77">
        <v>101</v>
      </c>
    </row>
    <row r="78" spans="1:2" x14ac:dyDescent="0.25">
      <c r="A78" t="s">
        <v>342</v>
      </c>
      <c r="B78">
        <v>102</v>
      </c>
    </row>
    <row r="79" spans="1:2" x14ac:dyDescent="0.25">
      <c r="A79" t="s">
        <v>345</v>
      </c>
      <c r="B79">
        <v>103</v>
      </c>
    </row>
    <row r="80" spans="1:2" x14ac:dyDescent="0.25">
      <c r="A80" t="s">
        <v>350</v>
      </c>
      <c r="B80">
        <v>104</v>
      </c>
    </row>
    <row r="81" spans="1:2" x14ac:dyDescent="0.25">
      <c r="A81" t="s">
        <v>355</v>
      </c>
      <c r="B81">
        <v>105</v>
      </c>
    </row>
    <row r="82" spans="1:2" x14ac:dyDescent="0.25">
      <c r="A82" t="s">
        <v>360</v>
      </c>
      <c r="B82">
        <v>106</v>
      </c>
    </row>
    <row r="83" spans="1:2" x14ac:dyDescent="0.25">
      <c r="A83" t="s">
        <v>364</v>
      </c>
      <c r="B83">
        <v>107</v>
      </c>
    </row>
    <row r="84" spans="1:2" x14ac:dyDescent="0.25">
      <c r="A84" t="s">
        <v>368</v>
      </c>
      <c r="B84">
        <v>108</v>
      </c>
    </row>
    <row r="85" spans="1:2" x14ac:dyDescent="0.25">
      <c r="A85" t="s">
        <v>372</v>
      </c>
      <c r="B85">
        <v>109</v>
      </c>
    </row>
    <row r="86" spans="1:2" x14ac:dyDescent="0.25">
      <c r="A86" t="s">
        <v>376</v>
      </c>
      <c r="B86">
        <v>111</v>
      </c>
    </row>
    <row r="87" spans="1:2" x14ac:dyDescent="0.25">
      <c r="A87" t="s">
        <v>380</v>
      </c>
      <c r="B87">
        <v>112</v>
      </c>
    </row>
    <row r="88" spans="1:2" x14ac:dyDescent="0.25">
      <c r="A88" t="s">
        <v>385</v>
      </c>
      <c r="B88">
        <v>113</v>
      </c>
    </row>
    <row r="89" spans="1:2" x14ac:dyDescent="0.25">
      <c r="A89" t="s">
        <v>390</v>
      </c>
      <c r="B89">
        <v>114</v>
      </c>
    </row>
    <row r="90" spans="1:2" x14ac:dyDescent="0.25">
      <c r="A90" t="s">
        <v>395</v>
      </c>
      <c r="B90">
        <v>115</v>
      </c>
    </row>
    <row r="91" spans="1:2" x14ac:dyDescent="0.25">
      <c r="A91" t="s">
        <v>399</v>
      </c>
      <c r="B91">
        <v>116</v>
      </c>
    </row>
    <row r="92" spans="1:2" x14ac:dyDescent="0.25">
      <c r="A92" t="s">
        <v>404</v>
      </c>
      <c r="B92">
        <v>117</v>
      </c>
    </row>
    <row r="93" spans="1:2" x14ac:dyDescent="0.25">
      <c r="A93" t="s">
        <v>408</v>
      </c>
      <c r="B93">
        <v>118</v>
      </c>
    </row>
    <row r="94" spans="1:2" x14ac:dyDescent="0.25">
      <c r="A94" t="s">
        <v>412</v>
      </c>
      <c r="B94">
        <v>119</v>
      </c>
    </row>
    <row r="95" spans="1:2" x14ac:dyDescent="0.25">
      <c r="A95" t="s">
        <v>416</v>
      </c>
      <c r="B95">
        <v>120</v>
      </c>
    </row>
    <row r="96" spans="1:2" x14ac:dyDescent="0.25">
      <c r="A96" t="s">
        <v>420</v>
      </c>
      <c r="B96">
        <v>122</v>
      </c>
    </row>
    <row r="97" spans="1:2" x14ac:dyDescent="0.25">
      <c r="A97" t="s">
        <v>425</v>
      </c>
      <c r="B97">
        <v>123</v>
      </c>
    </row>
    <row r="98" spans="1:2" x14ac:dyDescent="0.25">
      <c r="A98" t="s">
        <v>428</v>
      </c>
      <c r="B98">
        <v>124</v>
      </c>
    </row>
    <row r="99" spans="1:2" x14ac:dyDescent="0.25">
      <c r="A99" t="s">
        <v>432</v>
      </c>
      <c r="B99">
        <v>125</v>
      </c>
    </row>
    <row r="100" spans="1:2" x14ac:dyDescent="0.25">
      <c r="A100" t="s">
        <v>436</v>
      </c>
      <c r="B100">
        <v>126</v>
      </c>
    </row>
    <row r="101" spans="1:2" x14ac:dyDescent="0.25">
      <c r="A101" t="s">
        <v>440</v>
      </c>
      <c r="B101">
        <v>127</v>
      </c>
    </row>
    <row r="102" spans="1:2" x14ac:dyDescent="0.25">
      <c r="A102" t="s">
        <v>445</v>
      </c>
      <c r="B102">
        <v>128</v>
      </c>
    </row>
    <row r="103" spans="1:2" x14ac:dyDescent="0.25">
      <c r="A103" t="s">
        <v>449</v>
      </c>
      <c r="B103">
        <v>129</v>
      </c>
    </row>
    <row r="104" spans="1:2" x14ac:dyDescent="0.25">
      <c r="A104" t="s">
        <v>453</v>
      </c>
      <c r="B104">
        <v>130</v>
      </c>
    </row>
    <row r="105" spans="1:2" x14ac:dyDescent="0.25">
      <c r="A105" t="s">
        <v>456</v>
      </c>
      <c r="B105">
        <v>131</v>
      </c>
    </row>
    <row r="106" spans="1:2" x14ac:dyDescent="0.25">
      <c r="A106" t="s">
        <v>461</v>
      </c>
      <c r="B106">
        <v>132</v>
      </c>
    </row>
    <row r="107" spans="1:2" x14ac:dyDescent="0.25">
      <c r="A107" t="s">
        <v>464</v>
      </c>
      <c r="B107">
        <v>133</v>
      </c>
    </row>
    <row r="108" spans="1:2" x14ac:dyDescent="0.25">
      <c r="A108" t="s">
        <v>468</v>
      </c>
      <c r="B108">
        <v>134</v>
      </c>
    </row>
    <row r="109" spans="1:2" x14ac:dyDescent="0.25">
      <c r="A109" t="s">
        <v>471</v>
      </c>
      <c r="B109">
        <v>135</v>
      </c>
    </row>
    <row r="110" spans="1:2" x14ac:dyDescent="0.25">
      <c r="A110" t="s">
        <v>474</v>
      </c>
      <c r="B110">
        <v>136</v>
      </c>
    </row>
    <row r="111" spans="1:2" x14ac:dyDescent="0.25">
      <c r="A111" t="s">
        <v>477</v>
      </c>
      <c r="B111">
        <v>137</v>
      </c>
    </row>
    <row r="112" spans="1:2" x14ac:dyDescent="0.25">
      <c r="A112" t="s">
        <v>480</v>
      </c>
      <c r="B112">
        <v>138</v>
      </c>
    </row>
    <row r="113" spans="1:2" x14ac:dyDescent="0.25">
      <c r="A113" t="s">
        <v>483</v>
      </c>
      <c r="B113">
        <v>139</v>
      </c>
    </row>
    <row r="114" spans="1:2" x14ac:dyDescent="0.25">
      <c r="A114" t="s">
        <v>486</v>
      </c>
      <c r="B114">
        <v>140</v>
      </c>
    </row>
    <row r="115" spans="1:2" x14ac:dyDescent="0.25">
      <c r="A115" t="s">
        <v>489</v>
      </c>
      <c r="B115">
        <v>141</v>
      </c>
    </row>
    <row r="116" spans="1:2" x14ac:dyDescent="0.25">
      <c r="A116" t="s">
        <v>493</v>
      </c>
      <c r="B116">
        <v>142</v>
      </c>
    </row>
    <row r="117" spans="1:2" x14ac:dyDescent="0.25">
      <c r="A117" t="s">
        <v>496</v>
      </c>
      <c r="B117">
        <v>143</v>
      </c>
    </row>
    <row r="118" spans="1:2" x14ac:dyDescent="0.25">
      <c r="A118" t="s">
        <v>499</v>
      </c>
      <c r="B118">
        <v>144</v>
      </c>
    </row>
    <row r="119" spans="1:2" x14ac:dyDescent="0.25">
      <c r="A119" t="s">
        <v>502</v>
      </c>
      <c r="B119">
        <v>145</v>
      </c>
    </row>
    <row r="120" spans="1:2" x14ac:dyDescent="0.25">
      <c r="A120" t="s">
        <v>505</v>
      </c>
      <c r="B120">
        <v>146</v>
      </c>
    </row>
    <row r="121" spans="1:2" x14ac:dyDescent="0.25">
      <c r="A121" t="s">
        <v>507</v>
      </c>
      <c r="B121">
        <v>147</v>
      </c>
    </row>
    <row r="122" spans="1:2" x14ac:dyDescent="0.25">
      <c r="A122" t="s">
        <v>510</v>
      </c>
      <c r="B122">
        <v>148</v>
      </c>
    </row>
    <row r="123" spans="1:2" x14ac:dyDescent="0.25">
      <c r="A123" t="s">
        <v>513</v>
      </c>
      <c r="B123">
        <v>149</v>
      </c>
    </row>
    <row r="124" spans="1:2" x14ac:dyDescent="0.25">
      <c r="A124" t="s">
        <v>516</v>
      </c>
      <c r="B124">
        <v>150</v>
      </c>
    </row>
    <row r="125" spans="1:2" x14ac:dyDescent="0.25">
      <c r="A125" t="s">
        <v>519</v>
      </c>
      <c r="B125">
        <v>151</v>
      </c>
    </row>
    <row r="126" spans="1:2" x14ac:dyDescent="0.25">
      <c r="A126" t="s">
        <v>522</v>
      </c>
      <c r="B126">
        <v>152</v>
      </c>
    </row>
    <row r="127" spans="1:2" x14ac:dyDescent="0.25">
      <c r="A127" t="s">
        <v>525</v>
      </c>
      <c r="B127">
        <v>153</v>
      </c>
    </row>
    <row r="128" spans="1:2" x14ac:dyDescent="0.25">
      <c r="A128" t="s">
        <v>528</v>
      </c>
      <c r="B128">
        <v>154</v>
      </c>
    </row>
    <row r="129" spans="1:2" x14ac:dyDescent="0.25">
      <c r="A129" t="s">
        <v>532</v>
      </c>
      <c r="B129">
        <v>155</v>
      </c>
    </row>
    <row r="130" spans="1:2" x14ac:dyDescent="0.25">
      <c r="A130" t="s">
        <v>535</v>
      </c>
      <c r="B130">
        <v>156</v>
      </c>
    </row>
    <row r="131" spans="1:2" x14ac:dyDescent="0.25">
      <c r="A131" t="s">
        <v>538</v>
      </c>
      <c r="B131">
        <v>157</v>
      </c>
    </row>
    <row r="132" spans="1:2" x14ac:dyDescent="0.25">
      <c r="A132" t="s">
        <v>541</v>
      </c>
      <c r="B132">
        <v>158</v>
      </c>
    </row>
    <row r="133" spans="1:2" x14ac:dyDescent="0.25">
      <c r="A133" t="s">
        <v>544</v>
      </c>
      <c r="B133">
        <v>159</v>
      </c>
    </row>
    <row r="134" spans="1:2" x14ac:dyDescent="0.25">
      <c r="A134" t="s">
        <v>547</v>
      </c>
      <c r="B134">
        <v>160</v>
      </c>
    </row>
    <row r="135" spans="1:2" x14ac:dyDescent="0.25">
      <c r="A135" t="s">
        <v>551</v>
      </c>
      <c r="B135">
        <v>161</v>
      </c>
    </row>
    <row r="136" spans="1:2" x14ac:dyDescent="0.25">
      <c r="A136" t="s">
        <v>554</v>
      </c>
      <c r="B136">
        <v>162</v>
      </c>
    </row>
    <row r="137" spans="1:2" x14ac:dyDescent="0.25">
      <c r="A137" t="s">
        <v>557</v>
      </c>
      <c r="B137">
        <v>163</v>
      </c>
    </row>
    <row r="138" spans="1:2" x14ac:dyDescent="0.25">
      <c r="A138" t="s">
        <v>560</v>
      </c>
      <c r="B138">
        <v>164</v>
      </c>
    </row>
    <row r="139" spans="1:2" x14ac:dyDescent="0.25">
      <c r="A139" t="s">
        <v>564</v>
      </c>
      <c r="B139">
        <v>165</v>
      </c>
    </row>
    <row r="140" spans="1:2" x14ac:dyDescent="0.25">
      <c r="A140" t="s">
        <v>567</v>
      </c>
      <c r="B140">
        <v>166</v>
      </c>
    </row>
    <row r="141" spans="1:2" x14ac:dyDescent="0.25">
      <c r="A141" t="s">
        <v>569</v>
      </c>
      <c r="B141">
        <v>167</v>
      </c>
    </row>
    <row r="142" spans="1:2" x14ac:dyDescent="0.25">
      <c r="A142" t="s">
        <v>572</v>
      </c>
      <c r="B142">
        <v>168</v>
      </c>
    </row>
    <row r="143" spans="1:2" x14ac:dyDescent="0.25">
      <c r="A143" t="s">
        <v>574</v>
      </c>
      <c r="B143">
        <v>169</v>
      </c>
    </row>
    <row r="144" spans="1:2" x14ac:dyDescent="0.25">
      <c r="A144" t="s">
        <v>577</v>
      </c>
      <c r="B144">
        <v>170</v>
      </c>
    </row>
    <row r="145" spans="1:2" x14ac:dyDescent="0.25">
      <c r="A145" t="s">
        <v>581</v>
      </c>
      <c r="B145">
        <v>171</v>
      </c>
    </row>
    <row r="146" spans="1:2" x14ac:dyDescent="0.25">
      <c r="A146" t="s">
        <v>584</v>
      </c>
      <c r="B146">
        <v>172</v>
      </c>
    </row>
    <row r="147" spans="1:2" x14ac:dyDescent="0.25">
      <c r="A147" t="s">
        <v>587</v>
      </c>
      <c r="B147">
        <v>173</v>
      </c>
    </row>
    <row r="148" spans="1:2" x14ac:dyDescent="0.25">
      <c r="A148" t="s">
        <v>590</v>
      </c>
      <c r="B148">
        <v>174</v>
      </c>
    </row>
    <row r="149" spans="1:2" x14ac:dyDescent="0.25">
      <c r="A149" t="s">
        <v>593</v>
      </c>
      <c r="B149">
        <v>175</v>
      </c>
    </row>
    <row r="150" spans="1:2" x14ac:dyDescent="0.25">
      <c r="A150" t="s">
        <v>596</v>
      </c>
      <c r="B150">
        <v>176</v>
      </c>
    </row>
    <row r="151" spans="1:2" x14ac:dyDescent="0.25">
      <c r="A151" t="s">
        <v>599</v>
      </c>
      <c r="B151">
        <v>177</v>
      </c>
    </row>
    <row r="152" spans="1:2" x14ac:dyDescent="0.25">
      <c r="A152" t="s">
        <v>603</v>
      </c>
      <c r="B152">
        <v>178</v>
      </c>
    </row>
    <row r="153" spans="1:2" x14ac:dyDescent="0.25">
      <c r="A153" t="s">
        <v>606</v>
      </c>
      <c r="B153">
        <v>179</v>
      </c>
    </row>
    <row r="154" spans="1:2" x14ac:dyDescent="0.25">
      <c r="A154" t="s">
        <v>610</v>
      </c>
      <c r="B154">
        <v>180</v>
      </c>
    </row>
    <row r="155" spans="1:2" x14ac:dyDescent="0.25">
      <c r="A155" t="s">
        <v>613</v>
      </c>
      <c r="B155">
        <v>181</v>
      </c>
    </row>
    <row r="156" spans="1:2" x14ac:dyDescent="0.25">
      <c r="A156" t="s">
        <v>616</v>
      </c>
      <c r="B156">
        <v>182</v>
      </c>
    </row>
    <row r="157" spans="1:2" x14ac:dyDescent="0.25">
      <c r="A157" t="s">
        <v>619</v>
      </c>
      <c r="B157">
        <v>183</v>
      </c>
    </row>
    <row r="158" spans="1:2" x14ac:dyDescent="0.25">
      <c r="A158" t="s">
        <v>622</v>
      </c>
      <c r="B158">
        <v>184</v>
      </c>
    </row>
    <row r="159" spans="1:2" x14ac:dyDescent="0.25">
      <c r="A159" t="s">
        <v>626</v>
      </c>
      <c r="B159">
        <v>185</v>
      </c>
    </row>
    <row r="160" spans="1:2" x14ac:dyDescent="0.25">
      <c r="A160" t="s">
        <v>629</v>
      </c>
      <c r="B160">
        <v>186</v>
      </c>
    </row>
    <row r="161" spans="1:2" x14ac:dyDescent="0.25">
      <c r="A161" t="s">
        <v>632</v>
      </c>
      <c r="B161">
        <v>187</v>
      </c>
    </row>
    <row r="162" spans="1:2" x14ac:dyDescent="0.25">
      <c r="A162" t="s">
        <v>634</v>
      </c>
      <c r="B162">
        <v>188</v>
      </c>
    </row>
    <row r="163" spans="1:2" x14ac:dyDescent="0.25">
      <c r="A163" t="s">
        <v>637</v>
      </c>
      <c r="B163">
        <v>189</v>
      </c>
    </row>
    <row r="164" spans="1:2" x14ac:dyDescent="0.25">
      <c r="A164" t="s">
        <v>639</v>
      </c>
      <c r="B164">
        <v>190</v>
      </c>
    </row>
    <row r="165" spans="1:2" x14ac:dyDescent="0.25">
      <c r="A165" t="s">
        <v>642</v>
      </c>
      <c r="B165">
        <v>191</v>
      </c>
    </row>
    <row r="166" spans="1:2" x14ac:dyDescent="0.25">
      <c r="A166" t="s">
        <v>645</v>
      </c>
      <c r="B166">
        <v>192</v>
      </c>
    </row>
    <row r="167" spans="1:2" x14ac:dyDescent="0.25">
      <c r="A167" t="s">
        <v>648</v>
      </c>
      <c r="B167">
        <v>193</v>
      </c>
    </row>
    <row r="168" spans="1:2" x14ac:dyDescent="0.25">
      <c r="A168" t="s">
        <v>652</v>
      </c>
      <c r="B168">
        <v>194</v>
      </c>
    </row>
    <row r="169" spans="1:2" x14ac:dyDescent="0.25">
      <c r="A169" t="s">
        <v>655</v>
      </c>
      <c r="B169">
        <v>195</v>
      </c>
    </row>
    <row r="170" spans="1:2" x14ac:dyDescent="0.25">
      <c r="A170" t="s">
        <v>657</v>
      </c>
      <c r="B170">
        <v>216</v>
      </c>
    </row>
    <row r="171" spans="1:2" x14ac:dyDescent="0.25">
      <c r="A171" t="s">
        <v>660</v>
      </c>
      <c r="B171">
        <v>220</v>
      </c>
    </row>
    <row r="172" spans="1:2" x14ac:dyDescent="0.25">
      <c r="A172" t="s">
        <v>663</v>
      </c>
      <c r="B172">
        <v>221</v>
      </c>
    </row>
    <row r="173" spans="1:2" x14ac:dyDescent="0.25">
      <c r="A173" t="s">
        <v>666</v>
      </c>
      <c r="B173">
        <v>223</v>
      </c>
    </row>
    <row r="174" spans="1:2" x14ac:dyDescent="0.25">
      <c r="A174" t="s">
        <v>668</v>
      </c>
      <c r="B174">
        <v>224</v>
      </c>
    </row>
    <row r="175" spans="1:2" x14ac:dyDescent="0.25">
      <c r="A175" t="s">
        <v>671</v>
      </c>
      <c r="B175">
        <v>225</v>
      </c>
    </row>
    <row r="176" spans="1:2" x14ac:dyDescent="0.25">
      <c r="A176" t="s">
        <v>673</v>
      </c>
      <c r="B176">
        <v>226</v>
      </c>
    </row>
    <row r="177" spans="1:2" x14ac:dyDescent="0.25">
      <c r="A177" t="s">
        <v>675</v>
      </c>
      <c r="B177">
        <v>227</v>
      </c>
    </row>
    <row r="178" spans="1:2" x14ac:dyDescent="0.25">
      <c r="A178" t="s">
        <v>678</v>
      </c>
      <c r="B178">
        <v>228</v>
      </c>
    </row>
    <row r="179" spans="1:2" x14ac:dyDescent="0.25">
      <c r="A179" t="s">
        <v>681</v>
      </c>
      <c r="B179">
        <v>229</v>
      </c>
    </row>
    <row r="180" spans="1:2" x14ac:dyDescent="0.25">
      <c r="A180" t="s">
        <v>683</v>
      </c>
      <c r="B180">
        <v>230</v>
      </c>
    </row>
    <row r="181" spans="1:2" x14ac:dyDescent="0.25">
      <c r="A181" t="s">
        <v>686</v>
      </c>
      <c r="B181">
        <v>231</v>
      </c>
    </row>
    <row r="182" spans="1:2" x14ac:dyDescent="0.25">
      <c r="A182" t="s">
        <v>689</v>
      </c>
      <c r="B182">
        <v>232</v>
      </c>
    </row>
    <row r="183" spans="1:2" x14ac:dyDescent="0.25">
      <c r="A183" t="s">
        <v>692</v>
      </c>
      <c r="B183">
        <v>233</v>
      </c>
    </row>
    <row r="184" spans="1:2" x14ac:dyDescent="0.25">
      <c r="A184" t="s">
        <v>695</v>
      </c>
      <c r="B184">
        <v>234</v>
      </c>
    </row>
    <row r="185" spans="1:2" x14ac:dyDescent="0.25">
      <c r="A185" t="s">
        <v>697</v>
      </c>
      <c r="B185">
        <v>235</v>
      </c>
    </row>
    <row r="186" spans="1:2" x14ac:dyDescent="0.25">
      <c r="A186" t="s">
        <v>701</v>
      </c>
      <c r="B186">
        <v>236</v>
      </c>
    </row>
    <row r="187" spans="1:2" x14ac:dyDescent="0.25">
      <c r="A187" t="s">
        <v>705</v>
      </c>
      <c r="B187">
        <v>237</v>
      </c>
    </row>
    <row r="188" spans="1:2" x14ac:dyDescent="0.25">
      <c r="A188" t="s">
        <v>709</v>
      </c>
      <c r="B188">
        <v>238</v>
      </c>
    </row>
    <row r="189" spans="1:2" x14ac:dyDescent="0.25">
      <c r="A189" t="s">
        <v>713</v>
      </c>
      <c r="B189">
        <v>239</v>
      </c>
    </row>
    <row r="190" spans="1:2" x14ac:dyDescent="0.25">
      <c r="A190" t="s">
        <v>717</v>
      </c>
      <c r="B190">
        <v>240</v>
      </c>
    </row>
    <row r="191" spans="1:2" x14ac:dyDescent="0.25">
      <c r="A191" t="s">
        <v>721</v>
      </c>
      <c r="B191">
        <v>241</v>
      </c>
    </row>
    <row r="192" spans="1:2" x14ac:dyDescent="0.25">
      <c r="A192" t="s">
        <v>725</v>
      </c>
      <c r="B192">
        <v>242</v>
      </c>
    </row>
    <row r="193" spans="1:2" x14ac:dyDescent="0.25">
      <c r="A193" t="s">
        <v>729</v>
      </c>
      <c r="B193">
        <v>243</v>
      </c>
    </row>
    <row r="194" spans="1:2" x14ac:dyDescent="0.25">
      <c r="A194" t="s">
        <v>733</v>
      </c>
      <c r="B194">
        <v>244</v>
      </c>
    </row>
    <row r="195" spans="1:2" x14ac:dyDescent="0.25">
      <c r="A195" t="s">
        <v>737</v>
      </c>
      <c r="B195">
        <v>245</v>
      </c>
    </row>
    <row r="196" spans="1:2" x14ac:dyDescent="0.25">
      <c r="A196" t="s">
        <v>741</v>
      </c>
      <c r="B196">
        <v>246</v>
      </c>
    </row>
    <row r="197" spans="1:2" x14ac:dyDescent="0.25">
      <c r="A197" t="s">
        <v>745</v>
      </c>
      <c r="B197">
        <v>247</v>
      </c>
    </row>
    <row r="198" spans="1:2" x14ac:dyDescent="0.25">
      <c r="A198" t="s">
        <v>748</v>
      </c>
      <c r="B198">
        <v>260</v>
      </c>
    </row>
    <row r="199" spans="1:2" x14ac:dyDescent="0.25">
      <c r="A199" t="s">
        <v>751</v>
      </c>
      <c r="B199">
        <v>261</v>
      </c>
    </row>
    <row r="200" spans="1:2" x14ac:dyDescent="0.25">
      <c r="A200" t="s">
        <v>753</v>
      </c>
      <c r="B200">
        <v>263</v>
      </c>
    </row>
    <row r="201" spans="1:2" x14ac:dyDescent="0.25">
      <c r="A201" t="s">
        <v>757</v>
      </c>
      <c r="B201">
        <v>267</v>
      </c>
    </row>
    <row r="202" spans="1:2" x14ac:dyDescent="0.25">
      <c r="A202" t="s">
        <v>760</v>
      </c>
      <c r="B202">
        <v>268</v>
      </c>
    </row>
    <row r="203" spans="1:2" x14ac:dyDescent="0.25">
      <c r="A203" t="s">
        <v>764</v>
      </c>
      <c r="B203">
        <v>269</v>
      </c>
    </row>
    <row r="204" spans="1:2" x14ac:dyDescent="0.25">
      <c r="A204" t="s">
        <v>768</v>
      </c>
      <c r="B204">
        <v>270</v>
      </c>
    </row>
    <row r="205" spans="1:2" x14ac:dyDescent="0.25">
      <c r="A205" t="s">
        <v>771</v>
      </c>
      <c r="B205">
        <v>271</v>
      </c>
    </row>
    <row r="206" spans="1:2" x14ac:dyDescent="0.25">
      <c r="A206" t="s">
        <v>774</v>
      </c>
      <c r="B206">
        <v>272</v>
      </c>
    </row>
    <row r="207" spans="1:2" x14ac:dyDescent="0.25">
      <c r="A207" t="s">
        <v>777</v>
      </c>
      <c r="B207">
        <v>931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05E37-B052-48A1-829F-6BD77BB9FDA8}">
  <sheetPr codeName="Sheet3"/>
  <dimension ref="B2:AU329"/>
  <sheetViews>
    <sheetView zoomScale="70" zoomScaleNormal="70" workbookViewId="0"/>
  </sheetViews>
  <sheetFormatPr defaultRowHeight="16.5" x14ac:dyDescent="0.3"/>
  <cols>
    <col min="1" max="2" width="10.5703125" style="1" customWidth="1"/>
    <col min="3" max="3" width="32" style="1" customWidth="1"/>
    <col min="4" max="4" width="62.85546875" style="1" customWidth="1"/>
    <col min="5" max="6" width="10.5703125" style="1" customWidth="1"/>
    <col min="7" max="7" width="32" style="1" customWidth="1"/>
    <col min="8" max="8" width="62.85546875" style="1" customWidth="1"/>
    <col min="9" max="15" width="10.5703125" style="1" customWidth="1"/>
    <col min="16" max="26" width="11" style="1" customWidth="1"/>
    <col min="27" max="34" width="9.140625" style="1"/>
    <col min="35" max="35" width="10.7109375" style="1" bestFit="1" customWidth="1"/>
    <col min="36" max="41" width="9.140625" style="1"/>
    <col min="42" max="42" width="10.85546875" style="1" customWidth="1"/>
    <col min="43" max="16384" width="9.140625" style="1"/>
  </cols>
  <sheetData>
    <row r="2" spans="2:47" x14ac:dyDescent="0.3">
      <c r="E2" s="2"/>
      <c r="F2" s="2"/>
      <c r="G2" s="2"/>
      <c r="H2" s="2"/>
      <c r="J2" s="1" t="s">
        <v>0</v>
      </c>
      <c r="K2" s="1" t="str">
        <f>D5</f>
        <v>PORTUGUESE</v>
      </c>
      <c r="L2" s="1">
        <f>B5</f>
        <v>2</v>
      </c>
      <c r="M2" s="1">
        <f>VLOOKUP("*"&amp;J2&amp;"*",$K$2:$L$258,2,FALSE)</f>
        <v>33</v>
      </c>
      <c r="N2" s="1">
        <v>33</v>
      </c>
      <c r="P2" s="1" t="str">
        <f>IF(J2="","",J2)</f>
        <v>Argentina</v>
      </c>
      <c r="Q2" s="1" t="str">
        <f>H5</f>
        <v>REPUBLIC OF PORTUGAL</v>
      </c>
      <c r="R2" s="1">
        <f>F5</f>
        <v>2</v>
      </c>
      <c r="S2" s="1" t="e">
        <f>VLOOKUP("*"&amp;P2&amp;"*",$Q$2:$R$208,2,FALSE)</f>
        <v>#N/A</v>
      </c>
      <c r="T2" s="1">
        <v>33</v>
      </c>
      <c r="V2" s="1" t="str">
        <f>IF([1]TIM!F2="","",[1]TIM!F2)</f>
        <v/>
      </c>
      <c r="W2" s="1" t="str">
        <f>IFERROR(VLOOKUP(V2,$J$2:$N$258,5,FALSE),"")</f>
        <v/>
      </c>
      <c r="X2" s="1">
        <f>IFERROR(VLOOKUP(V2,$P$2:$T$208,5,FALSE),"")</f>
        <v>0</v>
      </c>
      <c r="AA2" s="1" t="s">
        <v>1</v>
      </c>
      <c r="AB2" s="1">
        <v>99</v>
      </c>
      <c r="AC2" s="1">
        <v>66</v>
      </c>
      <c r="AD2" s="1" t="s">
        <v>2</v>
      </c>
      <c r="AE2" s="1">
        <v>99</v>
      </c>
      <c r="AF2" s="3" t="s">
        <v>3</v>
      </c>
      <c r="AG2" s="1" t="s">
        <v>4</v>
      </c>
      <c r="AI2" s="1">
        <f>IF([1]TIM!P2=[1]TIM!P2,[1]TIM!P2,"")</f>
        <v>0</v>
      </c>
      <c r="AJ2" s="1" t="str">
        <f>MID(AI2,4,2)</f>
        <v/>
      </c>
      <c r="AK2" s="1" t="str">
        <f>LEFT(AI2,2)</f>
        <v>0</v>
      </c>
      <c r="AL2" s="1" t="str">
        <f>RIGHT(AI2,4)</f>
        <v>0</v>
      </c>
      <c r="AM2" s="1">
        <f>AL2+543</f>
        <v>543</v>
      </c>
      <c r="AN2" s="1" t="str">
        <f>AJ2&amp;"/"&amp;AK2&amp;"/"&amp;AM2</f>
        <v>/0/543</v>
      </c>
      <c r="AP2" s="1">
        <f>IF([1]TIM!O2=[1]TIM!O2,[1]TIM!O2,"")</f>
        <v>0</v>
      </c>
      <c r="AQ2" s="1" t="str">
        <f>MID(AP2,4,2)</f>
        <v/>
      </c>
      <c r="AR2" s="1" t="str">
        <f>LEFT(AP2,2)</f>
        <v>0</v>
      </c>
      <c r="AS2" s="1" t="str">
        <f>RIGHT(AP2,4)</f>
        <v>0</v>
      </c>
      <c r="AT2" s="1">
        <f>AS2+543</f>
        <v>543</v>
      </c>
      <c r="AU2" s="1" t="str">
        <f>AQ2&amp;"/"&amp;AR2&amp;"/"&amp;AT2</f>
        <v>/0/543</v>
      </c>
    </row>
    <row r="3" spans="2:47" x14ac:dyDescent="0.3">
      <c r="B3" s="9" t="s">
        <v>5</v>
      </c>
      <c r="C3" s="9"/>
      <c r="D3" s="9"/>
      <c r="E3" s="2"/>
      <c r="F3" s="9" t="s">
        <v>6</v>
      </c>
      <c r="G3" s="9"/>
      <c r="H3" s="9"/>
      <c r="J3" s="1" t="s">
        <v>7</v>
      </c>
      <c r="K3" s="1" t="str">
        <f t="shared" ref="K3:K66" si="0">D6</f>
        <v>DUTCH</v>
      </c>
      <c r="L3" s="1">
        <f t="shared" ref="L3:L66" si="1">B6</f>
        <v>3</v>
      </c>
      <c r="M3" s="1">
        <f t="shared" ref="M3:M66" si="2">VLOOKUP("*"&amp;J3&amp;"*",$K$2:$L$258,2,FALSE)</f>
        <v>224</v>
      </c>
      <c r="N3" s="1">
        <v>224</v>
      </c>
      <c r="P3" s="1" t="str">
        <f t="shared" ref="P3:P66" si="3">IF(J3="","",J3)</f>
        <v>Armenia</v>
      </c>
      <c r="Q3" s="1" t="str">
        <f>H6</f>
        <v>KINGDOM OF THE NETHERLANDS</v>
      </c>
      <c r="R3" s="1">
        <f t="shared" ref="R3:R66" si="4">F6</f>
        <v>3</v>
      </c>
      <c r="S3" s="1">
        <f t="shared" ref="S3:S66" si="5">VLOOKUP("*"&amp;P3&amp;"*",$Q$2:$R$208,2,FALSE)</f>
        <v>224</v>
      </c>
      <c r="T3" s="1">
        <v>224</v>
      </c>
      <c r="V3" s="1" t="str">
        <f>IF([1]TIM!F3="","",[1]TIM!F3)</f>
        <v/>
      </c>
      <c r="W3" s="1" t="str">
        <f t="shared" ref="W3:W66" si="6">IFERROR(VLOOKUP(V3,$J$2:$N$258,5,FALSE),"")</f>
        <v/>
      </c>
      <c r="X3" s="1">
        <f t="shared" ref="X3:X66" si="7">IFERROR(VLOOKUP(V3,$P$2:$T$208,5,FALSE),"")</f>
        <v>0</v>
      </c>
      <c r="AI3" s="1">
        <f>IF([1]TIM!P3=[1]TIM!P3,[1]TIM!P3,"")</f>
        <v>0</v>
      </c>
      <c r="AJ3" s="1" t="str">
        <f t="shared" ref="AJ3:AJ66" si="8">MID(AI3,4,2)</f>
        <v/>
      </c>
      <c r="AK3" s="1" t="str">
        <f t="shared" ref="AK3:AK66" si="9">LEFT(AI3,2)</f>
        <v>0</v>
      </c>
      <c r="AL3" s="1" t="str">
        <f t="shared" ref="AL3:AL66" si="10">RIGHT(AI3,4)</f>
        <v>0</v>
      </c>
      <c r="AM3" s="1">
        <f t="shared" ref="AM3:AM66" si="11">AL3+543</f>
        <v>543</v>
      </c>
      <c r="AN3" s="1" t="str">
        <f t="shared" ref="AN3:AN66" si="12">AJ3&amp;"/"&amp;AK3&amp;"/"&amp;AM3</f>
        <v>/0/543</v>
      </c>
      <c r="AP3" s="1">
        <f>IF([1]TIM!O3=[1]TIM!O3,[1]TIM!O3,"")</f>
        <v>0</v>
      </c>
      <c r="AQ3" s="1" t="str">
        <f t="shared" ref="AQ3:AQ66" si="13">MID(AP3,4,2)</f>
        <v/>
      </c>
      <c r="AR3" s="1" t="str">
        <f t="shared" ref="AR3:AR66" si="14">LEFT(AP3,2)</f>
        <v>0</v>
      </c>
      <c r="AS3" s="1" t="str">
        <f t="shared" ref="AS3:AS66" si="15">RIGHT(AP3,4)</f>
        <v>0</v>
      </c>
      <c r="AT3" s="1">
        <f t="shared" ref="AT3:AT66" si="16">AS3+543</f>
        <v>543</v>
      </c>
      <c r="AU3" s="1" t="str">
        <f t="shared" ref="AU3:AU66" si="17">AQ3&amp;"/"&amp;AR3&amp;"/"&amp;AT3</f>
        <v>/0/543</v>
      </c>
    </row>
    <row r="4" spans="2:47" x14ac:dyDescent="0.3">
      <c r="B4" s="4" t="s">
        <v>8</v>
      </c>
      <c r="C4" s="4" t="s">
        <v>9</v>
      </c>
      <c r="D4" s="4" t="s">
        <v>10</v>
      </c>
      <c r="E4" s="2"/>
      <c r="F4" s="4" t="s">
        <v>11</v>
      </c>
      <c r="G4" s="4" t="s">
        <v>12</v>
      </c>
      <c r="H4" s="4" t="s">
        <v>13</v>
      </c>
      <c r="J4" s="1" t="s">
        <v>14</v>
      </c>
      <c r="K4" s="1" t="str">
        <f t="shared" si="0"/>
        <v>GERMAN</v>
      </c>
      <c r="L4" s="1">
        <f t="shared" si="1"/>
        <v>4</v>
      </c>
      <c r="M4" s="1">
        <f t="shared" si="2"/>
        <v>79</v>
      </c>
      <c r="N4" s="1">
        <v>79</v>
      </c>
      <c r="P4" s="1" t="str">
        <f t="shared" si="3"/>
        <v>Australia</v>
      </c>
      <c r="Q4" s="1" t="str">
        <f>H7</f>
        <v>FEDERAL REPUBLIC OF GERMANY</v>
      </c>
      <c r="R4" s="1">
        <f t="shared" si="4"/>
        <v>4</v>
      </c>
      <c r="S4" s="1">
        <f t="shared" si="5"/>
        <v>79</v>
      </c>
      <c r="T4" s="1">
        <v>79</v>
      </c>
      <c r="V4" s="1" t="str">
        <f>IF([1]TIM!F4="","",[1]TIM!F4)</f>
        <v/>
      </c>
      <c r="W4" s="1" t="str">
        <f t="shared" si="6"/>
        <v/>
      </c>
      <c r="X4" s="1">
        <f t="shared" si="7"/>
        <v>0</v>
      </c>
      <c r="AI4" s="1">
        <f>IF([1]TIM!P4=[1]TIM!P4,[1]TIM!P4,"")</f>
        <v>0</v>
      </c>
      <c r="AJ4" s="1" t="str">
        <f t="shared" si="8"/>
        <v/>
      </c>
      <c r="AK4" s="1" t="str">
        <f t="shared" si="9"/>
        <v>0</v>
      </c>
      <c r="AL4" s="1" t="str">
        <f t="shared" si="10"/>
        <v>0</v>
      </c>
      <c r="AM4" s="1">
        <f t="shared" si="11"/>
        <v>543</v>
      </c>
      <c r="AN4" s="1" t="str">
        <f t="shared" si="12"/>
        <v>/0/543</v>
      </c>
      <c r="AP4" s="1">
        <f>IF([1]TIM!O4=[1]TIM!O4,[1]TIM!O4,"")</f>
        <v>0</v>
      </c>
      <c r="AQ4" s="1" t="str">
        <f t="shared" si="13"/>
        <v/>
      </c>
      <c r="AR4" s="1" t="str">
        <f t="shared" si="14"/>
        <v>0</v>
      </c>
      <c r="AS4" s="1" t="str">
        <f t="shared" si="15"/>
        <v>0</v>
      </c>
      <c r="AT4" s="1">
        <f t="shared" si="16"/>
        <v>543</v>
      </c>
      <c r="AU4" s="1" t="str">
        <f t="shared" si="17"/>
        <v>/0/543</v>
      </c>
    </row>
    <row r="5" spans="2:47" x14ac:dyDescent="0.3">
      <c r="B5" s="5">
        <v>2</v>
      </c>
      <c r="C5" s="6" t="s">
        <v>15</v>
      </c>
      <c r="D5" s="6" t="s">
        <v>16</v>
      </c>
      <c r="E5" s="2"/>
      <c r="F5" s="5">
        <v>2</v>
      </c>
      <c r="G5" s="7" t="s">
        <v>15</v>
      </c>
      <c r="H5" s="7" t="s">
        <v>17</v>
      </c>
      <c r="J5" s="1" t="s">
        <v>18</v>
      </c>
      <c r="K5" s="1" t="str">
        <f t="shared" si="0"/>
        <v>FRANCE</v>
      </c>
      <c r="L5" s="1">
        <f t="shared" si="1"/>
        <v>5</v>
      </c>
      <c r="M5" s="1">
        <f t="shared" si="2"/>
        <v>11</v>
      </c>
      <c r="N5" s="1">
        <v>11</v>
      </c>
      <c r="P5" s="1" t="str">
        <f t="shared" si="3"/>
        <v>Austria</v>
      </c>
      <c r="Q5" s="1" t="str">
        <f t="shared" ref="Q5:Q66" si="18">H8</f>
        <v>FRENCH REPUBLIC</v>
      </c>
      <c r="R5" s="1">
        <f t="shared" si="4"/>
        <v>5</v>
      </c>
      <c r="S5" s="1">
        <f t="shared" si="5"/>
        <v>11</v>
      </c>
      <c r="T5" s="1">
        <v>11</v>
      </c>
      <c r="V5" s="1" t="str">
        <f>IF([1]TIM!F5="","",[1]TIM!F5)</f>
        <v/>
      </c>
      <c r="W5" s="1" t="str">
        <f t="shared" si="6"/>
        <v/>
      </c>
      <c r="X5" s="1">
        <f t="shared" si="7"/>
        <v>0</v>
      </c>
      <c r="AI5" s="1">
        <f>IF([1]TIM!P5=[1]TIM!P5,[1]TIM!P5,"")</f>
        <v>0</v>
      </c>
      <c r="AJ5" s="1" t="str">
        <f t="shared" si="8"/>
        <v/>
      </c>
      <c r="AK5" s="1" t="str">
        <f t="shared" si="9"/>
        <v>0</v>
      </c>
      <c r="AL5" s="1" t="str">
        <f t="shared" si="10"/>
        <v>0</v>
      </c>
      <c r="AM5" s="1">
        <f t="shared" si="11"/>
        <v>543</v>
      </c>
      <c r="AN5" s="1" t="str">
        <f t="shared" si="12"/>
        <v>/0/543</v>
      </c>
      <c r="AP5" s="1">
        <f>IF([1]TIM!O5=[1]TIM!O5,[1]TIM!O5,"")</f>
        <v>0</v>
      </c>
      <c r="AQ5" s="1" t="str">
        <f t="shared" si="13"/>
        <v/>
      </c>
      <c r="AR5" s="1" t="str">
        <f t="shared" si="14"/>
        <v>0</v>
      </c>
      <c r="AS5" s="1" t="str">
        <f t="shared" si="15"/>
        <v>0</v>
      </c>
      <c r="AT5" s="1">
        <f t="shared" si="16"/>
        <v>543</v>
      </c>
      <c r="AU5" s="1" t="str">
        <f t="shared" si="17"/>
        <v>/0/543</v>
      </c>
    </row>
    <row r="6" spans="2:47" x14ac:dyDescent="0.3">
      <c r="B6" s="5">
        <v>3</v>
      </c>
      <c r="C6" s="6" t="s">
        <v>19</v>
      </c>
      <c r="D6" s="6" t="s">
        <v>20</v>
      </c>
      <c r="E6" s="2"/>
      <c r="F6" s="5">
        <v>3</v>
      </c>
      <c r="G6" s="7" t="s">
        <v>21</v>
      </c>
      <c r="H6" s="7" t="s">
        <v>22</v>
      </c>
      <c r="J6" s="1" t="s">
        <v>23</v>
      </c>
      <c r="K6" s="1" t="str">
        <f t="shared" si="0"/>
        <v>DANNISH</v>
      </c>
      <c r="L6" s="1">
        <f t="shared" si="1"/>
        <v>6</v>
      </c>
      <c r="M6" s="1">
        <f t="shared" si="2"/>
        <v>225</v>
      </c>
      <c r="N6" s="1">
        <v>225</v>
      </c>
      <c r="P6" s="1" t="str">
        <f t="shared" si="3"/>
        <v>Azerbaijan</v>
      </c>
      <c r="Q6" s="1" t="str">
        <f t="shared" si="18"/>
        <v>KINGDOM OF DENMARK</v>
      </c>
      <c r="R6" s="1">
        <f t="shared" si="4"/>
        <v>6</v>
      </c>
      <c r="S6" s="1">
        <f t="shared" si="5"/>
        <v>225</v>
      </c>
      <c r="T6" s="1">
        <v>225</v>
      </c>
      <c r="V6" s="1" t="str">
        <f>IF([1]TIM!F6="","",[1]TIM!F6)</f>
        <v/>
      </c>
      <c r="W6" s="1" t="str">
        <f t="shared" si="6"/>
        <v/>
      </c>
      <c r="X6" s="1">
        <f t="shared" si="7"/>
        <v>0</v>
      </c>
      <c r="AA6" s="1" t="s">
        <v>24</v>
      </c>
      <c r="AB6" s="1" t="s">
        <v>25</v>
      </c>
      <c r="AI6" s="1">
        <f>IF([1]TIM!P6=[1]TIM!P6,[1]TIM!P6,"")</f>
        <v>0</v>
      </c>
      <c r="AJ6" s="1" t="str">
        <f t="shared" si="8"/>
        <v/>
      </c>
      <c r="AK6" s="1" t="str">
        <f t="shared" si="9"/>
        <v>0</v>
      </c>
      <c r="AL6" s="1" t="str">
        <f t="shared" si="10"/>
        <v>0</v>
      </c>
      <c r="AM6" s="1">
        <f t="shared" si="11"/>
        <v>543</v>
      </c>
      <c r="AN6" s="1" t="str">
        <f t="shared" si="12"/>
        <v>/0/543</v>
      </c>
      <c r="AP6" s="1">
        <f>IF([1]TIM!O6=[1]TIM!O6,[1]TIM!O6,"")</f>
        <v>0</v>
      </c>
      <c r="AQ6" s="1" t="str">
        <f t="shared" si="13"/>
        <v/>
      </c>
      <c r="AR6" s="1" t="str">
        <f t="shared" si="14"/>
        <v>0</v>
      </c>
      <c r="AS6" s="1" t="str">
        <f t="shared" si="15"/>
        <v>0</v>
      </c>
      <c r="AT6" s="1">
        <f t="shared" si="16"/>
        <v>543</v>
      </c>
      <c r="AU6" s="1" t="str">
        <f t="shared" si="17"/>
        <v>/0/543</v>
      </c>
    </row>
    <row r="7" spans="2:47" x14ac:dyDescent="0.3">
      <c r="B7" s="5">
        <v>4</v>
      </c>
      <c r="C7" s="6" t="s">
        <v>26</v>
      </c>
      <c r="D7" s="6" t="s">
        <v>27</v>
      </c>
      <c r="E7" s="2"/>
      <c r="F7" s="5">
        <v>4</v>
      </c>
      <c r="G7" s="7" t="s">
        <v>28</v>
      </c>
      <c r="H7" s="7" t="s">
        <v>29</v>
      </c>
      <c r="J7" s="1" t="s">
        <v>30</v>
      </c>
      <c r="K7" s="1" t="str">
        <f t="shared" si="0"/>
        <v>SWEDEN</v>
      </c>
      <c r="L7" s="1">
        <f t="shared" si="1"/>
        <v>7</v>
      </c>
      <c r="M7" s="1">
        <f t="shared" si="2"/>
        <v>233</v>
      </c>
      <c r="N7" s="1">
        <v>233</v>
      </c>
      <c r="P7" s="1" t="str">
        <f t="shared" si="3"/>
        <v>Belarus</v>
      </c>
      <c r="Q7" s="1" t="str">
        <f t="shared" si="18"/>
        <v>KINGDOM OF SWEDEN</v>
      </c>
      <c r="R7" s="1">
        <f t="shared" si="4"/>
        <v>7</v>
      </c>
      <c r="S7" s="1">
        <f t="shared" si="5"/>
        <v>233</v>
      </c>
      <c r="T7" s="1">
        <v>233</v>
      </c>
      <c r="V7" s="1" t="str">
        <f>IF([1]TIM!F7="","",[1]TIM!F7)</f>
        <v/>
      </c>
      <c r="W7" s="1" t="str">
        <f t="shared" si="6"/>
        <v/>
      </c>
      <c r="X7" s="1">
        <f t="shared" si="7"/>
        <v>0</v>
      </c>
      <c r="AA7" s="1" t="s">
        <v>31</v>
      </c>
      <c r="AB7" s="1" t="s">
        <v>32</v>
      </c>
      <c r="AI7" s="1">
        <f>IF([1]TIM!P7=[1]TIM!P7,[1]TIM!P7,"")</f>
        <v>0</v>
      </c>
      <c r="AJ7" s="1" t="str">
        <f t="shared" si="8"/>
        <v/>
      </c>
      <c r="AK7" s="1" t="str">
        <f t="shared" si="9"/>
        <v>0</v>
      </c>
      <c r="AL7" s="1" t="str">
        <f t="shared" si="10"/>
        <v>0</v>
      </c>
      <c r="AM7" s="1">
        <f t="shared" si="11"/>
        <v>543</v>
      </c>
      <c r="AN7" s="1" t="str">
        <f t="shared" si="12"/>
        <v>/0/543</v>
      </c>
      <c r="AP7" s="1">
        <f>IF([1]TIM!O7=[1]TIM!O7,[1]TIM!O7,"")</f>
        <v>0</v>
      </c>
      <c r="AQ7" s="1" t="str">
        <f t="shared" si="13"/>
        <v/>
      </c>
      <c r="AR7" s="1" t="str">
        <f t="shared" si="14"/>
        <v>0</v>
      </c>
      <c r="AS7" s="1" t="str">
        <f t="shared" si="15"/>
        <v>0</v>
      </c>
      <c r="AT7" s="1">
        <f t="shared" si="16"/>
        <v>543</v>
      </c>
      <c r="AU7" s="1" t="str">
        <f t="shared" si="17"/>
        <v>/0/543</v>
      </c>
    </row>
    <row r="8" spans="2:47" x14ac:dyDescent="0.3">
      <c r="B8" s="5">
        <v>5</v>
      </c>
      <c r="C8" s="6" t="s">
        <v>33</v>
      </c>
      <c r="D8" s="6" t="s">
        <v>34</v>
      </c>
      <c r="E8" s="2"/>
      <c r="F8" s="5">
        <v>5</v>
      </c>
      <c r="G8" s="7" t="s">
        <v>33</v>
      </c>
      <c r="H8" s="7" t="s">
        <v>35</v>
      </c>
      <c r="J8" s="1" t="s">
        <v>36</v>
      </c>
      <c r="K8" s="1" t="str">
        <f t="shared" si="0"/>
        <v>Swiss</v>
      </c>
      <c r="L8" s="1">
        <f t="shared" si="1"/>
        <v>8</v>
      </c>
      <c r="M8" s="1" t="e">
        <f t="shared" si="2"/>
        <v>#N/A</v>
      </c>
      <c r="N8" s="1">
        <v>14</v>
      </c>
      <c r="P8" s="1" t="str">
        <f t="shared" si="3"/>
        <v>Belgium</v>
      </c>
      <c r="Q8" s="1" t="str">
        <f>H11</f>
        <v>Swiss Confederation</v>
      </c>
      <c r="R8" s="1">
        <f t="shared" si="4"/>
        <v>8</v>
      </c>
      <c r="S8" s="1">
        <f t="shared" si="5"/>
        <v>14</v>
      </c>
      <c r="T8" s="1">
        <v>14</v>
      </c>
      <c r="V8" s="1" t="str">
        <f>IF([1]TIM!F8="","",[1]TIM!F8)</f>
        <v/>
      </c>
      <c r="W8" s="1" t="str">
        <f t="shared" si="6"/>
        <v/>
      </c>
      <c r="X8" s="1">
        <f t="shared" si="7"/>
        <v>0</v>
      </c>
      <c r="AI8" s="1">
        <f>IF([1]TIM!P8=[1]TIM!P8,[1]TIM!P8,"")</f>
        <v>0</v>
      </c>
      <c r="AJ8" s="1" t="str">
        <f t="shared" si="8"/>
        <v/>
      </c>
      <c r="AK8" s="1" t="str">
        <f t="shared" si="9"/>
        <v>0</v>
      </c>
      <c r="AL8" s="1" t="str">
        <f t="shared" si="10"/>
        <v>0</v>
      </c>
      <c r="AM8" s="1">
        <f t="shared" si="11"/>
        <v>543</v>
      </c>
      <c r="AN8" s="1" t="str">
        <f t="shared" si="12"/>
        <v>/0/543</v>
      </c>
      <c r="AP8" s="1">
        <f>IF([1]TIM!O8=[1]TIM!O8,[1]TIM!O8,"")</f>
        <v>0</v>
      </c>
      <c r="AQ8" s="1" t="str">
        <f t="shared" si="13"/>
        <v/>
      </c>
      <c r="AR8" s="1" t="str">
        <f t="shared" si="14"/>
        <v>0</v>
      </c>
      <c r="AS8" s="1" t="str">
        <f t="shared" si="15"/>
        <v>0</v>
      </c>
      <c r="AT8" s="1">
        <f t="shared" si="16"/>
        <v>543</v>
      </c>
      <c r="AU8" s="1" t="str">
        <f t="shared" si="17"/>
        <v>/0/543</v>
      </c>
    </row>
    <row r="9" spans="2:47" x14ac:dyDescent="0.3">
      <c r="B9" s="5">
        <v>6</v>
      </c>
      <c r="C9" s="6" t="s">
        <v>37</v>
      </c>
      <c r="D9" s="6" t="s">
        <v>38</v>
      </c>
      <c r="E9" s="2"/>
      <c r="F9" s="5">
        <v>6</v>
      </c>
      <c r="G9" s="7" t="s">
        <v>37</v>
      </c>
      <c r="H9" s="7" t="s">
        <v>39</v>
      </c>
      <c r="J9" s="1" t="s">
        <v>40</v>
      </c>
      <c r="K9" s="1" t="str">
        <f t="shared" si="0"/>
        <v>ITALIAN</v>
      </c>
      <c r="L9" s="1">
        <f t="shared" si="1"/>
        <v>9</v>
      </c>
      <c r="M9" s="1">
        <f t="shared" si="2"/>
        <v>34</v>
      </c>
      <c r="N9" s="1">
        <v>34</v>
      </c>
      <c r="P9" s="1" t="str">
        <f t="shared" si="3"/>
        <v>Brazil</v>
      </c>
      <c r="Q9" s="1" t="str">
        <f>H12</f>
        <v>THE ITALIAN REPUBLIC</v>
      </c>
      <c r="R9" s="1">
        <f t="shared" si="4"/>
        <v>9</v>
      </c>
      <c r="S9" s="1">
        <f t="shared" si="5"/>
        <v>34</v>
      </c>
      <c r="T9" s="1">
        <v>34</v>
      </c>
      <c r="V9" s="1" t="str">
        <f>IF([1]TIM!F9="","",[1]TIM!F9)</f>
        <v/>
      </c>
      <c r="W9" s="1" t="str">
        <f t="shared" si="6"/>
        <v/>
      </c>
      <c r="X9" s="1">
        <f t="shared" si="7"/>
        <v>0</v>
      </c>
      <c r="AI9" s="1">
        <f>IF([1]TIM!P9=[1]TIM!P9,[1]TIM!P9,"")</f>
        <v>0</v>
      </c>
      <c r="AJ9" s="1" t="str">
        <f t="shared" si="8"/>
        <v/>
      </c>
      <c r="AK9" s="1" t="str">
        <f t="shared" si="9"/>
        <v>0</v>
      </c>
      <c r="AL9" s="1" t="str">
        <f t="shared" si="10"/>
        <v>0</v>
      </c>
      <c r="AM9" s="1">
        <f t="shared" si="11"/>
        <v>543</v>
      </c>
      <c r="AN9" s="1" t="str">
        <f t="shared" si="12"/>
        <v>/0/543</v>
      </c>
      <c r="AP9" s="1">
        <f>IF([1]TIM!O9=[1]TIM!O9,[1]TIM!O9,"")</f>
        <v>0</v>
      </c>
      <c r="AQ9" s="1" t="str">
        <f t="shared" si="13"/>
        <v/>
      </c>
      <c r="AR9" s="1" t="str">
        <f t="shared" si="14"/>
        <v>0</v>
      </c>
      <c r="AS9" s="1" t="str">
        <f t="shared" si="15"/>
        <v>0</v>
      </c>
      <c r="AT9" s="1">
        <f t="shared" si="16"/>
        <v>543</v>
      </c>
      <c r="AU9" s="1" t="str">
        <f t="shared" si="17"/>
        <v>/0/543</v>
      </c>
    </row>
    <row r="10" spans="2:47" x14ac:dyDescent="0.3">
      <c r="B10" s="5">
        <v>7</v>
      </c>
      <c r="C10" s="6" t="s">
        <v>41</v>
      </c>
      <c r="D10" s="6" t="s">
        <v>42</v>
      </c>
      <c r="E10" s="2"/>
      <c r="F10" s="5">
        <v>7</v>
      </c>
      <c r="G10" s="7" t="s">
        <v>41</v>
      </c>
      <c r="H10" s="7" t="s">
        <v>43</v>
      </c>
      <c r="J10" s="1" t="s">
        <v>44</v>
      </c>
      <c r="K10" s="1" t="str">
        <f t="shared" si="0"/>
        <v>NORWAY</v>
      </c>
      <c r="L10" s="1">
        <f t="shared" si="1"/>
        <v>10</v>
      </c>
      <c r="M10" s="1">
        <f t="shared" si="2"/>
        <v>26</v>
      </c>
      <c r="N10" s="1">
        <v>26</v>
      </c>
      <c r="P10" s="1" t="str">
        <f t="shared" si="3"/>
        <v>Bulgaria</v>
      </c>
      <c r="Q10" s="1" t="str">
        <f>H13</f>
        <v>KINGDOM OF NORWAY</v>
      </c>
      <c r="R10" s="1">
        <f t="shared" si="4"/>
        <v>10</v>
      </c>
      <c r="S10" s="1">
        <f t="shared" si="5"/>
        <v>26</v>
      </c>
      <c r="T10" s="1">
        <v>26</v>
      </c>
      <c r="V10" s="1" t="str">
        <f>IF([1]TIM!F10="","",[1]TIM!F10)</f>
        <v/>
      </c>
      <c r="W10" s="1" t="str">
        <f t="shared" si="6"/>
        <v/>
      </c>
      <c r="X10" s="1">
        <f t="shared" si="7"/>
        <v>0</v>
      </c>
      <c r="AI10" s="1">
        <f>IF([1]TIM!P10=[1]TIM!P10,[1]TIM!P10,"")</f>
        <v>0</v>
      </c>
      <c r="AJ10" s="1" t="str">
        <f t="shared" si="8"/>
        <v/>
      </c>
      <c r="AK10" s="1" t="str">
        <f t="shared" si="9"/>
        <v>0</v>
      </c>
      <c r="AL10" s="1" t="str">
        <f t="shared" si="10"/>
        <v>0</v>
      </c>
      <c r="AM10" s="1">
        <f t="shared" si="11"/>
        <v>543</v>
      </c>
      <c r="AN10" s="1" t="str">
        <f t="shared" si="12"/>
        <v>/0/543</v>
      </c>
      <c r="AP10" s="1">
        <f>IF([1]TIM!O10=[1]TIM!O10,[1]TIM!O10,"")</f>
        <v>0</v>
      </c>
      <c r="AQ10" s="1" t="str">
        <f t="shared" si="13"/>
        <v/>
      </c>
      <c r="AR10" s="1" t="str">
        <f t="shared" si="14"/>
        <v>0</v>
      </c>
      <c r="AS10" s="1" t="str">
        <f t="shared" si="15"/>
        <v>0</v>
      </c>
      <c r="AT10" s="1">
        <f t="shared" si="16"/>
        <v>543</v>
      </c>
      <c r="AU10" s="1" t="str">
        <f t="shared" si="17"/>
        <v>/0/543</v>
      </c>
    </row>
    <row r="11" spans="2:47" x14ac:dyDescent="0.3">
      <c r="B11" s="5">
        <v>8</v>
      </c>
      <c r="C11" s="6" t="s">
        <v>45</v>
      </c>
      <c r="D11" s="6" t="s">
        <v>46</v>
      </c>
      <c r="E11" s="2"/>
      <c r="F11" s="5">
        <v>8</v>
      </c>
      <c r="G11" s="7" t="s">
        <v>47</v>
      </c>
      <c r="H11" s="7" t="s">
        <v>48</v>
      </c>
      <c r="J11" s="1" t="s">
        <v>49</v>
      </c>
      <c r="K11" s="1" t="str">
        <f t="shared" si="0"/>
        <v>AUSTRIA</v>
      </c>
      <c r="L11" s="1">
        <f t="shared" si="1"/>
        <v>11</v>
      </c>
      <c r="M11" s="1" t="e">
        <f t="shared" si="2"/>
        <v>#N/A</v>
      </c>
      <c r="N11" s="1">
        <v>30</v>
      </c>
      <c r="P11" s="1" t="str">
        <f t="shared" si="3"/>
        <v>Canada</v>
      </c>
      <c r="Q11" s="1" t="str">
        <f t="shared" si="18"/>
        <v>REPUBLIC OF AUSTRIA</v>
      </c>
      <c r="R11" s="1">
        <f t="shared" si="4"/>
        <v>11</v>
      </c>
      <c r="S11" s="1">
        <f t="shared" si="5"/>
        <v>30</v>
      </c>
      <c r="T11" s="1">
        <v>30</v>
      </c>
      <c r="V11" s="1" t="str">
        <f>IF([1]TIM!F11="","",[1]TIM!F11)</f>
        <v/>
      </c>
      <c r="W11" s="1" t="str">
        <f t="shared" si="6"/>
        <v/>
      </c>
      <c r="X11" s="1">
        <f t="shared" si="7"/>
        <v>0</v>
      </c>
      <c r="AI11" s="1">
        <f>IF([1]TIM!P11=[1]TIM!P11,[1]TIM!P11,"")</f>
        <v>0</v>
      </c>
      <c r="AJ11" s="1" t="str">
        <f t="shared" si="8"/>
        <v/>
      </c>
      <c r="AK11" s="1" t="str">
        <f t="shared" si="9"/>
        <v>0</v>
      </c>
      <c r="AL11" s="1" t="str">
        <f t="shared" si="10"/>
        <v>0</v>
      </c>
      <c r="AM11" s="1">
        <f t="shared" si="11"/>
        <v>543</v>
      </c>
      <c r="AN11" s="1" t="str">
        <f t="shared" si="12"/>
        <v>/0/543</v>
      </c>
      <c r="AP11" s="1">
        <f>IF([1]TIM!O11=[1]TIM!O11,[1]TIM!O11,"")</f>
        <v>0</v>
      </c>
      <c r="AQ11" s="1" t="str">
        <f t="shared" si="13"/>
        <v/>
      </c>
      <c r="AR11" s="1" t="str">
        <f t="shared" si="14"/>
        <v>0</v>
      </c>
      <c r="AS11" s="1" t="str">
        <f t="shared" si="15"/>
        <v>0</v>
      </c>
      <c r="AT11" s="1">
        <f t="shared" si="16"/>
        <v>543</v>
      </c>
      <c r="AU11" s="1" t="str">
        <f t="shared" si="17"/>
        <v>/0/543</v>
      </c>
    </row>
    <row r="12" spans="2:47" x14ac:dyDescent="0.3">
      <c r="B12" s="5">
        <v>9</v>
      </c>
      <c r="C12" s="6" t="s">
        <v>50</v>
      </c>
      <c r="D12" s="6" t="s">
        <v>51</v>
      </c>
      <c r="E12" s="2"/>
      <c r="F12" s="5">
        <v>9</v>
      </c>
      <c r="G12" s="7" t="s">
        <v>50</v>
      </c>
      <c r="H12" s="7" t="s">
        <v>52</v>
      </c>
      <c r="J12" s="1" t="s">
        <v>53</v>
      </c>
      <c r="K12" s="1" t="str">
        <f t="shared" si="0"/>
        <v>IRISH</v>
      </c>
      <c r="L12" s="1">
        <f t="shared" si="1"/>
        <v>12</v>
      </c>
      <c r="M12" s="1">
        <f t="shared" si="2"/>
        <v>220</v>
      </c>
      <c r="N12" s="1">
        <v>220</v>
      </c>
      <c r="P12" s="1" t="str">
        <f t="shared" si="3"/>
        <v>China</v>
      </c>
      <c r="Q12" s="1" t="str">
        <f t="shared" si="18"/>
        <v>IRELAND</v>
      </c>
      <c r="R12" s="1">
        <f t="shared" si="4"/>
        <v>12</v>
      </c>
      <c r="S12" s="1">
        <f t="shared" si="5"/>
        <v>44</v>
      </c>
      <c r="T12" s="1">
        <v>44</v>
      </c>
      <c r="V12" s="1" t="str">
        <f>IF([1]TIM!F12="","",[1]TIM!F12)</f>
        <v/>
      </c>
      <c r="W12" s="1" t="str">
        <f t="shared" si="6"/>
        <v/>
      </c>
      <c r="X12" s="1">
        <f t="shared" si="7"/>
        <v>0</v>
      </c>
      <c r="AI12" s="1">
        <f>IF([1]TIM!P12=[1]TIM!P12,[1]TIM!P12,"")</f>
        <v>0</v>
      </c>
      <c r="AJ12" s="1" t="str">
        <f t="shared" si="8"/>
        <v/>
      </c>
      <c r="AK12" s="1" t="str">
        <f t="shared" si="9"/>
        <v>0</v>
      </c>
      <c r="AL12" s="1" t="str">
        <f t="shared" si="10"/>
        <v>0</v>
      </c>
      <c r="AM12" s="1">
        <f t="shared" si="11"/>
        <v>543</v>
      </c>
      <c r="AN12" s="1" t="str">
        <f t="shared" si="12"/>
        <v>/0/543</v>
      </c>
      <c r="AP12" s="1">
        <f>IF([1]TIM!O12=[1]TIM!O12,[1]TIM!O12,"")</f>
        <v>0</v>
      </c>
      <c r="AQ12" s="1" t="str">
        <f t="shared" si="13"/>
        <v/>
      </c>
      <c r="AR12" s="1" t="str">
        <f t="shared" si="14"/>
        <v>0</v>
      </c>
      <c r="AS12" s="1" t="str">
        <f t="shared" si="15"/>
        <v>0</v>
      </c>
      <c r="AT12" s="1">
        <f t="shared" si="16"/>
        <v>543</v>
      </c>
      <c r="AU12" s="1" t="str">
        <f t="shared" si="17"/>
        <v>/0/543</v>
      </c>
    </row>
    <row r="13" spans="2:47" x14ac:dyDescent="0.3">
      <c r="B13" s="5">
        <v>10</v>
      </c>
      <c r="C13" s="6" t="s">
        <v>54</v>
      </c>
      <c r="D13" s="6" t="s">
        <v>55</v>
      </c>
      <c r="E13" s="2"/>
      <c r="F13" s="5">
        <v>10</v>
      </c>
      <c r="G13" s="7" t="s">
        <v>54</v>
      </c>
      <c r="H13" s="7" t="s">
        <v>56</v>
      </c>
      <c r="J13" s="1" t="s">
        <v>57</v>
      </c>
      <c r="K13" s="1" t="str">
        <f t="shared" si="0"/>
        <v>FINLAND</v>
      </c>
      <c r="L13" s="1">
        <f t="shared" si="1"/>
        <v>13</v>
      </c>
      <c r="M13" s="1">
        <f t="shared" si="2"/>
        <v>28</v>
      </c>
      <c r="N13" s="1">
        <v>28</v>
      </c>
      <c r="P13" s="1" t="str">
        <f t="shared" si="3"/>
        <v>Cyprus</v>
      </c>
      <c r="Q13" s="1" t="str">
        <f t="shared" si="18"/>
        <v>REPUBLIC OF FINLAND</v>
      </c>
      <c r="R13" s="1">
        <f t="shared" si="4"/>
        <v>13</v>
      </c>
      <c r="S13" s="1">
        <f t="shared" si="5"/>
        <v>28</v>
      </c>
      <c r="T13" s="1">
        <v>28</v>
      </c>
      <c r="V13" s="1" t="str">
        <f>IF([1]TIM!F13="","",[1]TIM!F13)</f>
        <v/>
      </c>
      <c r="W13" s="1" t="str">
        <f t="shared" si="6"/>
        <v/>
      </c>
      <c r="X13" s="1">
        <f t="shared" si="7"/>
        <v>0</v>
      </c>
      <c r="AI13" s="1">
        <f>IF([1]TIM!P13=[1]TIM!P13,[1]TIM!P13,"")</f>
        <v>0</v>
      </c>
      <c r="AJ13" s="1" t="str">
        <f t="shared" si="8"/>
        <v/>
      </c>
      <c r="AK13" s="1" t="str">
        <f t="shared" si="9"/>
        <v>0</v>
      </c>
      <c r="AL13" s="1" t="str">
        <f t="shared" si="10"/>
        <v>0</v>
      </c>
      <c r="AM13" s="1">
        <f t="shared" si="11"/>
        <v>543</v>
      </c>
      <c r="AN13" s="1" t="str">
        <f t="shared" si="12"/>
        <v>/0/543</v>
      </c>
      <c r="AP13" s="1">
        <f>IF([1]TIM!O13=[1]TIM!O13,[1]TIM!O13,"")</f>
        <v>0</v>
      </c>
      <c r="AQ13" s="1" t="str">
        <f t="shared" si="13"/>
        <v/>
      </c>
      <c r="AR13" s="1" t="str">
        <f t="shared" si="14"/>
        <v>0</v>
      </c>
      <c r="AS13" s="1" t="str">
        <f t="shared" si="15"/>
        <v>0</v>
      </c>
      <c r="AT13" s="1">
        <f t="shared" si="16"/>
        <v>543</v>
      </c>
      <c r="AU13" s="1" t="str">
        <f t="shared" si="17"/>
        <v>/0/543</v>
      </c>
    </row>
    <row r="14" spans="2:47" x14ac:dyDescent="0.3">
      <c r="B14" s="5">
        <v>11</v>
      </c>
      <c r="C14" s="6" t="s">
        <v>58</v>
      </c>
      <c r="D14" s="6" t="s">
        <v>59</v>
      </c>
      <c r="E14" s="2"/>
      <c r="F14" s="5">
        <v>11</v>
      </c>
      <c r="G14" s="7" t="s">
        <v>58</v>
      </c>
      <c r="H14" s="7" t="s">
        <v>60</v>
      </c>
      <c r="J14" s="1" t="s">
        <v>61</v>
      </c>
      <c r="K14" s="1" t="str">
        <f t="shared" si="0"/>
        <v>BELGIAN</v>
      </c>
      <c r="L14" s="1">
        <f t="shared" si="1"/>
        <v>14</v>
      </c>
      <c r="M14" s="1" t="e">
        <f t="shared" si="2"/>
        <v>#N/A</v>
      </c>
      <c r="N14" s="1">
        <v>18</v>
      </c>
      <c r="P14" s="1" t="str">
        <f t="shared" si="3"/>
        <v>Czechia</v>
      </c>
      <c r="Q14" s="1" t="str">
        <f t="shared" si="18"/>
        <v>KINGDOM OF BELGIUM</v>
      </c>
      <c r="R14" s="1">
        <f t="shared" si="4"/>
        <v>14</v>
      </c>
      <c r="S14" s="1" t="e">
        <f t="shared" si="5"/>
        <v>#N/A</v>
      </c>
      <c r="T14" s="1">
        <v>18</v>
      </c>
      <c r="V14" s="1" t="str">
        <f>IF([1]TIM!F14="","",[1]TIM!F14)</f>
        <v/>
      </c>
      <c r="W14" s="1" t="str">
        <f t="shared" si="6"/>
        <v/>
      </c>
      <c r="X14" s="1">
        <f t="shared" si="7"/>
        <v>0</v>
      </c>
      <c r="AI14" s="1">
        <f>IF([1]TIM!P14=[1]TIM!P14,[1]TIM!P14,"")</f>
        <v>0</v>
      </c>
      <c r="AJ14" s="1" t="str">
        <f t="shared" si="8"/>
        <v/>
      </c>
      <c r="AK14" s="1" t="str">
        <f t="shared" si="9"/>
        <v>0</v>
      </c>
      <c r="AL14" s="1" t="str">
        <f t="shared" si="10"/>
        <v>0</v>
      </c>
      <c r="AM14" s="1">
        <f t="shared" si="11"/>
        <v>543</v>
      </c>
      <c r="AN14" s="1" t="str">
        <f t="shared" si="12"/>
        <v>/0/543</v>
      </c>
      <c r="AP14" s="1">
        <f>IF([1]TIM!O14=[1]TIM!O14,[1]TIM!O14,"")</f>
        <v>0</v>
      </c>
      <c r="AQ14" s="1" t="str">
        <f t="shared" si="13"/>
        <v/>
      </c>
      <c r="AR14" s="1" t="str">
        <f t="shared" si="14"/>
        <v>0</v>
      </c>
      <c r="AS14" s="1" t="str">
        <f t="shared" si="15"/>
        <v>0</v>
      </c>
      <c r="AT14" s="1">
        <f t="shared" si="16"/>
        <v>543</v>
      </c>
      <c r="AU14" s="1" t="str">
        <f t="shared" si="17"/>
        <v>/0/543</v>
      </c>
    </row>
    <row r="15" spans="2:47" x14ac:dyDescent="0.3">
      <c r="B15" s="5">
        <v>12</v>
      </c>
      <c r="C15" s="6" t="s">
        <v>62</v>
      </c>
      <c r="D15" s="6" t="s">
        <v>63</v>
      </c>
      <c r="E15" s="2"/>
      <c r="F15" s="5">
        <v>12</v>
      </c>
      <c r="G15" s="7" t="s">
        <v>64</v>
      </c>
      <c r="H15" s="7" t="s">
        <v>65</v>
      </c>
      <c r="J15" s="1" t="s">
        <v>66</v>
      </c>
      <c r="K15" s="1" t="str">
        <f t="shared" si="0"/>
        <v>SPAIN</v>
      </c>
      <c r="L15" s="1">
        <f t="shared" si="1"/>
        <v>15</v>
      </c>
      <c r="M15" s="1" t="e">
        <f t="shared" si="2"/>
        <v>#N/A</v>
      </c>
      <c r="N15" s="1">
        <v>6</v>
      </c>
      <c r="P15" s="1" t="str">
        <f t="shared" si="3"/>
        <v>Denmark</v>
      </c>
      <c r="Q15" s="1" t="str">
        <f t="shared" si="18"/>
        <v>KINGDOM OF SPAIN</v>
      </c>
      <c r="R15" s="1">
        <f t="shared" si="4"/>
        <v>15</v>
      </c>
      <c r="S15" s="1">
        <f t="shared" si="5"/>
        <v>6</v>
      </c>
      <c r="T15" s="1">
        <v>6</v>
      </c>
      <c r="V15" s="1" t="str">
        <f>IF([1]TIM!F15="","",[1]TIM!F15)</f>
        <v/>
      </c>
      <c r="W15" s="1" t="str">
        <f t="shared" si="6"/>
        <v/>
      </c>
      <c r="X15" s="1">
        <f t="shared" si="7"/>
        <v>0</v>
      </c>
      <c r="AI15" s="1">
        <f>IF([1]TIM!P15=[1]TIM!P15,[1]TIM!P15,"")</f>
        <v>0</v>
      </c>
      <c r="AJ15" s="1" t="str">
        <f t="shared" si="8"/>
        <v/>
      </c>
      <c r="AK15" s="1" t="str">
        <f t="shared" si="9"/>
        <v>0</v>
      </c>
      <c r="AL15" s="1" t="str">
        <f t="shared" si="10"/>
        <v>0</v>
      </c>
      <c r="AM15" s="1">
        <f t="shared" si="11"/>
        <v>543</v>
      </c>
      <c r="AN15" s="1" t="str">
        <f t="shared" si="12"/>
        <v>/0/543</v>
      </c>
      <c r="AP15" s="1">
        <f>IF([1]TIM!O15=[1]TIM!O15,[1]TIM!O15,"")</f>
        <v>0</v>
      </c>
      <c r="AQ15" s="1" t="str">
        <f t="shared" si="13"/>
        <v/>
      </c>
      <c r="AR15" s="1" t="str">
        <f t="shared" si="14"/>
        <v>0</v>
      </c>
      <c r="AS15" s="1" t="str">
        <f t="shared" si="15"/>
        <v>0</v>
      </c>
      <c r="AT15" s="1">
        <f t="shared" si="16"/>
        <v>543</v>
      </c>
      <c r="AU15" s="1" t="str">
        <f t="shared" si="17"/>
        <v>/0/543</v>
      </c>
    </row>
    <row r="16" spans="2:47" x14ac:dyDescent="0.3">
      <c r="B16" s="5">
        <v>13</v>
      </c>
      <c r="C16" s="6" t="s">
        <v>67</v>
      </c>
      <c r="D16" s="6" t="s">
        <v>68</v>
      </c>
      <c r="E16" s="2"/>
      <c r="F16" s="5">
        <v>13</v>
      </c>
      <c r="G16" s="7" t="s">
        <v>67</v>
      </c>
      <c r="H16" s="7" t="s">
        <v>69</v>
      </c>
      <c r="J16" s="1" t="s">
        <v>70</v>
      </c>
      <c r="K16" s="1" t="str">
        <f t="shared" si="0"/>
        <v>THE RUSSIAN FEDERATION</v>
      </c>
      <c r="L16" s="1">
        <f t="shared" si="1"/>
        <v>16</v>
      </c>
      <c r="M16" s="1">
        <f t="shared" si="2"/>
        <v>74</v>
      </c>
      <c r="N16" s="1">
        <v>74</v>
      </c>
      <c r="P16" s="1" t="str">
        <f t="shared" si="3"/>
        <v>Egypt</v>
      </c>
      <c r="Q16" s="1" t="str">
        <f t="shared" si="18"/>
        <v>RUSSIAN FEDERATION</v>
      </c>
      <c r="R16" s="1">
        <f t="shared" si="4"/>
        <v>16</v>
      </c>
      <c r="S16" s="1">
        <f t="shared" si="5"/>
        <v>74</v>
      </c>
      <c r="T16" s="1">
        <v>74</v>
      </c>
      <c r="V16" s="1" t="str">
        <f>IF([1]TIM!F16="","",[1]TIM!F16)</f>
        <v/>
      </c>
      <c r="W16" s="1" t="str">
        <f t="shared" si="6"/>
        <v/>
      </c>
      <c r="X16" s="1">
        <f t="shared" si="7"/>
        <v>0</v>
      </c>
      <c r="AI16" s="1">
        <f>IF([1]TIM!P16=[1]TIM!P16,[1]TIM!P16,"")</f>
        <v>0</v>
      </c>
      <c r="AJ16" s="1" t="str">
        <f t="shared" si="8"/>
        <v/>
      </c>
      <c r="AK16" s="1" t="str">
        <f t="shared" si="9"/>
        <v>0</v>
      </c>
      <c r="AL16" s="1" t="str">
        <f t="shared" si="10"/>
        <v>0</v>
      </c>
      <c r="AM16" s="1">
        <f t="shared" si="11"/>
        <v>543</v>
      </c>
      <c r="AN16" s="1" t="str">
        <f t="shared" si="12"/>
        <v>/0/543</v>
      </c>
      <c r="AP16" s="1">
        <f>IF([1]TIM!O16=[1]TIM!O16,[1]TIM!O16,"")</f>
        <v>0</v>
      </c>
      <c r="AQ16" s="1" t="str">
        <f t="shared" si="13"/>
        <v/>
      </c>
      <c r="AR16" s="1" t="str">
        <f t="shared" si="14"/>
        <v>0</v>
      </c>
      <c r="AS16" s="1" t="str">
        <f t="shared" si="15"/>
        <v>0</v>
      </c>
      <c r="AT16" s="1">
        <f t="shared" si="16"/>
        <v>543</v>
      </c>
      <c r="AU16" s="1" t="str">
        <f t="shared" si="17"/>
        <v>/0/543</v>
      </c>
    </row>
    <row r="17" spans="2:47" x14ac:dyDescent="0.3">
      <c r="B17" s="5">
        <v>14</v>
      </c>
      <c r="C17" s="6" t="s">
        <v>71</v>
      </c>
      <c r="D17" s="6" t="s">
        <v>72</v>
      </c>
      <c r="E17" s="2"/>
      <c r="F17" s="5">
        <v>14</v>
      </c>
      <c r="G17" s="7" t="s">
        <v>71</v>
      </c>
      <c r="H17" s="7" t="s">
        <v>73</v>
      </c>
      <c r="J17" s="1" t="s">
        <v>74</v>
      </c>
      <c r="K17" s="1" t="str">
        <f t="shared" si="0"/>
        <v>POLAND</v>
      </c>
      <c r="L17" s="1">
        <f t="shared" si="1"/>
        <v>17</v>
      </c>
      <c r="M17" s="1" t="e">
        <f t="shared" si="2"/>
        <v>#N/A</v>
      </c>
      <c r="N17" s="1">
        <v>179</v>
      </c>
      <c r="P17" s="1" t="str">
        <f t="shared" si="3"/>
        <v>El Salvador</v>
      </c>
      <c r="Q17" s="1" t="str">
        <f t="shared" si="18"/>
        <v>REPUBLIC OF POLAND</v>
      </c>
      <c r="R17" s="1">
        <f t="shared" si="4"/>
        <v>17</v>
      </c>
      <c r="S17" s="1">
        <f t="shared" si="5"/>
        <v>179</v>
      </c>
      <c r="T17" s="1">
        <v>179</v>
      </c>
      <c r="V17" s="1" t="str">
        <f>IF([1]TIM!F17="","",[1]TIM!F17)</f>
        <v/>
      </c>
      <c r="W17" s="1" t="str">
        <f t="shared" si="6"/>
        <v/>
      </c>
      <c r="X17" s="1">
        <f t="shared" si="7"/>
        <v>0</v>
      </c>
      <c r="AI17" s="1">
        <f>IF([1]TIM!P17=[1]TIM!P17,[1]TIM!P17,"")</f>
        <v>0</v>
      </c>
      <c r="AJ17" s="1" t="str">
        <f t="shared" si="8"/>
        <v/>
      </c>
      <c r="AK17" s="1" t="str">
        <f t="shared" si="9"/>
        <v>0</v>
      </c>
      <c r="AL17" s="1" t="str">
        <f t="shared" si="10"/>
        <v>0</v>
      </c>
      <c r="AM17" s="1">
        <f t="shared" si="11"/>
        <v>543</v>
      </c>
      <c r="AN17" s="1" t="str">
        <f t="shared" si="12"/>
        <v>/0/543</v>
      </c>
      <c r="AP17" s="1">
        <f>IF([1]TIM!O17=[1]TIM!O17,[1]TIM!O17,"")</f>
        <v>0</v>
      </c>
      <c r="AQ17" s="1" t="str">
        <f t="shared" si="13"/>
        <v/>
      </c>
      <c r="AR17" s="1" t="str">
        <f t="shared" si="14"/>
        <v>0</v>
      </c>
      <c r="AS17" s="1" t="str">
        <f t="shared" si="15"/>
        <v>0</v>
      </c>
      <c r="AT17" s="1">
        <f t="shared" si="16"/>
        <v>543</v>
      </c>
      <c r="AU17" s="1" t="str">
        <f t="shared" si="17"/>
        <v>/0/543</v>
      </c>
    </row>
    <row r="18" spans="2:47" x14ac:dyDescent="0.3">
      <c r="B18" s="5">
        <v>15</v>
      </c>
      <c r="C18" s="6" t="s">
        <v>75</v>
      </c>
      <c r="D18" s="6" t="s">
        <v>76</v>
      </c>
      <c r="E18" s="2"/>
      <c r="F18" s="5">
        <v>15</v>
      </c>
      <c r="G18" s="7" t="s">
        <v>75</v>
      </c>
      <c r="H18" s="7" t="s">
        <v>77</v>
      </c>
      <c r="J18" s="1" t="s">
        <v>78</v>
      </c>
      <c r="K18" s="1" t="str">
        <f t="shared" si="0"/>
        <v>CZECH</v>
      </c>
      <c r="L18" s="1">
        <f t="shared" si="1"/>
        <v>18</v>
      </c>
      <c r="M18" s="1">
        <f t="shared" si="2"/>
        <v>236</v>
      </c>
      <c r="N18" s="1">
        <v>236</v>
      </c>
      <c r="P18" s="1" t="str">
        <f t="shared" si="3"/>
        <v>Estonia</v>
      </c>
      <c r="Q18" s="1" t="str">
        <f t="shared" si="18"/>
        <v>CZECH REPUBLIC</v>
      </c>
      <c r="R18" s="1">
        <f t="shared" si="4"/>
        <v>18</v>
      </c>
      <c r="S18" s="1">
        <f t="shared" si="5"/>
        <v>236</v>
      </c>
      <c r="T18" s="1">
        <v>236</v>
      </c>
      <c r="V18" s="1" t="str">
        <f>IF([1]TIM!F18="","",[1]TIM!F18)</f>
        <v/>
      </c>
      <c r="W18" s="1" t="str">
        <f t="shared" si="6"/>
        <v/>
      </c>
      <c r="X18" s="1">
        <f t="shared" si="7"/>
        <v>0</v>
      </c>
      <c r="AI18" s="1">
        <f>IF([1]TIM!P18=[1]TIM!P18,[1]TIM!P18,"")</f>
        <v>0</v>
      </c>
      <c r="AJ18" s="1" t="str">
        <f t="shared" si="8"/>
        <v/>
      </c>
      <c r="AK18" s="1" t="str">
        <f t="shared" si="9"/>
        <v>0</v>
      </c>
      <c r="AL18" s="1" t="str">
        <f t="shared" si="10"/>
        <v>0</v>
      </c>
      <c r="AM18" s="1">
        <f t="shared" si="11"/>
        <v>543</v>
      </c>
      <c r="AN18" s="1" t="str">
        <f t="shared" si="12"/>
        <v>/0/543</v>
      </c>
      <c r="AP18" s="1">
        <f>IF([1]TIM!O18=[1]TIM!O18,[1]TIM!O18,"")</f>
        <v>0</v>
      </c>
      <c r="AQ18" s="1" t="str">
        <f t="shared" si="13"/>
        <v/>
      </c>
      <c r="AR18" s="1" t="str">
        <f t="shared" si="14"/>
        <v>0</v>
      </c>
      <c r="AS18" s="1" t="str">
        <f t="shared" si="15"/>
        <v>0</v>
      </c>
      <c r="AT18" s="1">
        <f t="shared" si="16"/>
        <v>543</v>
      </c>
      <c r="AU18" s="1" t="str">
        <f t="shared" si="17"/>
        <v>/0/543</v>
      </c>
    </row>
    <row r="19" spans="2:47" x14ac:dyDescent="0.3">
      <c r="B19" s="5">
        <v>16</v>
      </c>
      <c r="C19" s="6" t="s">
        <v>79</v>
      </c>
      <c r="D19" s="6" t="s">
        <v>80</v>
      </c>
      <c r="E19" s="2"/>
      <c r="F19" s="5">
        <v>16</v>
      </c>
      <c r="G19" s="7" t="s">
        <v>79</v>
      </c>
      <c r="H19" s="7" t="s">
        <v>81</v>
      </c>
      <c r="J19" s="1" t="s">
        <v>82</v>
      </c>
      <c r="K19" s="1" t="str">
        <f t="shared" si="0"/>
        <v>HUNGARY</v>
      </c>
      <c r="L19" s="1">
        <f t="shared" si="1"/>
        <v>19</v>
      </c>
      <c r="M19" s="1">
        <f t="shared" si="2"/>
        <v>75</v>
      </c>
      <c r="N19" s="1">
        <v>75</v>
      </c>
      <c r="P19" s="1" t="str">
        <f t="shared" si="3"/>
        <v>Ethiopia</v>
      </c>
      <c r="Q19" s="1" t="str">
        <f t="shared" si="18"/>
        <v>HUNGARY</v>
      </c>
      <c r="R19" s="1">
        <f t="shared" si="4"/>
        <v>19</v>
      </c>
      <c r="S19" s="1">
        <f t="shared" si="5"/>
        <v>75</v>
      </c>
      <c r="T19" s="1">
        <v>75</v>
      </c>
      <c r="V19" s="1" t="str">
        <f>IF([1]TIM!F19="","",[1]TIM!F19)</f>
        <v/>
      </c>
      <c r="W19" s="1" t="str">
        <f t="shared" si="6"/>
        <v/>
      </c>
      <c r="X19" s="1">
        <f t="shared" si="7"/>
        <v>0</v>
      </c>
      <c r="AI19" s="1">
        <f>IF([1]TIM!P19=[1]TIM!P19,[1]TIM!P19,"")</f>
        <v>0</v>
      </c>
      <c r="AJ19" s="1" t="str">
        <f t="shared" si="8"/>
        <v/>
      </c>
      <c r="AK19" s="1" t="str">
        <f t="shared" si="9"/>
        <v>0</v>
      </c>
      <c r="AL19" s="1" t="str">
        <f t="shared" si="10"/>
        <v>0</v>
      </c>
      <c r="AM19" s="1">
        <f t="shared" si="11"/>
        <v>543</v>
      </c>
      <c r="AN19" s="1" t="str">
        <f t="shared" si="12"/>
        <v>/0/543</v>
      </c>
      <c r="AP19" s="1">
        <f>IF([1]TIM!O19=[1]TIM!O19,[1]TIM!O19,"")</f>
        <v>0</v>
      </c>
      <c r="AQ19" s="1" t="str">
        <f t="shared" si="13"/>
        <v/>
      </c>
      <c r="AR19" s="1" t="str">
        <f t="shared" si="14"/>
        <v>0</v>
      </c>
      <c r="AS19" s="1" t="str">
        <f t="shared" si="15"/>
        <v>0</v>
      </c>
      <c r="AT19" s="1">
        <f t="shared" si="16"/>
        <v>543</v>
      </c>
      <c r="AU19" s="1" t="str">
        <f t="shared" si="17"/>
        <v>/0/543</v>
      </c>
    </row>
    <row r="20" spans="2:47" x14ac:dyDescent="0.3">
      <c r="B20" s="5">
        <v>17</v>
      </c>
      <c r="C20" s="6" t="s">
        <v>83</v>
      </c>
      <c r="D20" s="6" t="s">
        <v>84</v>
      </c>
      <c r="E20" s="2"/>
      <c r="F20" s="5">
        <v>17</v>
      </c>
      <c r="G20" s="7" t="s">
        <v>83</v>
      </c>
      <c r="H20" s="7" t="s">
        <v>85</v>
      </c>
      <c r="J20" s="1" t="s">
        <v>86</v>
      </c>
      <c r="K20" s="1" t="str">
        <f t="shared" si="0"/>
        <v>GREECE</v>
      </c>
      <c r="L20" s="1">
        <f t="shared" si="1"/>
        <v>20</v>
      </c>
      <c r="M20" s="1">
        <f t="shared" si="2"/>
        <v>111</v>
      </c>
      <c r="N20" s="1">
        <v>111</v>
      </c>
      <c r="P20" s="1" t="str">
        <f t="shared" si="3"/>
        <v>Fiji</v>
      </c>
      <c r="Q20" s="1" t="str">
        <f t="shared" si="18"/>
        <v>HELLENIC REPUBLIC</v>
      </c>
      <c r="R20" s="1">
        <f t="shared" si="4"/>
        <v>20</v>
      </c>
      <c r="S20" s="1">
        <f t="shared" si="5"/>
        <v>111</v>
      </c>
      <c r="T20" s="1">
        <v>111</v>
      </c>
      <c r="V20" s="1" t="str">
        <f>IF([1]TIM!F20="","",[1]TIM!F20)</f>
        <v/>
      </c>
      <c r="W20" s="1" t="str">
        <f t="shared" si="6"/>
        <v/>
      </c>
      <c r="X20" s="1">
        <f t="shared" si="7"/>
        <v>0</v>
      </c>
      <c r="AI20" s="1">
        <f>IF([1]TIM!P20=[1]TIM!P20,[1]TIM!P20,"")</f>
        <v>0</v>
      </c>
      <c r="AJ20" s="1" t="str">
        <f t="shared" si="8"/>
        <v/>
      </c>
      <c r="AK20" s="1" t="str">
        <f t="shared" si="9"/>
        <v>0</v>
      </c>
      <c r="AL20" s="1" t="str">
        <f t="shared" si="10"/>
        <v>0</v>
      </c>
      <c r="AM20" s="1">
        <f t="shared" si="11"/>
        <v>543</v>
      </c>
      <c r="AN20" s="1" t="str">
        <f t="shared" si="12"/>
        <v>/0/543</v>
      </c>
      <c r="AP20" s="1">
        <f>IF([1]TIM!O20=[1]TIM!O20,[1]TIM!O20,"")</f>
        <v>0</v>
      </c>
      <c r="AQ20" s="1" t="str">
        <f t="shared" si="13"/>
        <v/>
      </c>
      <c r="AR20" s="1" t="str">
        <f t="shared" si="14"/>
        <v>0</v>
      </c>
      <c r="AS20" s="1" t="str">
        <f t="shared" si="15"/>
        <v>0</v>
      </c>
      <c r="AT20" s="1">
        <f t="shared" si="16"/>
        <v>543</v>
      </c>
      <c r="AU20" s="1" t="str">
        <f t="shared" si="17"/>
        <v>/0/543</v>
      </c>
    </row>
    <row r="21" spans="2:47" x14ac:dyDescent="0.3">
      <c r="B21" s="5">
        <v>18</v>
      </c>
      <c r="C21" s="6" t="s">
        <v>87</v>
      </c>
      <c r="D21" s="6" t="s">
        <v>88</v>
      </c>
      <c r="E21" s="2"/>
      <c r="F21" s="5">
        <v>18</v>
      </c>
      <c r="G21" s="7" t="s">
        <v>89</v>
      </c>
      <c r="H21" s="7" t="s">
        <v>90</v>
      </c>
      <c r="J21" s="1" t="s">
        <v>91</v>
      </c>
      <c r="K21" s="1" t="str">
        <f t="shared" si="0"/>
        <v>YUGOSLAV</v>
      </c>
      <c r="L21" s="1">
        <f t="shared" si="1"/>
        <v>21</v>
      </c>
      <c r="M21" s="1">
        <f t="shared" si="2"/>
        <v>13</v>
      </c>
      <c r="N21" s="1">
        <v>13</v>
      </c>
      <c r="P21" s="1" t="str">
        <f t="shared" si="3"/>
        <v>Finland</v>
      </c>
      <c r="Q21" s="1" t="str">
        <f t="shared" si="18"/>
        <v>FEDERAL REPUBLIC OF YUGOSLAVIA</v>
      </c>
      <c r="R21" s="1">
        <f t="shared" si="4"/>
        <v>21</v>
      </c>
      <c r="S21" s="1">
        <f t="shared" si="5"/>
        <v>13</v>
      </c>
      <c r="T21" s="1">
        <v>13</v>
      </c>
      <c r="V21" s="1" t="str">
        <f>IF([1]TIM!F21="","",[1]TIM!F21)</f>
        <v/>
      </c>
      <c r="W21" s="1" t="str">
        <f t="shared" si="6"/>
        <v/>
      </c>
      <c r="X21" s="1">
        <f t="shared" si="7"/>
        <v>0</v>
      </c>
      <c r="AI21" s="1">
        <f>IF([1]TIM!P21=[1]TIM!P21,[1]TIM!P21,"")</f>
        <v>0</v>
      </c>
      <c r="AJ21" s="1" t="str">
        <f t="shared" si="8"/>
        <v/>
      </c>
      <c r="AK21" s="1" t="str">
        <f t="shared" si="9"/>
        <v>0</v>
      </c>
      <c r="AL21" s="1" t="str">
        <f t="shared" si="10"/>
        <v>0</v>
      </c>
      <c r="AM21" s="1">
        <f t="shared" si="11"/>
        <v>543</v>
      </c>
      <c r="AN21" s="1" t="str">
        <f t="shared" si="12"/>
        <v>/0/543</v>
      </c>
      <c r="AP21" s="1">
        <f>IF([1]TIM!O21=[1]TIM!O21,[1]TIM!O21,"")</f>
        <v>0</v>
      </c>
      <c r="AQ21" s="1" t="str">
        <f t="shared" si="13"/>
        <v/>
      </c>
      <c r="AR21" s="1" t="str">
        <f t="shared" si="14"/>
        <v>0</v>
      </c>
      <c r="AS21" s="1" t="str">
        <f t="shared" si="15"/>
        <v>0</v>
      </c>
      <c r="AT21" s="1">
        <f t="shared" si="16"/>
        <v>543</v>
      </c>
      <c r="AU21" s="1" t="str">
        <f t="shared" si="17"/>
        <v>/0/543</v>
      </c>
    </row>
    <row r="22" spans="2:47" x14ac:dyDescent="0.3">
      <c r="B22" s="5">
        <v>19</v>
      </c>
      <c r="C22" s="6" t="s">
        <v>92</v>
      </c>
      <c r="D22" s="6" t="s">
        <v>93</v>
      </c>
      <c r="E22" s="2"/>
      <c r="F22" s="5">
        <v>19</v>
      </c>
      <c r="G22" s="7" t="s">
        <v>92</v>
      </c>
      <c r="H22" s="7" t="s">
        <v>93</v>
      </c>
      <c r="J22" s="1" t="s">
        <v>94</v>
      </c>
      <c r="K22" s="1" t="str">
        <f t="shared" si="0"/>
        <v>LUXEMBOURGE</v>
      </c>
      <c r="L22" s="1">
        <f t="shared" si="1"/>
        <v>22</v>
      </c>
      <c r="M22" s="1">
        <f t="shared" si="2"/>
        <v>5</v>
      </c>
      <c r="N22" s="1">
        <v>5</v>
      </c>
      <c r="P22" s="1" t="str">
        <f t="shared" si="3"/>
        <v>France</v>
      </c>
      <c r="Q22" s="1" t="str">
        <f t="shared" si="18"/>
        <v>GRAND DUCHY OF LUXEMBLURG</v>
      </c>
      <c r="R22" s="1">
        <f t="shared" si="4"/>
        <v>22</v>
      </c>
      <c r="S22" s="1" t="e">
        <f t="shared" si="5"/>
        <v>#N/A</v>
      </c>
      <c r="T22" s="1">
        <v>5</v>
      </c>
      <c r="V22" s="1" t="str">
        <f>IF([1]TIM!F22="","",[1]TIM!F22)</f>
        <v/>
      </c>
      <c r="W22" s="1" t="str">
        <f t="shared" si="6"/>
        <v/>
      </c>
      <c r="X22" s="1">
        <f t="shared" si="7"/>
        <v>0</v>
      </c>
      <c r="AI22" s="1">
        <f>IF([1]TIM!P22=[1]TIM!P22,[1]TIM!P22,"")</f>
        <v>0</v>
      </c>
      <c r="AJ22" s="1" t="str">
        <f t="shared" si="8"/>
        <v/>
      </c>
      <c r="AK22" s="1" t="str">
        <f t="shared" si="9"/>
        <v>0</v>
      </c>
      <c r="AL22" s="1" t="str">
        <f t="shared" si="10"/>
        <v>0</v>
      </c>
      <c r="AM22" s="1">
        <f t="shared" si="11"/>
        <v>543</v>
      </c>
      <c r="AN22" s="1" t="str">
        <f t="shared" si="12"/>
        <v>/0/543</v>
      </c>
      <c r="AP22" s="1">
        <f>IF([1]TIM!O22=[1]TIM!O22,[1]TIM!O22,"")</f>
        <v>0</v>
      </c>
      <c r="AQ22" s="1" t="str">
        <f t="shared" si="13"/>
        <v/>
      </c>
      <c r="AR22" s="1" t="str">
        <f t="shared" si="14"/>
        <v>0</v>
      </c>
      <c r="AS22" s="1" t="str">
        <f t="shared" si="15"/>
        <v>0</v>
      </c>
      <c r="AT22" s="1">
        <f t="shared" si="16"/>
        <v>543</v>
      </c>
      <c r="AU22" s="1" t="str">
        <f t="shared" si="17"/>
        <v>/0/543</v>
      </c>
    </row>
    <row r="23" spans="2:47" x14ac:dyDescent="0.3">
      <c r="B23" s="5">
        <v>20</v>
      </c>
      <c r="C23" s="6" t="s">
        <v>95</v>
      </c>
      <c r="D23" s="6" t="s">
        <v>96</v>
      </c>
      <c r="E23" s="2"/>
      <c r="F23" s="5">
        <v>20</v>
      </c>
      <c r="G23" s="7" t="s">
        <v>97</v>
      </c>
      <c r="H23" s="7" t="s">
        <v>98</v>
      </c>
      <c r="J23" s="1" t="s">
        <v>99</v>
      </c>
      <c r="K23" s="1" t="str">
        <f t="shared" si="0"/>
        <v>VATIGAN</v>
      </c>
      <c r="L23" s="1">
        <f t="shared" si="1"/>
        <v>23</v>
      </c>
      <c r="M23" s="1">
        <f t="shared" si="2"/>
        <v>226</v>
      </c>
      <c r="N23" s="1">
        <v>226</v>
      </c>
      <c r="P23" s="1" t="str">
        <f t="shared" si="3"/>
        <v>Georgia</v>
      </c>
      <c r="Q23" s="1" t="str">
        <f t="shared" si="18"/>
        <v>VATICAN CITY STATE ; THE HOLY SEE</v>
      </c>
      <c r="R23" s="1">
        <f t="shared" si="4"/>
        <v>23</v>
      </c>
      <c r="S23" s="1">
        <f t="shared" si="5"/>
        <v>226</v>
      </c>
      <c r="T23" s="1">
        <v>226</v>
      </c>
      <c r="V23" s="1" t="str">
        <f>IF([1]TIM!F23="","",[1]TIM!F23)</f>
        <v/>
      </c>
      <c r="W23" s="1" t="str">
        <f t="shared" si="6"/>
        <v/>
      </c>
      <c r="X23" s="1">
        <f t="shared" si="7"/>
        <v>0</v>
      </c>
      <c r="AI23" s="1">
        <f>IF([1]TIM!P23=[1]TIM!P23,[1]TIM!P23,"")</f>
        <v>0</v>
      </c>
      <c r="AJ23" s="1" t="str">
        <f t="shared" si="8"/>
        <v/>
      </c>
      <c r="AK23" s="1" t="str">
        <f t="shared" si="9"/>
        <v>0</v>
      </c>
      <c r="AL23" s="1" t="str">
        <f t="shared" si="10"/>
        <v>0</v>
      </c>
      <c r="AM23" s="1">
        <f t="shared" si="11"/>
        <v>543</v>
      </c>
      <c r="AN23" s="1" t="str">
        <f t="shared" si="12"/>
        <v>/0/543</v>
      </c>
      <c r="AP23" s="1">
        <f>IF([1]TIM!O23=[1]TIM!O23,[1]TIM!O23,"")</f>
        <v>0</v>
      </c>
      <c r="AQ23" s="1" t="str">
        <f t="shared" si="13"/>
        <v/>
      </c>
      <c r="AR23" s="1" t="str">
        <f t="shared" si="14"/>
        <v>0</v>
      </c>
      <c r="AS23" s="1" t="str">
        <f t="shared" si="15"/>
        <v>0</v>
      </c>
      <c r="AT23" s="1">
        <f t="shared" si="16"/>
        <v>543</v>
      </c>
      <c r="AU23" s="1" t="str">
        <f t="shared" si="17"/>
        <v>/0/543</v>
      </c>
    </row>
    <row r="24" spans="2:47" x14ac:dyDescent="0.3">
      <c r="B24" s="5">
        <v>21</v>
      </c>
      <c r="C24" s="6" t="s">
        <v>100</v>
      </c>
      <c r="D24" s="6" t="s">
        <v>101</v>
      </c>
      <c r="E24" s="2"/>
      <c r="F24" s="5">
        <v>21</v>
      </c>
      <c r="G24" s="7" t="s">
        <v>102</v>
      </c>
      <c r="H24" s="7" t="s">
        <v>103</v>
      </c>
      <c r="J24" s="1" t="s">
        <v>104</v>
      </c>
      <c r="K24" s="1" t="str">
        <f t="shared" si="0"/>
        <v>MALTESE</v>
      </c>
      <c r="L24" s="1">
        <f t="shared" si="1"/>
        <v>24</v>
      </c>
      <c r="M24" s="1" t="e">
        <f t="shared" si="2"/>
        <v>#N/A</v>
      </c>
      <c r="N24" s="1">
        <v>4</v>
      </c>
      <c r="P24" s="1" t="str">
        <f t="shared" si="3"/>
        <v>Germany</v>
      </c>
      <c r="Q24" s="1" t="str">
        <f t="shared" si="18"/>
        <v>REPUBLIC OF MALTA</v>
      </c>
      <c r="R24" s="1">
        <f t="shared" si="4"/>
        <v>24</v>
      </c>
      <c r="S24" s="1">
        <f t="shared" si="5"/>
        <v>4</v>
      </c>
      <c r="T24" s="1">
        <v>4</v>
      </c>
      <c r="V24" s="1" t="str">
        <f>IF([1]TIM!F24="","",[1]TIM!F24)</f>
        <v/>
      </c>
      <c r="W24" s="1" t="str">
        <f t="shared" si="6"/>
        <v/>
      </c>
      <c r="X24" s="1">
        <f t="shared" si="7"/>
        <v>0</v>
      </c>
      <c r="AI24" s="1">
        <f>IF([1]TIM!P24=[1]TIM!P24,[1]TIM!P24,"")</f>
        <v>0</v>
      </c>
      <c r="AJ24" s="1" t="str">
        <f t="shared" si="8"/>
        <v/>
      </c>
      <c r="AK24" s="1" t="str">
        <f t="shared" si="9"/>
        <v>0</v>
      </c>
      <c r="AL24" s="1" t="str">
        <f t="shared" si="10"/>
        <v>0</v>
      </c>
      <c r="AM24" s="1">
        <f t="shared" si="11"/>
        <v>543</v>
      </c>
      <c r="AN24" s="1" t="str">
        <f t="shared" si="12"/>
        <v>/0/543</v>
      </c>
      <c r="AP24" s="1">
        <f>IF([1]TIM!O24=[1]TIM!O24,[1]TIM!O24,"")</f>
        <v>0</v>
      </c>
      <c r="AQ24" s="1" t="str">
        <f t="shared" si="13"/>
        <v/>
      </c>
      <c r="AR24" s="1" t="str">
        <f t="shared" si="14"/>
        <v>0</v>
      </c>
      <c r="AS24" s="1" t="str">
        <f t="shared" si="15"/>
        <v>0</v>
      </c>
      <c r="AT24" s="1">
        <f t="shared" si="16"/>
        <v>543</v>
      </c>
      <c r="AU24" s="1" t="str">
        <f t="shared" si="17"/>
        <v>/0/543</v>
      </c>
    </row>
    <row r="25" spans="2:47" x14ac:dyDescent="0.3">
      <c r="B25" s="5">
        <v>22</v>
      </c>
      <c r="C25" s="6" t="s">
        <v>105</v>
      </c>
      <c r="D25" s="6" t="s">
        <v>106</v>
      </c>
      <c r="E25" s="2"/>
      <c r="F25" s="5">
        <v>22</v>
      </c>
      <c r="G25" s="7" t="s">
        <v>105</v>
      </c>
      <c r="H25" s="7" t="s">
        <v>107</v>
      </c>
      <c r="J25" s="1" t="s">
        <v>108</v>
      </c>
      <c r="K25" s="1" t="str">
        <f t="shared" si="0"/>
        <v>Lisu</v>
      </c>
      <c r="L25" s="1">
        <f t="shared" si="1"/>
        <v>25</v>
      </c>
      <c r="M25" s="1">
        <f t="shared" si="2"/>
        <v>20</v>
      </c>
      <c r="N25" s="1">
        <v>20</v>
      </c>
      <c r="P25" s="1" t="str">
        <f t="shared" si="3"/>
        <v>Greece</v>
      </c>
      <c r="Q25" s="1" t="str">
        <f t="shared" si="18"/>
        <v>REPUBLIC OF BULGARIA</v>
      </c>
      <c r="R25" s="1">
        <f t="shared" si="4"/>
        <v>26</v>
      </c>
      <c r="S25" s="1" t="e">
        <f t="shared" si="5"/>
        <v>#N/A</v>
      </c>
      <c r="T25" s="1">
        <v>20</v>
      </c>
      <c r="V25" s="1" t="str">
        <f>IF([1]TIM!F25="","",[1]TIM!F25)</f>
        <v/>
      </c>
      <c r="W25" s="1" t="str">
        <f t="shared" si="6"/>
        <v/>
      </c>
      <c r="X25" s="1">
        <f t="shared" si="7"/>
        <v>0</v>
      </c>
      <c r="AI25" s="1">
        <f>IF([1]TIM!P25=[1]TIM!P25,[1]TIM!P25,"")</f>
        <v>0</v>
      </c>
      <c r="AJ25" s="1" t="str">
        <f t="shared" si="8"/>
        <v/>
      </c>
      <c r="AK25" s="1" t="str">
        <f t="shared" si="9"/>
        <v>0</v>
      </c>
      <c r="AL25" s="1" t="str">
        <f t="shared" si="10"/>
        <v>0</v>
      </c>
      <c r="AM25" s="1">
        <f t="shared" si="11"/>
        <v>543</v>
      </c>
      <c r="AN25" s="1" t="str">
        <f t="shared" si="12"/>
        <v>/0/543</v>
      </c>
      <c r="AP25" s="1">
        <f>IF([1]TIM!O25=[1]TIM!O25,[1]TIM!O25,"")</f>
        <v>0</v>
      </c>
      <c r="AQ25" s="1" t="str">
        <f t="shared" si="13"/>
        <v/>
      </c>
      <c r="AR25" s="1" t="str">
        <f t="shared" si="14"/>
        <v>0</v>
      </c>
      <c r="AS25" s="1" t="str">
        <f t="shared" si="15"/>
        <v>0</v>
      </c>
      <c r="AT25" s="1">
        <f t="shared" si="16"/>
        <v>543</v>
      </c>
      <c r="AU25" s="1" t="str">
        <f t="shared" si="17"/>
        <v>/0/543</v>
      </c>
    </row>
    <row r="26" spans="2:47" x14ac:dyDescent="0.3">
      <c r="B26" s="5">
        <v>23</v>
      </c>
      <c r="C26" s="6" t="s">
        <v>109</v>
      </c>
      <c r="D26" s="6" t="s">
        <v>110</v>
      </c>
      <c r="E26" s="2"/>
      <c r="F26" s="5">
        <v>23</v>
      </c>
      <c r="G26" s="7" t="s">
        <v>109</v>
      </c>
      <c r="H26" s="7" t="s">
        <v>111</v>
      </c>
      <c r="J26" s="1" t="s">
        <v>112</v>
      </c>
      <c r="K26" s="1" t="str">
        <f t="shared" si="0"/>
        <v>BULGARIA</v>
      </c>
      <c r="L26" s="1">
        <f t="shared" si="1"/>
        <v>26</v>
      </c>
      <c r="M26" s="1" t="e">
        <f t="shared" si="2"/>
        <v>#N/A</v>
      </c>
      <c r="N26" s="1">
        <v>219</v>
      </c>
      <c r="P26" s="1" t="str">
        <f t="shared" si="3"/>
        <v>Hong Kong</v>
      </c>
      <c r="Q26" s="1" t="str">
        <f t="shared" si="18"/>
        <v>ROMANIA</v>
      </c>
      <c r="R26" s="1">
        <f t="shared" si="4"/>
        <v>27</v>
      </c>
      <c r="S26" s="1">
        <f t="shared" si="5"/>
        <v>931</v>
      </c>
      <c r="T26" s="1">
        <v>931</v>
      </c>
      <c r="V26" s="1" t="str">
        <f>IF([1]TIM!F26="","",[1]TIM!F26)</f>
        <v/>
      </c>
      <c r="W26" s="1" t="str">
        <f t="shared" si="6"/>
        <v/>
      </c>
      <c r="X26" s="1">
        <f t="shared" si="7"/>
        <v>0</v>
      </c>
      <c r="AI26" s="1">
        <f>IF([1]TIM!P26=[1]TIM!P26,[1]TIM!P26,"")</f>
        <v>0</v>
      </c>
      <c r="AJ26" s="1" t="str">
        <f t="shared" si="8"/>
        <v/>
      </c>
      <c r="AK26" s="1" t="str">
        <f t="shared" si="9"/>
        <v>0</v>
      </c>
      <c r="AL26" s="1" t="str">
        <f t="shared" si="10"/>
        <v>0</v>
      </c>
      <c r="AM26" s="1">
        <f t="shared" si="11"/>
        <v>543</v>
      </c>
      <c r="AN26" s="1" t="str">
        <f t="shared" si="12"/>
        <v>/0/543</v>
      </c>
      <c r="AP26" s="1">
        <f>IF([1]TIM!O26=[1]TIM!O26,[1]TIM!O26,"")</f>
        <v>0</v>
      </c>
      <c r="AQ26" s="1" t="str">
        <f t="shared" si="13"/>
        <v/>
      </c>
      <c r="AR26" s="1" t="str">
        <f t="shared" si="14"/>
        <v>0</v>
      </c>
      <c r="AS26" s="1" t="str">
        <f t="shared" si="15"/>
        <v>0</v>
      </c>
      <c r="AT26" s="1">
        <f t="shared" si="16"/>
        <v>543</v>
      </c>
      <c r="AU26" s="1" t="str">
        <f t="shared" si="17"/>
        <v>/0/543</v>
      </c>
    </row>
    <row r="27" spans="2:47" x14ac:dyDescent="0.3">
      <c r="B27" s="5">
        <v>24</v>
      </c>
      <c r="C27" s="6" t="s">
        <v>113</v>
      </c>
      <c r="D27" s="6" t="s">
        <v>114</v>
      </c>
      <c r="E27" s="2"/>
      <c r="F27" s="5">
        <v>24</v>
      </c>
      <c r="G27" s="7" t="s">
        <v>113</v>
      </c>
      <c r="H27" s="7" t="s">
        <v>115</v>
      </c>
      <c r="J27" s="1" t="s">
        <v>116</v>
      </c>
      <c r="K27" s="1" t="str">
        <f t="shared" si="0"/>
        <v>ROMANIAN</v>
      </c>
      <c r="L27" s="1">
        <f t="shared" si="1"/>
        <v>27</v>
      </c>
      <c r="M27" s="1">
        <f t="shared" si="2"/>
        <v>19</v>
      </c>
      <c r="N27" s="1">
        <v>19</v>
      </c>
      <c r="P27" s="1" t="str">
        <f t="shared" si="3"/>
        <v>Hungary</v>
      </c>
      <c r="Q27" s="1" t="str">
        <f t="shared" si="18"/>
        <v>REPUBLIC OF CYPRUS</v>
      </c>
      <c r="R27" s="1">
        <f t="shared" si="4"/>
        <v>28</v>
      </c>
      <c r="S27" s="1">
        <f t="shared" si="5"/>
        <v>19</v>
      </c>
      <c r="T27" s="1">
        <v>19</v>
      </c>
      <c r="V27" s="1" t="str">
        <f>IF([1]TIM!F27="","",[1]TIM!F27)</f>
        <v/>
      </c>
      <c r="W27" s="1" t="str">
        <f t="shared" si="6"/>
        <v/>
      </c>
      <c r="X27" s="1">
        <f t="shared" si="7"/>
        <v>0</v>
      </c>
      <c r="AI27" s="1">
        <f>IF([1]TIM!P27=[1]TIM!P27,[1]TIM!P27,"")</f>
        <v>0</v>
      </c>
      <c r="AJ27" s="1" t="str">
        <f t="shared" si="8"/>
        <v/>
      </c>
      <c r="AK27" s="1" t="str">
        <f t="shared" si="9"/>
        <v>0</v>
      </c>
      <c r="AL27" s="1" t="str">
        <f t="shared" si="10"/>
        <v>0</v>
      </c>
      <c r="AM27" s="1">
        <f t="shared" si="11"/>
        <v>543</v>
      </c>
      <c r="AN27" s="1" t="str">
        <f t="shared" si="12"/>
        <v>/0/543</v>
      </c>
      <c r="AP27" s="1">
        <f>IF([1]TIM!O27=[1]TIM!O27,[1]TIM!O27,"")</f>
        <v>0</v>
      </c>
      <c r="AQ27" s="1" t="str">
        <f t="shared" si="13"/>
        <v/>
      </c>
      <c r="AR27" s="1" t="str">
        <f t="shared" si="14"/>
        <v>0</v>
      </c>
      <c r="AS27" s="1" t="str">
        <f t="shared" si="15"/>
        <v>0</v>
      </c>
      <c r="AT27" s="1">
        <f t="shared" si="16"/>
        <v>543</v>
      </c>
      <c r="AU27" s="1" t="str">
        <f t="shared" si="17"/>
        <v>/0/543</v>
      </c>
    </row>
    <row r="28" spans="2:47" x14ac:dyDescent="0.3">
      <c r="B28" s="5">
        <v>25</v>
      </c>
      <c r="C28" s="6" t="s">
        <v>117</v>
      </c>
      <c r="D28" s="6" t="s">
        <v>118</v>
      </c>
      <c r="E28" s="2"/>
      <c r="F28" s="5">
        <v>26</v>
      </c>
      <c r="G28" s="7" t="s">
        <v>119</v>
      </c>
      <c r="H28" s="7" t="s">
        <v>120</v>
      </c>
      <c r="J28" s="1" t="s">
        <v>121</v>
      </c>
      <c r="K28" s="1" t="str">
        <f t="shared" si="0"/>
        <v>CYPRUS</v>
      </c>
      <c r="L28" s="1">
        <f t="shared" si="1"/>
        <v>28</v>
      </c>
      <c r="M28" s="1">
        <f t="shared" si="2"/>
        <v>45</v>
      </c>
      <c r="N28" s="1">
        <v>45</v>
      </c>
      <c r="P28" s="1" t="str">
        <f t="shared" si="3"/>
        <v>India</v>
      </c>
      <c r="Q28" s="1" t="str">
        <f t="shared" si="18"/>
        <v>UNITED STATES OF AMERICA</v>
      </c>
      <c r="R28" s="1">
        <f t="shared" si="4"/>
        <v>29</v>
      </c>
      <c r="S28" s="1">
        <f t="shared" si="5"/>
        <v>45</v>
      </c>
      <c r="T28" s="1">
        <v>45</v>
      </c>
      <c r="V28" s="1" t="str">
        <f>IF([1]TIM!F28="","",[1]TIM!F28)</f>
        <v/>
      </c>
      <c r="W28" s="1" t="str">
        <f t="shared" si="6"/>
        <v/>
      </c>
      <c r="X28" s="1">
        <f t="shared" si="7"/>
        <v>0</v>
      </c>
      <c r="AI28" s="1">
        <f>IF([1]TIM!P28=[1]TIM!P28,[1]TIM!P28,"")</f>
        <v>0</v>
      </c>
      <c r="AJ28" s="1" t="str">
        <f t="shared" si="8"/>
        <v/>
      </c>
      <c r="AK28" s="1" t="str">
        <f t="shared" si="9"/>
        <v>0</v>
      </c>
      <c r="AL28" s="1" t="str">
        <f t="shared" si="10"/>
        <v>0</v>
      </c>
      <c r="AM28" s="1">
        <f t="shared" si="11"/>
        <v>543</v>
      </c>
      <c r="AN28" s="1" t="str">
        <f t="shared" si="12"/>
        <v>/0/543</v>
      </c>
      <c r="AP28" s="1">
        <f>IF([1]TIM!O28=[1]TIM!O28,[1]TIM!O28,"")</f>
        <v>0</v>
      </c>
      <c r="AQ28" s="1" t="str">
        <f t="shared" si="13"/>
        <v/>
      </c>
      <c r="AR28" s="1" t="str">
        <f t="shared" si="14"/>
        <v>0</v>
      </c>
      <c r="AS28" s="1" t="str">
        <f t="shared" si="15"/>
        <v>0</v>
      </c>
      <c r="AT28" s="1">
        <f t="shared" si="16"/>
        <v>543</v>
      </c>
      <c r="AU28" s="1" t="str">
        <f t="shared" si="17"/>
        <v>/0/543</v>
      </c>
    </row>
    <row r="29" spans="2:47" x14ac:dyDescent="0.3">
      <c r="B29" s="5">
        <v>26</v>
      </c>
      <c r="C29" s="6" t="s">
        <v>119</v>
      </c>
      <c r="D29" s="6" t="s">
        <v>122</v>
      </c>
      <c r="E29" s="2"/>
      <c r="F29" s="5">
        <v>27</v>
      </c>
      <c r="G29" s="7" t="s">
        <v>123</v>
      </c>
      <c r="H29" s="7" t="s">
        <v>124</v>
      </c>
      <c r="J29" s="1" t="s">
        <v>125</v>
      </c>
      <c r="K29" s="1" t="str">
        <f t="shared" si="0"/>
        <v>AMERICAN</v>
      </c>
      <c r="L29" s="1">
        <f t="shared" si="1"/>
        <v>29</v>
      </c>
      <c r="M29" s="1">
        <f t="shared" si="2"/>
        <v>51</v>
      </c>
      <c r="N29" s="1">
        <v>51</v>
      </c>
      <c r="P29" s="1" t="str">
        <f t="shared" si="3"/>
        <v>Indonesia</v>
      </c>
      <c r="Q29" s="1" t="str">
        <f t="shared" si="18"/>
        <v>CANADA</v>
      </c>
      <c r="R29" s="1">
        <f t="shared" si="4"/>
        <v>30</v>
      </c>
      <c r="S29" s="1">
        <f t="shared" si="5"/>
        <v>51</v>
      </c>
      <c r="T29" s="1">
        <v>51</v>
      </c>
      <c r="V29" s="1" t="str">
        <f>IF([1]TIM!F29="","",[1]TIM!F29)</f>
        <v/>
      </c>
      <c r="W29" s="1" t="str">
        <f t="shared" si="6"/>
        <v/>
      </c>
      <c r="X29" s="1">
        <f t="shared" si="7"/>
        <v>0</v>
      </c>
      <c r="AI29" s="1">
        <f>IF([1]TIM!P29=[1]TIM!P29,[1]TIM!P29,"")</f>
        <v>0</v>
      </c>
      <c r="AJ29" s="1" t="str">
        <f t="shared" si="8"/>
        <v/>
      </c>
      <c r="AK29" s="1" t="str">
        <f t="shared" si="9"/>
        <v>0</v>
      </c>
      <c r="AL29" s="1" t="str">
        <f t="shared" si="10"/>
        <v>0</v>
      </c>
      <c r="AM29" s="1">
        <f t="shared" si="11"/>
        <v>543</v>
      </c>
      <c r="AN29" s="1" t="str">
        <f t="shared" si="12"/>
        <v>/0/543</v>
      </c>
      <c r="AP29" s="1">
        <f>IF([1]TIM!O29=[1]TIM!O29,[1]TIM!O29,"")</f>
        <v>0</v>
      </c>
      <c r="AQ29" s="1" t="str">
        <f t="shared" si="13"/>
        <v/>
      </c>
      <c r="AR29" s="1" t="str">
        <f t="shared" si="14"/>
        <v>0</v>
      </c>
      <c r="AS29" s="1" t="str">
        <f t="shared" si="15"/>
        <v>0</v>
      </c>
      <c r="AT29" s="1">
        <f t="shared" si="16"/>
        <v>543</v>
      </c>
      <c r="AU29" s="1" t="str">
        <f t="shared" si="17"/>
        <v>/0/543</v>
      </c>
    </row>
    <row r="30" spans="2:47" x14ac:dyDescent="0.3">
      <c r="B30" s="5">
        <v>27</v>
      </c>
      <c r="C30" s="6" t="s">
        <v>123</v>
      </c>
      <c r="D30" s="6" t="s">
        <v>126</v>
      </c>
      <c r="E30" s="2"/>
      <c r="F30" s="5">
        <v>28</v>
      </c>
      <c r="G30" s="7" t="s">
        <v>127</v>
      </c>
      <c r="H30" s="7" t="s">
        <v>128</v>
      </c>
      <c r="J30" s="1" t="s">
        <v>129</v>
      </c>
      <c r="K30" s="1" t="str">
        <f t="shared" si="0"/>
        <v>CANADIAN</v>
      </c>
      <c r="L30" s="1">
        <f t="shared" si="1"/>
        <v>30</v>
      </c>
      <c r="M30" s="1" t="e">
        <f t="shared" si="2"/>
        <v>#N/A</v>
      </c>
      <c r="N30" s="1">
        <v>12</v>
      </c>
      <c r="P30" s="1" t="str">
        <f t="shared" si="3"/>
        <v>Ireland</v>
      </c>
      <c r="Q30" s="1" t="str">
        <f t="shared" si="18"/>
        <v>UNITED MEXICAN STATES</v>
      </c>
      <c r="R30" s="1">
        <f t="shared" si="4"/>
        <v>31</v>
      </c>
      <c r="S30" s="1">
        <f t="shared" si="5"/>
        <v>12</v>
      </c>
      <c r="T30" s="1">
        <v>12</v>
      </c>
      <c r="V30" s="1" t="str">
        <f>IF([1]TIM!F30="","",[1]TIM!F30)</f>
        <v/>
      </c>
      <c r="W30" s="1" t="str">
        <f t="shared" si="6"/>
        <v/>
      </c>
      <c r="X30" s="1">
        <f t="shared" si="7"/>
        <v>0</v>
      </c>
      <c r="AI30" s="1">
        <f>IF([1]TIM!P30=[1]TIM!P30,[1]TIM!P30,"")</f>
        <v>0</v>
      </c>
      <c r="AJ30" s="1" t="str">
        <f t="shared" si="8"/>
        <v/>
      </c>
      <c r="AK30" s="1" t="str">
        <f t="shared" si="9"/>
        <v>0</v>
      </c>
      <c r="AL30" s="1" t="str">
        <f t="shared" si="10"/>
        <v>0</v>
      </c>
      <c r="AM30" s="1">
        <f t="shared" si="11"/>
        <v>543</v>
      </c>
      <c r="AN30" s="1" t="str">
        <f t="shared" si="12"/>
        <v>/0/543</v>
      </c>
      <c r="AP30" s="1">
        <f>IF([1]TIM!O30=[1]TIM!O30,[1]TIM!O30,"")</f>
        <v>0</v>
      </c>
      <c r="AQ30" s="1" t="str">
        <f t="shared" si="13"/>
        <v/>
      </c>
      <c r="AR30" s="1" t="str">
        <f t="shared" si="14"/>
        <v>0</v>
      </c>
      <c r="AS30" s="1" t="str">
        <f t="shared" si="15"/>
        <v>0</v>
      </c>
      <c r="AT30" s="1">
        <f t="shared" si="16"/>
        <v>543</v>
      </c>
      <c r="AU30" s="1" t="str">
        <f t="shared" si="17"/>
        <v>/0/543</v>
      </c>
    </row>
    <row r="31" spans="2:47" x14ac:dyDescent="0.3">
      <c r="B31" s="5">
        <v>28</v>
      </c>
      <c r="C31" s="6" t="s">
        <v>127</v>
      </c>
      <c r="D31" s="6" t="s">
        <v>130</v>
      </c>
      <c r="E31" s="2"/>
      <c r="F31" s="5">
        <v>29</v>
      </c>
      <c r="G31" s="7" t="s">
        <v>131</v>
      </c>
      <c r="H31" s="7" t="s">
        <v>132</v>
      </c>
      <c r="J31" s="1" t="s">
        <v>133</v>
      </c>
      <c r="K31" s="1" t="str">
        <f t="shared" si="0"/>
        <v>MEXICAN</v>
      </c>
      <c r="L31" s="1">
        <f t="shared" si="1"/>
        <v>31</v>
      </c>
      <c r="M31" s="1">
        <f t="shared" si="2"/>
        <v>60</v>
      </c>
      <c r="N31" s="1">
        <v>60</v>
      </c>
      <c r="P31" s="1" t="str">
        <f t="shared" si="3"/>
        <v>Israel</v>
      </c>
      <c r="Q31" s="1" t="str">
        <f t="shared" si="18"/>
        <v>REPUBLIC OF CUBA</v>
      </c>
      <c r="R31" s="1">
        <f t="shared" si="4"/>
        <v>32</v>
      </c>
      <c r="S31" s="1">
        <f t="shared" si="5"/>
        <v>60</v>
      </c>
      <c r="T31" s="1">
        <v>60</v>
      </c>
      <c r="V31" s="1" t="str">
        <f>IF([1]TIM!F31="","",[1]TIM!F31)</f>
        <v/>
      </c>
      <c r="W31" s="1" t="str">
        <f t="shared" si="6"/>
        <v/>
      </c>
      <c r="X31" s="1">
        <f t="shared" si="7"/>
        <v>0</v>
      </c>
      <c r="AI31" s="1">
        <f>IF([1]TIM!P31=[1]TIM!P31,[1]TIM!P31,"")</f>
        <v>0</v>
      </c>
      <c r="AJ31" s="1" t="str">
        <f t="shared" si="8"/>
        <v/>
      </c>
      <c r="AK31" s="1" t="str">
        <f t="shared" si="9"/>
        <v>0</v>
      </c>
      <c r="AL31" s="1" t="str">
        <f t="shared" si="10"/>
        <v>0</v>
      </c>
      <c r="AM31" s="1">
        <f t="shared" si="11"/>
        <v>543</v>
      </c>
      <c r="AN31" s="1" t="str">
        <f t="shared" si="12"/>
        <v>/0/543</v>
      </c>
      <c r="AP31" s="1">
        <f>IF([1]TIM!O31=[1]TIM!O31,[1]TIM!O31,"")</f>
        <v>0</v>
      </c>
      <c r="AQ31" s="1" t="str">
        <f t="shared" si="13"/>
        <v/>
      </c>
      <c r="AR31" s="1" t="str">
        <f t="shared" si="14"/>
        <v>0</v>
      </c>
      <c r="AS31" s="1" t="str">
        <f t="shared" si="15"/>
        <v>0</v>
      </c>
      <c r="AT31" s="1">
        <f t="shared" si="16"/>
        <v>543</v>
      </c>
      <c r="AU31" s="1" t="str">
        <f t="shared" si="17"/>
        <v>/0/543</v>
      </c>
    </row>
    <row r="32" spans="2:47" x14ac:dyDescent="0.3">
      <c r="B32" s="5">
        <v>29</v>
      </c>
      <c r="C32" s="6" t="s">
        <v>134</v>
      </c>
      <c r="D32" s="6" t="s">
        <v>135</v>
      </c>
      <c r="E32" s="2"/>
      <c r="F32" s="5">
        <v>30</v>
      </c>
      <c r="G32" s="7" t="s">
        <v>136</v>
      </c>
      <c r="H32" s="7" t="s">
        <v>137</v>
      </c>
      <c r="J32" s="1" t="s">
        <v>138</v>
      </c>
      <c r="K32" s="1" t="str">
        <f t="shared" si="0"/>
        <v>CUBA</v>
      </c>
      <c r="L32" s="1">
        <f t="shared" si="1"/>
        <v>32</v>
      </c>
      <c r="M32" s="1" t="e">
        <f t="shared" si="2"/>
        <v>#N/A</v>
      </c>
      <c r="N32" s="1">
        <v>9</v>
      </c>
      <c r="P32" s="1" t="str">
        <f t="shared" si="3"/>
        <v>Italy</v>
      </c>
      <c r="Q32" s="1" t="str">
        <f t="shared" si="18"/>
        <v>ARGENTINE REPUBLIC</v>
      </c>
      <c r="R32" s="1">
        <f t="shared" si="4"/>
        <v>33</v>
      </c>
      <c r="S32" s="1" t="e">
        <f t="shared" si="5"/>
        <v>#N/A</v>
      </c>
      <c r="T32" s="1">
        <v>9</v>
      </c>
      <c r="V32" s="1" t="str">
        <f>IF([1]TIM!F32="","",[1]TIM!F32)</f>
        <v/>
      </c>
      <c r="W32" s="1" t="str">
        <f t="shared" si="6"/>
        <v/>
      </c>
      <c r="X32" s="1">
        <f t="shared" si="7"/>
        <v>0</v>
      </c>
      <c r="AI32" s="1">
        <f>IF([1]TIM!P32=[1]TIM!P32,[1]TIM!P32,"")</f>
        <v>0</v>
      </c>
      <c r="AJ32" s="1" t="str">
        <f t="shared" si="8"/>
        <v/>
      </c>
      <c r="AK32" s="1" t="str">
        <f t="shared" si="9"/>
        <v>0</v>
      </c>
      <c r="AL32" s="1" t="str">
        <f t="shared" si="10"/>
        <v>0</v>
      </c>
      <c r="AM32" s="1">
        <f t="shared" si="11"/>
        <v>543</v>
      </c>
      <c r="AN32" s="1" t="str">
        <f t="shared" si="12"/>
        <v>/0/543</v>
      </c>
      <c r="AP32" s="1">
        <f>IF([1]TIM!O32=[1]TIM!O32,[1]TIM!O32,"")</f>
        <v>0</v>
      </c>
      <c r="AQ32" s="1" t="str">
        <f t="shared" si="13"/>
        <v/>
      </c>
      <c r="AR32" s="1" t="str">
        <f t="shared" si="14"/>
        <v>0</v>
      </c>
      <c r="AS32" s="1" t="str">
        <f t="shared" si="15"/>
        <v>0</v>
      </c>
      <c r="AT32" s="1">
        <f t="shared" si="16"/>
        <v>543</v>
      </c>
      <c r="AU32" s="1" t="str">
        <f t="shared" si="17"/>
        <v>/0/543</v>
      </c>
    </row>
    <row r="33" spans="2:47" x14ac:dyDescent="0.3">
      <c r="B33" s="5">
        <v>30</v>
      </c>
      <c r="C33" s="6" t="s">
        <v>136</v>
      </c>
      <c r="D33" s="6" t="s">
        <v>139</v>
      </c>
      <c r="E33" s="2"/>
      <c r="F33" s="5">
        <v>31</v>
      </c>
      <c r="G33" s="7" t="s">
        <v>140</v>
      </c>
      <c r="H33" s="7" t="s">
        <v>141</v>
      </c>
      <c r="J33" s="1" t="s">
        <v>142</v>
      </c>
      <c r="K33" s="1" t="str">
        <f t="shared" si="0"/>
        <v>ARGENTINA</v>
      </c>
      <c r="L33" s="1">
        <f t="shared" si="1"/>
        <v>33</v>
      </c>
      <c r="M33" s="1">
        <f t="shared" si="2"/>
        <v>47</v>
      </c>
      <c r="N33" s="1">
        <v>47</v>
      </c>
      <c r="P33" s="1" t="str">
        <f t="shared" si="3"/>
        <v>Japan</v>
      </c>
      <c r="Q33" s="1" t="str">
        <f t="shared" si="18"/>
        <v>FEDERATIVE REPUBLIC OF BRAZIL</v>
      </c>
      <c r="R33" s="1">
        <f t="shared" si="4"/>
        <v>34</v>
      </c>
      <c r="S33" s="1">
        <f t="shared" si="5"/>
        <v>47</v>
      </c>
      <c r="T33" s="1">
        <v>47</v>
      </c>
      <c r="V33" s="1" t="str">
        <f>IF([1]TIM!F33="","",[1]TIM!F33)</f>
        <v/>
      </c>
      <c r="W33" s="1" t="str">
        <f t="shared" si="6"/>
        <v/>
      </c>
      <c r="X33" s="1">
        <f t="shared" si="7"/>
        <v>0</v>
      </c>
      <c r="AI33" s="1">
        <f>IF([1]TIM!P33=[1]TIM!P33,[1]TIM!P33,"")</f>
        <v>0</v>
      </c>
      <c r="AJ33" s="1" t="str">
        <f t="shared" si="8"/>
        <v/>
      </c>
      <c r="AK33" s="1" t="str">
        <f t="shared" si="9"/>
        <v>0</v>
      </c>
      <c r="AL33" s="1" t="str">
        <f t="shared" si="10"/>
        <v>0</v>
      </c>
      <c r="AM33" s="1">
        <f t="shared" si="11"/>
        <v>543</v>
      </c>
      <c r="AN33" s="1" t="str">
        <f t="shared" si="12"/>
        <v>/0/543</v>
      </c>
      <c r="AP33" s="1">
        <f>IF([1]TIM!O33=[1]TIM!O33,[1]TIM!O33,"")</f>
        <v>0</v>
      </c>
      <c r="AQ33" s="1" t="str">
        <f t="shared" si="13"/>
        <v/>
      </c>
      <c r="AR33" s="1" t="str">
        <f t="shared" si="14"/>
        <v>0</v>
      </c>
      <c r="AS33" s="1" t="str">
        <f t="shared" si="15"/>
        <v>0</v>
      </c>
      <c r="AT33" s="1">
        <f t="shared" si="16"/>
        <v>543</v>
      </c>
      <c r="AU33" s="1" t="str">
        <f t="shared" si="17"/>
        <v>/0/543</v>
      </c>
    </row>
    <row r="34" spans="2:47" x14ac:dyDescent="0.3">
      <c r="B34" s="5">
        <v>31</v>
      </c>
      <c r="C34" s="6" t="s">
        <v>143</v>
      </c>
      <c r="D34" s="6" t="s">
        <v>144</v>
      </c>
      <c r="E34" s="2"/>
      <c r="F34" s="5">
        <v>32</v>
      </c>
      <c r="G34" s="7" t="s">
        <v>145</v>
      </c>
      <c r="H34" s="7" t="s">
        <v>146</v>
      </c>
      <c r="J34" s="1" t="s">
        <v>147</v>
      </c>
      <c r="K34" s="1" t="str">
        <f t="shared" si="0"/>
        <v>BRAZIL</v>
      </c>
      <c r="L34" s="1">
        <f t="shared" si="1"/>
        <v>34</v>
      </c>
      <c r="M34" s="1" t="e">
        <f t="shared" si="2"/>
        <v>#N/A</v>
      </c>
      <c r="N34" s="1">
        <v>223</v>
      </c>
      <c r="P34" s="1" t="str">
        <f t="shared" si="3"/>
        <v>Kazakhstan</v>
      </c>
      <c r="Q34" s="1" t="str">
        <f t="shared" si="18"/>
        <v>REPUBLIC OF CHILE</v>
      </c>
      <c r="R34" s="1">
        <f t="shared" si="4"/>
        <v>35</v>
      </c>
      <c r="S34" s="1">
        <f t="shared" si="5"/>
        <v>223</v>
      </c>
      <c r="T34" s="1">
        <v>223</v>
      </c>
      <c r="V34" s="1" t="str">
        <f>IF([1]TIM!F34="","",[1]TIM!F34)</f>
        <v/>
      </c>
      <c r="W34" s="1" t="str">
        <f t="shared" si="6"/>
        <v/>
      </c>
      <c r="X34" s="1">
        <f t="shared" si="7"/>
        <v>0</v>
      </c>
      <c r="AI34" s="1">
        <f>IF([1]TIM!P34=[1]TIM!P34,[1]TIM!P34,"")</f>
        <v>0</v>
      </c>
      <c r="AJ34" s="1" t="str">
        <f t="shared" si="8"/>
        <v/>
      </c>
      <c r="AK34" s="1" t="str">
        <f t="shared" si="9"/>
        <v>0</v>
      </c>
      <c r="AL34" s="1" t="str">
        <f t="shared" si="10"/>
        <v>0</v>
      </c>
      <c r="AM34" s="1">
        <f t="shared" si="11"/>
        <v>543</v>
      </c>
      <c r="AN34" s="1" t="str">
        <f t="shared" si="12"/>
        <v>/0/543</v>
      </c>
      <c r="AP34" s="1">
        <f>IF([1]TIM!O34=[1]TIM!O34,[1]TIM!O34,"")</f>
        <v>0</v>
      </c>
      <c r="AQ34" s="1" t="str">
        <f t="shared" si="13"/>
        <v/>
      </c>
      <c r="AR34" s="1" t="str">
        <f t="shared" si="14"/>
        <v>0</v>
      </c>
      <c r="AS34" s="1" t="str">
        <f t="shared" si="15"/>
        <v>0</v>
      </c>
      <c r="AT34" s="1">
        <f t="shared" si="16"/>
        <v>543</v>
      </c>
      <c r="AU34" s="1" t="str">
        <f t="shared" si="17"/>
        <v>/0/543</v>
      </c>
    </row>
    <row r="35" spans="2:47" x14ac:dyDescent="0.3">
      <c r="B35" s="5">
        <v>32</v>
      </c>
      <c r="C35" s="6" t="s">
        <v>145</v>
      </c>
      <c r="D35" s="6" t="s">
        <v>148</v>
      </c>
      <c r="E35" s="2"/>
      <c r="F35" s="5">
        <v>33</v>
      </c>
      <c r="G35" s="7" t="s">
        <v>149</v>
      </c>
      <c r="H35" s="7" t="s">
        <v>150</v>
      </c>
      <c r="J35" s="1" t="s">
        <v>151</v>
      </c>
      <c r="K35" s="1" t="str">
        <f t="shared" si="0"/>
        <v>CHILE</v>
      </c>
      <c r="L35" s="1">
        <f t="shared" si="1"/>
        <v>35</v>
      </c>
      <c r="M35" s="1" t="e">
        <f t="shared" si="2"/>
        <v>#N/A</v>
      </c>
      <c r="N35" s="1">
        <v>271</v>
      </c>
      <c r="P35" s="1" t="str">
        <f t="shared" si="3"/>
        <v>Kosovan</v>
      </c>
      <c r="Q35" s="1" t="str">
        <f t="shared" si="18"/>
        <v>REPUBLIC OF COLOMBIA</v>
      </c>
      <c r="R35" s="1">
        <f t="shared" si="4"/>
        <v>37</v>
      </c>
      <c r="S35" s="1" t="e">
        <f t="shared" si="5"/>
        <v>#N/A</v>
      </c>
      <c r="T35" s="1">
        <v>271</v>
      </c>
      <c r="V35" s="1" t="str">
        <f>IF([1]TIM!F35="","",[1]TIM!F35)</f>
        <v/>
      </c>
      <c r="W35" s="1" t="str">
        <f t="shared" si="6"/>
        <v/>
      </c>
      <c r="X35" s="1">
        <f t="shared" si="7"/>
        <v>0</v>
      </c>
      <c r="AI35" s="1">
        <f>IF([1]TIM!P35=[1]TIM!P35,[1]TIM!P35,"")</f>
        <v>0</v>
      </c>
      <c r="AJ35" s="1" t="str">
        <f t="shared" si="8"/>
        <v/>
      </c>
      <c r="AK35" s="1" t="str">
        <f t="shared" si="9"/>
        <v>0</v>
      </c>
      <c r="AL35" s="1" t="str">
        <f t="shared" si="10"/>
        <v>0</v>
      </c>
      <c r="AM35" s="1">
        <f t="shared" si="11"/>
        <v>543</v>
      </c>
      <c r="AN35" s="1" t="str">
        <f t="shared" si="12"/>
        <v>/0/543</v>
      </c>
      <c r="AP35" s="1">
        <f>IF([1]TIM!O35=[1]TIM!O35,[1]TIM!O35,"")</f>
        <v>0</v>
      </c>
      <c r="AQ35" s="1" t="str">
        <f t="shared" si="13"/>
        <v/>
      </c>
      <c r="AR35" s="1" t="str">
        <f t="shared" si="14"/>
        <v>0</v>
      </c>
      <c r="AS35" s="1" t="str">
        <f t="shared" si="15"/>
        <v>0</v>
      </c>
      <c r="AT35" s="1">
        <f t="shared" si="16"/>
        <v>543</v>
      </c>
      <c r="AU35" s="1" t="str">
        <f t="shared" si="17"/>
        <v>/0/543</v>
      </c>
    </row>
    <row r="36" spans="2:47" x14ac:dyDescent="0.3">
      <c r="B36" s="5">
        <v>33</v>
      </c>
      <c r="C36" s="6" t="s">
        <v>149</v>
      </c>
      <c r="D36" s="6" t="s">
        <v>152</v>
      </c>
      <c r="E36" s="2"/>
      <c r="F36" s="5">
        <v>34</v>
      </c>
      <c r="G36" s="7" t="s">
        <v>153</v>
      </c>
      <c r="H36" s="7" t="s">
        <v>154</v>
      </c>
      <c r="J36" s="1" t="s">
        <v>155</v>
      </c>
      <c r="K36" s="1" t="str">
        <f t="shared" si="0"/>
        <v>Akha</v>
      </c>
      <c r="L36" s="1">
        <f t="shared" si="1"/>
        <v>36</v>
      </c>
      <c r="M36" s="1" t="e">
        <f t="shared" si="2"/>
        <v>#N/A</v>
      </c>
      <c r="N36" s="1">
        <v>227</v>
      </c>
      <c r="P36" s="1" t="str">
        <f t="shared" si="3"/>
        <v>Kyrgyzstan</v>
      </c>
      <c r="Q36" s="1" t="str">
        <f t="shared" si="18"/>
        <v>REPUBLIC OF PERU</v>
      </c>
      <c r="R36" s="1">
        <f t="shared" si="4"/>
        <v>39</v>
      </c>
      <c r="S36" s="1" t="e">
        <f t="shared" si="5"/>
        <v>#N/A</v>
      </c>
      <c r="T36" s="1">
        <v>227</v>
      </c>
      <c r="V36" s="1" t="str">
        <f>IF([1]TIM!F36="","",[1]TIM!F36)</f>
        <v/>
      </c>
      <c r="W36" s="1" t="str">
        <f t="shared" si="6"/>
        <v/>
      </c>
      <c r="X36" s="1">
        <f t="shared" si="7"/>
        <v>0</v>
      </c>
      <c r="AI36" s="1">
        <f>IF([1]TIM!P36=[1]TIM!P36,[1]TIM!P36,"")</f>
        <v>0</v>
      </c>
      <c r="AJ36" s="1" t="str">
        <f t="shared" si="8"/>
        <v/>
      </c>
      <c r="AK36" s="1" t="str">
        <f t="shared" si="9"/>
        <v>0</v>
      </c>
      <c r="AL36" s="1" t="str">
        <f t="shared" si="10"/>
        <v>0</v>
      </c>
      <c r="AM36" s="1">
        <f t="shared" si="11"/>
        <v>543</v>
      </c>
      <c r="AN36" s="1" t="str">
        <f t="shared" si="12"/>
        <v>/0/543</v>
      </c>
      <c r="AP36" s="1">
        <f>IF([1]TIM!O36=[1]TIM!O36,[1]TIM!O36,"")</f>
        <v>0</v>
      </c>
      <c r="AQ36" s="1" t="str">
        <f t="shared" si="13"/>
        <v/>
      </c>
      <c r="AR36" s="1" t="str">
        <f t="shared" si="14"/>
        <v>0</v>
      </c>
      <c r="AS36" s="1" t="str">
        <f t="shared" si="15"/>
        <v>0</v>
      </c>
      <c r="AT36" s="1">
        <f t="shared" si="16"/>
        <v>543</v>
      </c>
      <c r="AU36" s="1" t="str">
        <f t="shared" si="17"/>
        <v>/0/543</v>
      </c>
    </row>
    <row r="37" spans="2:47" x14ac:dyDescent="0.3">
      <c r="B37" s="5">
        <v>34</v>
      </c>
      <c r="C37" s="6" t="s">
        <v>153</v>
      </c>
      <c r="D37" s="6" t="s">
        <v>156</v>
      </c>
      <c r="E37" s="2"/>
      <c r="F37" s="5">
        <v>35</v>
      </c>
      <c r="G37" s="7" t="s">
        <v>157</v>
      </c>
      <c r="H37" s="7" t="s">
        <v>158</v>
      </c>
      <c r="J37" s="1" t="s">
        <v>159</v>
      </c>
      <c r="K37" s="1" t="str">
        <f t="shared" si="0"/>
        <v>COLOMBIA</v>
      </c>
      <c r="L37" s="1">
        <f t="shared" si="1"/>
        <v>37</v>
      </c>
      <c r="M37" s="1">
        <f t="shared" si="2"/>
        <v>61</v>
      </c>
      <c r="N37" s="1">
        <v>61</v>
      </c>
      <c r="P37" s="1" t="str">
        <f t="shared" si="3"/>
        <v>Lebanon</v>
      </c>
      <c r="Q37" s="1" t="str">
        <f t="shared" si="18"/>
        <v>REPUBLIC OF PANAMA</v>
      </c>
      <c r="R37" s="1">
        <f t="shared" si="4"/>
        <v>40</v>
      </c>
      <c r="S37" s="1">
        <f t="shared" si="5"/>
        <v>61</v>
      </c>
      <c r="T37" s="1">
        <v>61</v>
      </c>
      <c r="V37" s="1" t="str">
        <f>IF([1]TIM!F37="","",[1]TIM!F37)</f>
        <v/>
      </c>
      <c r="W37" s="1" t="str">
        <f t="shared" si="6"/>
        <v/>
      </c>
      <c r="X37" s="1">
        <f t="shared" si="7"/>
        <v>0</v>
      </c>
      <c r="AI37" s="1">
        <f>IF([1]TIM!P37=[1]TIM!P37,[1]TIM!P37,"")</f>
        <v>0</v>
      </c>
      <c r="AJ37" s="1" t="str">
        <f t="shared" si="8"/>
        <v/>
      </c>
      <c r="AK37" s="1" t="str">
        <f t="shared" si="9"/>
        <v>0</v>
      </c>
      <c r="AL37" s="1" t="str">
        <f t="shared" si="10"/>
        <v>0</v>
      </c>
      <c r="AM37" s="1">
        <f t="shared" si="11"/>
        <v>543</v>
      </c>
      <c r="AN37" s="1" t="str">
        <f t="shared" si="12"/>
        <v>/0/543</v>
      </c>
      <c r="AP37" s="1">
        <f>IF([1]TIM!O37=[1]TIM!O37,[1]TIM!O37,"")</f>
        <v>0</v>
      </c>
      <c r="AQ37" s="1" t="str">
        <f t="shared" si="13"/>
        <v/>
      </c>
      <c r="AR37" s="1" t="str">
        <f t="shared" si="14"/>
        <v>0</v>
      </c>
      <c r="AS37" s="1" t="str">
        <f t="shared" si="15"/>
        <v>0</v>
      </c>
      <c r="AT37" s="1">
        <f t="shared" si="16"/>
        <v>543</v>
      </c>
      <c r="AU37" s="1" t="str">
        <f t="shared" si="17"/>
        <v>/0/543</v>
      </c>
    </row>
    <row r="38" spans="2:47" x14ac:dyDescent="0.3">
      <c r="B38" s="5">
        <v>35</v>
      </c>
      <c r="C38" s="6" t="s">
        <v>157</v>
      </c>
      <c r="D38" s="6" t="s">
        <v>160</v>
      </c>
      <c r="E38" s="2"/>
      <c r="F38" s="5">
        <v>37</v>
      </c>
      <c r="G38" s="7" t="s">
        <v>161</v>
      </c>
      <c r="H38" s="7" t="s">
        <v>162</v>
      </c>
      <c r="J38" s="1" t="s">
        <v>163</v>
      </c>
      <c r="K38" s="1" t="str">
        <f t="shared" si="0"/>
        <v>Lua</v>
      </c>
      <c r="L38" s="1">
        <f t="shared" si="1"/>
        <v>38</v>
      </c>
      <c r="M38" s="1">
        <f t="shared" si="2"/>
        <v>238</v>
      </c>
      <c r="N38" s="1">
        <v>238</v>
      </c>
      <c r="P38" s="1" t="str">
        <f t="shared" si="3"/>
        <v>Lithuania</v>
      </c>
      <c r="Q38" s="1" t="str">
        <f t="shared" si="18"/>
        <v>URUGUAY</v>
      </c>
      <c r="R38" s="1">
        <f t="shared" si="4"/>
        <v>41</v>
      </c>
      <c r="S38" s="1">
        <f t="shared" si="5"/>
        <v>238</v>
      </c>
      <c r="T38" s="1">
        <v>238</v>
      </c>
      <c r="V38" s="1" t="str">
        <f>IF([1]TIM!F38="","",[1]TIM!F38)</f>
        <v/>
      </c>
      <c r="W38" s="1" t="str">
        <f t="shared" si="6"/>
        <v/>
      </c>
      <c r="X38" s="1">
        <f t="shared" si="7"/>
        <v>0</v>
      </c>
      <c r="AI38" s="1">
        <f>IF([1]TIM!P38=[1]TIM!P38,[1]TIM!P38,"")</f>
        <v>0</v>
      </c>
      <c r="AJ38" s="1" t="str">
        <f t="shared" si="8"/>
        <v/>
      </c>
      <c r="AK38" s="1" t="str">
        <f t="shared" si="9"/>
        <v>0</v>
      </c>
      <c r="AL38" s="1" t="str">
        <f t="shared" si="10"/>
        <v>0</v>
      </c>
      <c r="AM38" s="1">
        <f t="shared" si="11"/>
        <v>543</v>
      </c>
      <c r="AN38" s="1" t="str">
        <f t="shared" si="12"/>
        <v>/0/543</v>
      </c>
      <c r="AP38" s="1">
        <f>IF([1]TIM!O38=[1]TIM!O38,[1]TIM!O38,"")</f>
        <v>0</v>
      </c>
      <c r="AQ38" s="1" t="str">
        <f t="shared" si="13"/>
        <v/>
      </c>
      <c r="AR38" s="1" t="str">
        <f t="shared" si="14"/>
        <v>0</v>
      </c>
      <c r="AS38" s="1" t="str">
        <f t="shared" si="15"/>
        <v>0</v>
      </c>
      <c r="AT38" s="1">
        <f t="shared" si="16"/>
        <v>543</v>
      </c>
      <c r="AU38" s="1" t="str">
        <f t="shared" si="17"/>
        <v>/0/543</v>
      </c>
    </row>
    <row r="39" spans="2:47" x14ac:dyDescent="0.3">
      <c r="B39" s="5">
        <v>36</v>
      </c>
      <c r="C39" s="6" t="s">
        <v>164</v>
      </c>
      <c r="D39" s="6" t="s">
        <v>165</v>
      </c>
      <c r="E39" s="2"/>
      <c r="F39" s="5">
        <v>39</v>
      </c>
      <c r="G39" s="7" t="s">
        <v>166</v>
      </c>
      <c r="H39" s="7" t="s">
        <v>167</v>
      </c>
      <c r="J39" s="1" t="s">
        <v>168</v>
      </c>
      <c r="K39" s="1" t="str">
        <f t="shared" si="0"/>
        <v>PERU</v>
      </c>
      <c r="L39" s="1">
        <f t="shared" si="1"/>
        <v>39</v>
      </c>
      <c r="M39" s="1">
        <f t="shared" si="2"/>
        <v>22</v>
      </c>
      <c r="N39" s="1">
        <v>22</v>
      </c>
      <c r="P39" s="1" t="str">
        <f t="shared" si="3"/>
        <v>Luxembourg</v>
      </c>
      <c r="Q39" s="1" t="str">
        <f t="shared" si="18"/>
        <v>REPUBLIC OF VENEZUELA</v>
      </c>
      <c r="R39" s="1">
        <f t="shared" si="4"/>
        <v>42</v>
      </c>
      <c r="S39" s="1" t="e">
        <f t="shared" si="5"/>
        <v>#N/A</v>
      </c>
      <c r="T39" s="1">
        <v>22</v>
      </c>
      <c r="V39" s="1" t="str">
        <f>IF([1]TIM!F39="","",[1]TIM!F39)</f>
        <v/>
      </c>
      <c r="W39" s="1" t="str">
        <f t="shared" si="6"/>
        <v/>
      </c>
      <c r="X39" s="1">
        <f t="shared" si="7"/>
        <v>0</v>
      </c>
      <c r="AI39" s="1">
        <f>IF([1]TIM!P39=[1]TIM!P39,[1]TIM!P39,"")</f>
        <v>0</v>
      </c>
      <c r="AJ39" s="1" t="str">
        <f t="shared" si="8"/>
        <v/>
      </c>
      <c r="AK39" s="1" t="str">
        <f t="shared" si="9"/>
        <v>0</v>
      </c>
      <c r="AL39" s="1" t="str">
        <f t="shared" si="10"/>
        <v>0</v>
      </c>
      <c r="AM39" s="1">
        <f t="shared" si="11"/>
        <v>543</v>
      </c>
      <c r="AN39" s="1" t="str">
        <f t="shared" si="12"/>
        <v>/0/543</v>
      </c>
      <c r="AP39" s="1">
        <f>IF([1]TIM!O39=[1]TIM!O39,[1]TIM!O39,"")</f>
        <v>0</v>
      </c>
      <c r="AQ39" s="1" t="str">
        <f t="shared" si="13"/>
        <v/>
      </c>
      <c r="AR39" s="1" t="str">
        <f t="shared" si="14"/>
        <v>0</v>
      </c>
      <c r="AS39" s="1" t="str">
        <f t="shared" si="15"/>
        <v>0</v>
      </c>
      <c r="AT39" s="1">
        <f t="shared" si="16"/>
        <v>543</v>
      </c>
      <c r="AU39" s="1" t="str">
        <f t="shared" si="17"/>
        <v>/0/543</v>
      </c>
    </row>
    <row r="40" spans="2:47" x14ac:dyDescent="0.3">
      <c r="B40" s="5">
        <v>37</v>
      </c>
      <c r="C40" s="6" t="s">
        <v>161</v>
      </c>
      <c r="D40" s="6" t="s">
        <v>169</v>
      </c>
      <c r="E40" s="2"/>
      <c r="F40" s="5">
        <v>40</v>
      </c>
      <c r="G40" s="7" t="s">
        <v>170</v>
      </c>
      <c r="H40" s="7" t="s">
        <v>171</v>
      </c>
      <c r="J40" s="1" t="s">
        <v>172</v>
      </c>
      <c r="K40" s="1" t="str">
        <f t="shared" si="0"/>
        <v>PANAMA</v>
      </c>
      <c r="L40" s="1">
        <f t="shared" si="1"/>
        <v>40</v>
      </c>
      <c r="M40" s="1">
        <f t="shared" si="2"/>
        <v>50</v>
      </c>
      <c r="N40" s="1">
        <v>50</v>
      </c>
      <c r="P40" s="1" t="str">
        <f t="shared" si="3"/>
        <v>Malaysia</v>
      </c>
      <c r="Q40" s="1" t="str">
        <f t="shared" si="18"/>
        <v>PUERTORICO</v>
      </c>
      <c r="R40" s="1">
        <f t="shared" si="4"/>
        <v>43</v>
      </c>
      <c r="S40" s="1">
        <f t="shared" si="5"/>
        <v>50</v>
      </c>
      <c r="T40" s="1">
        <v>50</v>
      </c>
      <c r="V40" s="1" t="str">
        <f>IF([1]TIM!F40="","",[1]TIM!F40)</f>
        <v/>
      </c>
      <c r="W40" s="1" t="str">
        <f t="shared" si="6"/>
        <v/>
      </c>
      <c r="X40" s="1">
        <f t="shared" si="7"/>
        <v>0</v>
      </c>
      <c r="AI40" s="1">
        <f>IF([1]TIM!P40=[1]TIM!P40,[1]TIM!P40,"")</f>
        <v>0</v>
      </c>
      <c r="AJ40" s="1" t="str">
        <f t="shared" si="8"/>
        <v/>
      </c>
      <c r="AK40" s="1" t="str">
        <f t="shared" si="9"/>
        <v>0</v>
      </c>
      <c r="AL40" s="1" t="str">
        <f t="shared" si="10"/>
        <v>0</v>
      </c>
      <c r="AM40" s="1">
        <f t="shared" si="11"/>
        <v>543</v>
      </c>
      <c r="AN40" s="1" t="str">
        <f t="shared" si="12"/>
        <v>/0/543</v>
      </c>
      <c r="AP40" s="1">
        <f>IF([1]TIM!O40=[1]TIM!O40,[1]TIM!O40,"")</f>
        <v>0</v>
      </c>
      <c r="AQ40" s="1" t="str">
        <f t="shared" si="13"/>
        <v/>
      </c>
      <c r="AR40" s="1" t="str">
        <f t="shared" si="14"/>
        <v>0</v>
      </c>
      <c r="AS40" s="1" t="str">
        <f t="shared" si="15"/>
        <v>0</v>
      </c>
      <c r="AT40" s="1">
        <f t="shared" si="16"/>
        <v>543</v>
      </c>
      <c r="AU40" s="1" t="str">
        <f t="shared" si="17"/>
        <v>/0/543</v>
      </c>
    </row>
    <row r="41" spans="2:47" x14ac:dyDescent="0.3">
      <c r="B41" s="5">
        <v>38</v>
      </c>
      <c r="C41" s="6" t="s">
        <v>173</v>
      </c>
      <c r="D41" s="6" t="s">
        <v>174</v>
      </c>
      <c r="E41" s="2"/>
      <c r="F41" s="5">
        <v>41</v>
      </c>
      <c r="G41" s="7" t="s">
        <v>175</v>
      </c>
      <c r="H41" s="7" t="s">
        <v>176</v>
      </c>
      <c r="J41" s="1" t="s">
        <v>177</v>
      </c>
      <c r="K41" s="1" t="str">
        <f t="shared" si="0"/>
        <v>URUGUAY</v>
      </c>
      <c r="L41" s="1">
        <f t="shared" si="1"/>
        <v>41</v>
      </c>
      <c r="M41" s="1">
        <f t="shared" si="2"/>
        <v>153</v>
      </c>
      <c r="N41" s="1">
        <v>153</v>
      </c>
      <c r="P41" s="1" t="str">
        <f t="shared" si="3"/>
        <v>Mauritius</v>
      </c>
      <c r="Q41" s="1" t="str">
        <f t="shared" si="18"/>
        <v>PEOPLE'S REPUBLIC OF CHINA</v>
      </c>
      <c r="R41" s="1">
        <f t="shared" si="4"/>
        <v>44</v>
      </c>
      <c r="S41" s="1">
        <f t="shared" si="5"/>
        <v>153</v>
      </c>
      <c r="T41" s="1">
        <v>153</v>
      </c>
      <c r="V41" s="1" t="str">
        <f>IF([1]TIM!F41="","",[1]TIM!F41)</f>
        <v/>
      </c>
      <c r="W41" s="1" t="str">
        <f t="shared" si="6"/>
        <v/>
      </c>
      <c r="X41" s="1">
        <f t="shared" si="7"/>
        <v>0</v>
      </c>
      <c r="AI41" s="1">
        <f>IF([1]TIM!P41=[1]TIM!P41,[1]TIM!P41,"")</f>
        <v>0</v>
      </c>
      <c r="AJ41" s="1" t="str">
        <f t="shared" si="8"/>
        <v/>
      </c>
      <c r="AK41" s="1" t="str">
        <f t="shared" si="9"/>
        <v>0</v>
      </c>
      <c r="AL41" s="1" t="str">
        <f t="shared" si="10"/>
        <v>0</v>
      </c>
      <c r="AM41" s="1">
        <f t="shared" si="11"/>
        <v>543</v>
      </c>
      <c r="AN41" s="1" t="str">
        <f t="shared" si="12"/>
        <v>/0/543</v>
      </c>
      <c r="AP41" s="1">
        <f>IF([1]TIM!O41=[1]TIM!O41,[1]TIM!O41,"")</f>
        <v>0</v>
      </c>
      <c r="AQ41" s="1" t="str">
        <f t="shared" si="13"/>
        <v/>
      </c>
      <c r="AR41" s="1" t="str">
        <f t="shared" si="14"/>
        <v>0</v>
      </c>
      <c r="AS41" s="1" t="str">
        <f t="shared" si="15"/>
        <v>0</v>
      </c>
      <c r="AT41" s="1">
        <f t="shared" si="16"/>
        <v>543</v>
      </c>
      <c r="AU41" s="1" t="str">
        <f t="shared" si="17"/>
        <v>/0/543</v>
      </c>
    </row>
    <row r="42" spans="2:47" x14ac:dyDescent="0.3">
      <c r="B42" s="5">
        <v>39</v>
      </c>
      <c r="C42" s="6" t="s">
        <v>166</v>
      </c>
      <c r="D42" s="6" t="s">
        <v>178</v>
      </c>
      <c r="E42" s="2"/>
      <c r="F42" s="5">
        <v>42</v>
      </c>
      <c r="G42" s="7" t="s">
        <v>179</v>
      </c>
      <c r="H42" s="7" t="s">
        <v>180</v>
      </c>
      <c r="J42" s="1" t="s">
        <v>181</v>
      </c>
      <c r="K42" s="1" t="str">
        <f t="shared" si="0"/>
        <v>VENEZUELA</v>
      </c>
      <c r="L42" s="1">
        <f t="shared" si="1"/>
        <v>42</v>
      </c>
      <c r="M42" s="1">
        <f t="shared" si="2"/>
        <v>106</v>
      </c>
      <c r="N42" s="1">
        <v>106</v>
      </c>
      <c r="P42" s="1" t="str">
        <f t="shared" si="3"/>
        <v>Mongolia</v>
      </c>
      <c r="Q42" s="1" t="str">
        <f t="shared" si="18"/>
        <v>REPUBLIC OF INDIA</v>
      </c>
      <c r="R42" s="1">
        <f t="shared" si="4"/>
        <v>45</v>
      </c>
      <c r="S42" s="1">
        <f t="shared" si="5"/>
        <v>106</v>
      </c>
      <c r="T42" s="1">
        <v>106</v>
      </c>
      <c r="V42" s="1" t="str">
        <f>IF([1]TIM!F42="","",[1]TIM!F42)</f>
        <v/>
      </c>
      <c r="W42" s="1" t="str">
        <f t="shared" si="6"/>
        <v/>
      </c>
      <c r="X42" s="1">
        <f t="shared" si="7"/>
        <v>0</v>
      </c>
      <c r="AI42" s="1">
        <f>IF([1]TIM!P42=[1]TIM!P42,[1]TIM!P42,"")</f>
        <v>0</v>
      </c>
      <c r="AJ42" s="1" t="str">
        <f t="shared" si="8"/>
        <v/>
      </c>
      <c r="AK42" s="1" t="str">
        <f t="shared" si="9"/>
        <v>0</v>
      </c>
      <c r="AL42" s="1" t="str">
        <f t="shared" si="10"/>
        <v>0</v>
      </c>
      <c r="AM42" s="1">
        <f t="shared" si="11"/>
        <v>543</v>
      </c>
      <c r="AN42" s="1" t="str">
        <f t="shared" si="12"/>
        <v>/0/543</v>
      </c>
      <c r="AP42" s="1">
        <f>IF([1]TIM!O42=[1]TIM!O42,[1]TIM!O42,"")</f>
        <v>0</v>
      </c>
      <c r="AQ42" s="1" t="str">
        <f t="shared" si="13"/>
        <v/>
      </c>
      <c r="AR42" s="1" t="str">
        <f t="shared" si="14"/>
        <v>0</v>
      </c>
      <c r="AS42" s="1" t="str">
        <f t="shared" si="15"/>
        <v>0</v>
      </c>
      <c r="AT42" s="1">
        <f t="shared" si="16"/>
        <v>543</v>
      </c>
      <c r="AU42" s="1" t="str">
        <f t="shared" si="17"/>
        <v>/0/543</v>
      </c>
    </row>
    <row r="43" spans="2:47" x14ac:dyDescent="0.3">
      <c r="B43" s="5">
        <v>40</v>
      </c>
      <c r="C43" s="6" t="s">
        <v>170</v>
      </c>
      <c r="D43" s="6" t="s">
        <v>182</v>
      </c>
      <c r="E43" s="2"/>
      <c r="F43" s="5">
        <v>43</v>
      </c>
      <c r="G43" s="7" t="s">
        <v>183</v>
      </c>
      <c r="H43" s="7" t="s">
        <v>184</v>
      </c>
      <c r="J43" s="1" t="s">
        <v>185</v>
      </c>
      <c r="K43" s="1" t="str">
        <f t="shared" si="0"/>
        <v>CHINESE</v>
      </c>
      <c r="L43" s="1">
        <f t="shared" si="1"/>
        <v>44</v>
      </c>
      <c r="M43" s="1">
        <f>VLOOKUP("*"&amp;J43&amp;"*",$K$2:$L$258,2,FALSE)</f>
        <v>55</v>
      </c>
      <c r="N43" s="1">
        <v>55</v>
      </c>
      <c r="P43" s="1" t="str">
        <f t="shared" si="3"/>
        <v>Nepal</v>
      </c>
      <c r="Q43" s="1" t="str">
        <f t="shared" si="18"/>
        <v>SOCIALIST REPUBLIC OF VIETNAM</v>
      </c>
      <c r="R43" s="1">
        <f t="shared" si="4"/>
        <v>46</v>
      </c>
      <c r="S43" s="1">
        <f t="shared" si="5"/>
        <v>55</v>
      </c>
      <c r="T43" s="1">
        <v>55</v>
      </c>
      <c r="V43" s="1" t="str">
        <f>IF([1]TIM!F43="","",[1]TIM!F43)</f>
        <v/>
      </c>
      <c r="W43" s="1" t="str">
        <f t="shared" si="6"/>
        <v/>
      </c>
      <c r="X43" s="1">
        <f t="shared" si="7"/>
        <v>0</v>
      </c>
      <c r="AI43" s="1">
        <f>IF([1]TIM!P43=[1]TIM!P43,[1]TIM!P43,"")</f>
        <v>0</v>
      </c>
      <c r="AJ43" s="1" t="str">
        <f t="shared" si="8"/>
        <v/>
      </c>
      <c r="AK43" s="1" t="str">
        <f t="shared" si="9"/>
        <v>0</v>
      </c>
      <c r="AL43" s="1" t="str">
        <f t="shared" si="10"/>
        <v>0</v>
      </c>
      <c r="AM43" s="1">
        <f t="shared" si="11"/>
        <v>543</v>
      </c>
      <c r="AN43" s="1" t="str">
        <f t="shared" si="12"/>
        <v>/0/543</v>
      </c>
      <c r="AP43" s="1">
        <f>IF([1]TIM!O43=[1]TIM!O43,[1]TIM!O43,"")</f>
        <v>0</v>
      </c>
      <c r="AQ43" s="1" t="str">
        <f t="shared" si="13"/>
        <v/>
      </c>
      <c r="AR43" s="1" t="str">
        <f t="shared" si="14"/>
        <v>0</v>
      </c>
      <c r="AS43" s="1" t="str">
        <f t="shared" si="15"/>
        <v>0</v>
      </c>
      <c r="AT43" s="1">
        <f t="shared" si="16"/>
        <v>543</v>
      </c>
      <c r="AU43" s="1" t="str">
        <f t="shared" si="17"/>
        <v>/0/543</v>
      </c>
    </row>
    <row r="44" spans="2:47" x14ac:dyDescent="0.3">
      <c r="B44" s="5">
        <v>41</v>
      </c>
      <c r="C44" s="6" t="s">
        <v>175</v>
      </c>
      <c r="D44" s="6" t="s">
        <v>176</v>
      </c>
      <c r="E44" s="2"/>
      <c r="F44" s="5">
        <v>44</v>
      </c>
      <c r="G44" s="7" t="s">
        <v>186</v>
      </c>
      <c r="H44" s="7" t="s">
        <v>187</v>
      </c>
      <c r="J44" s="1" t="s">
        <v>188</v>
      </c>
      <c r="K44" s="1" t="str">
        <f t="shared" si="0"/>
        <v>INDIA</v>
      </c>
      <c r="L44" s="1">
        <f t="shared" si="1"/>
        <v>45</v>
      </c>
      <c r="M44" s="1" t="e">
        <f t="shared" si="2"/>
        <v>#N/A</v>
      </c>
      <c r="N44" s="1">
        <v>3</v>
      </c>
      <c r="P44" s="1" t="str">
        <f t="shared" si="3"/>
        <v>Netherlands</v>
      </c>
      <c r="Q44" s="1" t="str">
        <f t="shared" si="18"/>
        <v>JAPAN</v>
      </c>
      <c r="R44" s="1">
        <f t="shared" si="4"/>
        <v>47</v>
      </c>
      <c r="S44" s="1">
        <f t="shared" si="5"/>
        <v>3</v>
      </c>
      <c r="T44" s="1">
        <v>3</v>
      </c>
      <c r="V44" s="1" t="str">
        <f>IF([1]TIM!F44="","",[1]TIM!F44)</f>
        <v/>
      </c>
      <c r="W44" s="1" t="str">
        <f t="shared" si="6"/>
        <v/>
      </c>
      <c r="X44" s="1">
        <f t="shared" si="7"/>
        <v>0</v>
      </c>
      <c r="AI44" s="1">
        <f>IF([1]TIM!P44=[1]TIM!P44,[1]TIM!P44,"")</f>
        <v>0</v>
      </c>
      <c r="AJ44" s="1" t="str">
        <f t="shared" si="8"/>
        <v/>
      </c>
      <c r="AK44" s="1" t="str">
        <f t="shared" si="9"/>
        <v>0</v>
      </c>
      <c r="AL44" s="1" t="str">
        <f t="shared" si="10"/>
        <v>0</v>
      </c>
      <c r="AM44" s="1">
        <f t="shared" si="11"/>
        <v>543</v>
      </c>
      <c r="AN44" s="1" t="str">
        <f t="shared" si="12"/>
        <v>/0/543</v>
      </c>
      <c r="AP44" s="1">
        <f>IF([1]TIM!O44=[1]TIM!O44,[1]TIM!O44,"")</f>
        <v>0</v>
      </c>
      <c r="AQ44" s="1" t="str">
        <f t="shared" si="13"/>
        <v/>
      </c>
      <c r="AR44" s="1" t="str">
        <f t="shared" si="14"/>
        <v>0</v>
      </c>
      <c r="AS44" s="1" t="str">
        <f t="shared" si="15"/>
        <v>0</v>
      </c>
      <c r="AT44" s="1">
        <f t="shared" si="16"/>
        <v>543</v>
      </c>
      <c r="AU44" s="1" t="str">
        <f t="shared" si="17"/>
        <v>/0/543</v>
      </c>
    </row>
    <row r="45" spans="2:47" x14ac:dyDescent="0.3">
      <c r="B45" s="5">
        <v>42</v>
      </c>
      <c r="C45" s="6" t="s">
        <v>179</v>
      </c>
      <c r="D45" s="6" t="s">
        <v>189</v>
      </c>
      <c r="E45" s="2"/>
      <c r="F45" s="5">
        <v>45</v>
      </c>
      <c r="G45" s="7" t="s">
        <v>190</v>
      </c>
      <c r="H45" s="7" t="s">
        <v>191</v>
      </c>
      <c r="J45" s="1" t="s">
        <v>192</v>
      </c>
      <c r="K45" s="1" t="str">
        <f t="shared" si="0"/>
        <v>VIETNAMESE</v>
      </c>
      <c r="L45" s="1">
        <f t="shared" si="1"/>
        <v>46</v>
      </c>
      <c r="M45" s="1">
        <f t="shared" si="2"/>
        <v>80</v>
      </c>
      <c r="N45" s="1">
        <v>80</v>
      </c>
      <c r="P45" s="1" t="str">
        <f t="shared" si="3"/>
        <v>New Zealand</v>
      </c>
      <c r="Q45" s="1" t="str">
        <f t="shared" si="18"/>
        <v>UNION OF MYANMAR</v>
      </c>
      <c r="R45" s="1">
        <f t="shared" si="4"/>
        <v>48</v>
      </c>
      <c r="S45" s="1">
        <f t="shared" si="5"/>
        <v>80</v>
      </c>
      <c r="T45" s="1">
        <v>80</v>
      </c>
      <c r="V45" s="1" t="str">
        <f>IF([1]TIM!F45="","",[1]TIM!F45)</f>
        <v/>
      </c>
      <c r="W45" s="1" t="str">
        <f t="shared" si="6"/>
        <v/>
      </c>
      <c r="X45" s="1">
        <f t="shared" si="7"/>
        <v>0</v>
      </c>
      <c r="AI45" s="1">
        <f>IF([1]TIM!P45=[1]TIM!P45,[1]TIM!P45,"")</f>
        <v>0</v>
      </c>
      <c r="AJ45" s="1" t="str">
        <f t="shared" si="8"/>
        <v/>
      </c>
      <c r="AK45" s="1" t="str">
        <f t="shared" si="9"/>
        <v>0</v>
      </c>
      <c r="AL45" s="1" t="str">
        <f t="shared" si="10"/>
        <v>0</v>
      </c>
      <c r="AM45" s="1">
        <f t="shared" si="11"/>
        <v>543</v>
      </c>
      <c r="AN45" s="1" t="str">
        <f t="shared" si="12"/>
        <v>/0/543</v>
      </c>
      <c r="AP45" s="1">
        <f>IF([1]TIM!O45=[1]TIM!O45,[1]TIM!O45,"")</f>
        <v>0</v>
      </c>
      <c r="AQ45" s="1" t="str">
        <f t="shared" si="13"/>
        <v/>
      </c>
      <c r="AR45" s="1" t="str">
        <f t="shared" si="14"/>
        <v>0</v>
      </c>
      <c r="AS45" s="1" t="str">
        <f t="shared" si="15"/>
        <v>0</v>
      </c>
      <c r="AT45" s="1">
        <f t="shared" si="16"/>
        <v>543</v>
      </c>
      <c r="AU45" s="1" t="str">
        <f t="shared" si="17"/>
        <v>/0/543</v>
      </c>
    </row>
    <row r="46" spans="2:47" x14ac:dyDescent="0.3">
      <c r="B46" s="5">
        <v>44</v>
      </c>
      <c r="C46" s="6" t="s">
        <v>193</v>
      </c>
      <c r="D46" s="6" t="s">
        <v>194</v>
      </c>
      <c r="E46" s="2"/>
      <c r="F46" s="5">
        <v>46</v>
      </c>
      <c r="G46" s="7" t="s">
        <v>195</v>
      </c>
      <c r="H46" s="7" t="s">
        <v>196</v>
      </c>
      <c r="J46" s="1" t="s">
        <v>197</v>
      </c>
      <c r="K46" s="1" t="str">
        <f t="shared" si="0"/>
        <v>JAPAN</v>
      </c>
      <c r="L46" s="1">
        <f t="shared" si="1"/>
        <v>47</v>
      </c>
      <c r="M46" s="1">
        <f t="shared" si="2"/>
        <v>10</v>
      </c>
      <c r="N46" s="1">
        <v>10</v>
      </c>
      <c r="P46" s="1" t="str">
        <f t="shared" si="3"/>
        <v>Norway</v>
      </c>
      <c r="Q46" s="1" t="str">
        <f t="shared" si="18"/>
        <v>REPUBLIC OF THE PHILIPPINES</v>
      </c>
      <c r="R46" s="1">
        <f t="shared" si="4"/>
        <v>49</v>
      </c>
      <c r="S46" s="1">
        <f t="shared" si="5"/>
        <v>10</v>
      </c>
      <c r="T46" s="1">
        <v>10</v>
      </c>
      <c r="V46" s="1" t="str">
        <f>IF([1]TIM!F46="","",[1]TIM!F46)</f>
        <v/>
      </c>
      <c r="W46" s="1" t="str">
        <f t="shared" si="6"/>
        <v/>
      </c>
      <c r="X46" s="1">
        <f t="shared" si="7"/>
        <v>0</v>
      </c>
      <c r="AI46" s="1">
        <f>IF([1]TIM!P46=[1]TIM!P46,[1]TIM!P46,"")</f>
        <v>0</v>
      </c>
      <c r="AJ46" s="1" t="str">
        <f t="shared" si="8"/>
        <v/>
      </c>
      <c r="AK46" s="1" t="str">
        <f t="shared" si="9"/>
        <v>0</v>
      </c>
      <c r="AL46" s="1" t="str">
        <f t="shared" si="10"/>
        <v>0</v>
      </c>
      <c r="AM46" s="1">
        <f t="shared" si="11"/>
        <v>543</v>
      </c>
      <c r="AN46" s="1" t="str">
        <f t="shared" si="12"/>
        <v>/0/543</v>
      </c>
      <c r="AP46" s="1">
        <f>IF([1]TIM!O46=[1]TIM!O46,[1]TIM!O46,"")</f>
        <v>0</v>
      </c>
      <c r="AQ46" s="1" t="str">
        <f t="shared" si="13"/>
        <v/>
      </c>
      <c r="AR46" s="1" t="str">
        <f t="shared" si="14"/>
        <v>0</v>
      </c>
      <c r="AS46" s="1" t="str">
        <f t="shared" si="15"/>
        <v>0</v>
      </c>
      <c r="AT46" s="1">
        <f t="shared" si="16"/>
        <v>543</v>
      </c>
      <c r="AU46" s="1" t="str">
        <f t="shared" si="17"/>
        <v>/0/543</v>
      </c>
    </row>
    <row r="47" spans="2:47" x14ac:dyDescent="0.3">
      <c r="B47" s="5">
        <v>45</v>
      </c>
      <c r="C47" s="6" t="s">
        <v>190</v>
      </c>
      <c r="D47" s="6" t="s">
        <v>198</v>
      </c>
      <c r="E47" s="2"/>
      <c r="F47" s="5">
        <v>47</v>
      </c>
      <c r="G47" s="7" t="s">
        <v>199</v>
      </c>
      <c r="H47" s="7" t="s">
        <v>200</v>
      </c>
      <c r="J47" s="1" t="s">
        <v>201</v>
      </c>
      <c r="K47" s="1" t="str">
        <f t="shared" si="0"/>
        <v>Myanmar</v>
      </c>
      <c r="L47" s="1">
        <f t="shared" si="1"/>
        <v>48</v>
      </c>
      <c r="M47" s="1" t="e">
        <f t="shared" si="2"/>
        <v>#N/A</v>
      </c>
      <c r="N47" s="1">
        <v>49</v>
      </c>
      <c r="P47" s="1" t="str">
        <f t="shared" si="3"/>
        <v>Philippines</v>
      </c>
      <c r="Q47" s="1" t="str">
        <f t="shared" si="18"/>
        <v>MALAYSIA</v>
      </c>
      <c r="R47" s="1">
        <f t="shared" si="4"/>
        <v>50</v>
      </c>
      <c r="S47" s="1">
        <f t="shared" si="5"/>
        <v>49</v>
      </c>
      <c r="T47" s="1">
        <v>49</v>
      </c>
      <c r="V47" s="1" t="str">
        <f>IF([1]TIM!F47="","",[1]TIM!F47)</f>
        <v/>
      </c>
      <c r="W47" s="1" t="str">
        <f t="shared" si="6"/>
        <v/>
      </c>
      <c r="X47" s="1">
        <f t="shared" si="7"/>
        <v>0</v>
      </c>
      <c r="AI47" s="1">
        <f>IF([1]TIM!P47=[1]TIM!P47,[1]TIM!P47,"")</f>
        <v>0</v>
      </c>
      <c r="AJ47" s="1" t="str">
        <f t="shared" si="8"/>
        <v/>
      </c>
      <c r="AK47" s="1" t="str">
        <f t="shared" si="9"/>
        <v>0</v>
      </c>
      <c r="AL47" s="1" t="str">
        <f t="shared" si="10"/>
        <v>0</v>
      </c>
      <c r="AM47" s="1">
        <f t="shared" si="11"/>
        <v>543</v>
      </c>
      <c r="AN47" s="1" t="str">
        <f t="shared" si="12"/>
        <v>/0/543</v>
      </c>
      <c r="AP47" s="1">
        <f>IF([1]TIM!O47=[1]TIM!O47,[1]TIM!O47,"")</f>
        <v>0</v>
      </c>
      <c r="AQ47" s="1" t="str">
        <f t="shared" si="13"/>
        <v/>
      </c>
      <c r="AR47" s="1" t="str">
        <f t="shared" si="14"/>
        <v>0</v>
      </c>
      <c r="AS47" s="1" t="str">
        <f t="shared" si="15"/>
        <v>0</v>
      </c>
      <c r="AT47" s="1">
        <f t="shared" si="16"/>
        <v>543</v>
      </c>
      <c r="AU47" s="1" t="str">
        <f t="shared" si="17"/>
        <v>/0/543</v>
      </c>
    </row>
    <row r="48" spans="2:47" x14ac:dyDescent="0.3">
      <c r="B48" s="5">
        <v>46</v>
      </c>
      <c r="C48" s="6" t="s">
        <v>195</v>
      </c>
      <c r="D48" s="6" t="s">
        <v>202</v>
      </c>
      <c r="E48" s="2"/>
      <c r="F48" s="5">
        <v>48</v>
      </c>
      <c r="G48" s="7" t="s">
        <v>203</v>
      </c>
      <c r="H48" s="7" t="s">
        <v>204</v>
      </c>
      <c r="J48" s="1" t="s">
        <v>205</v>
      </c>
      <c r="K48" s="1" t="str">
        <f>D51</f>
        <v>PHILIPPINE</v>
      </c>
      <c r="L48" s="1">
        <f t="shared" si="1"/>
        <v>49</v>
      </c>
      <c r="M48" s="1">
        <f t="shared" si="2"/>
        <v>17</v>
      </c>
      <c r="N48" s="1">
        <v>17</v>
      </c>
      <c r="P48" s="1" t="str">
        <f t="shared" si="3"/>
        <v>Poland</v>
      </c>
      <c r="Q48" s="1" t="str">
        <f t="shared" si="18"/>
        <v>REPUBLIC OF INDONESIA</v>
      </c>
      <c r="R48" s="1">
        <f t="shared" si="4"/>
        <v>51</v>
      </c>
      <c r="S48" s="1">
        <f t="shared" si="5"/>
        <v>17</v>
      </c>
      <c r="T48" s="1">
        <v>17</v>
      </c>
      <c r="V48" s="1" t="str">
        <f>IF([1]TIM!F48="","",[1]TIM!F48)</f>
        <v/>
      </c>
      <c r="W48" s="1" t="str">
        <f t="shared" si="6"/>
        <v/>
      </c>
      <c r="X48" s="1">
        <f t="shared" si="7"/>
        <v>0</v>
      </c>
      <c r="AI48" s="1">
        <f>IF([1]TIM!P48=[1]TIM!P48,[1]TIM!P48,"")</f>
        <v>0</v>
      </c>
      <c r="AJ48" s="1" t="str">
        <f t="shared" si="8"/>
        <v/>
      </c>
      <c r="AK48" s="1" t="str">
        <f t="shared" si="9"/>
        <v>0</v>
      </c>
      <c r="AL48" s="1" t="str">
        <f t="shared" si="10"/>
        <v>0</v>
      </c>
      <c r="AM48" s="1">
        <f t="shared" si="11"/>
        <v>543</v>
      </c>
      <c r="AN48" s="1" t="str">
        <f t="shared" si="12"/>
        <v>/0/543</v>
      </c>
      <c r="AP48" s="1">
        <f>IF([1]TIM!O48=[1]TIM!O48,[1]TIM!O48,"")</f>
        <v>0</v>
      </c>
      <c r="AQ48" s="1" t="str">
        <f t="shared" si="13"/>
        <v/>
      </c>
      <c r="AR48" s="1" t="str">
        <f t="shared" si="14"/>
        <v>0</v>
      </c>
      <c r="AS48" s="1" t="str">
        <f t="shared" si="15"/>
        <v>0</v>
      </c>
      <c r="AT48" s="1">
        <f t="shared" si="16"/>
        <v>543</v>
      </c>
      <c r="AU48" s="1" t="str">
        <f t="shared" si="17"/>
        <v>/0/543</v>
      </c>
    </row>
    <row r="49" spans="2:47" x14ac:dyDescent="0.3">
      <c r="B49" s="5">
        <v>47</v>
      </c>
      <c r="C49" s="6" t="s">
        <v>199</v>
      </c>
      <c r="D49" s="6" t="s">
        <v>200</v>
      </c>
      <c r="E49" s="2"/>
      <c r="F49" s="5">
        <v>49</v>
      </c>
      <c r="G49" s="7" t="s">
        <v>206</v>
      </c>
      <c r="H49" s="7" t="s">
        <v>207</v>
      </c>
      <c r="J49" s="1" t="s">
        <v>208</v>
      </c>
      <c r="K49" s="1" t="str">
        <f t="shared" si="0"/>
        <v>MALAYSIAN</v>
      </c>
      <c r="L49" s="1">
        <f t="shared" si="1"/>
        <v>50</v>
      </c>
      <c r="M49" s="1" t="e">
        <f t="shared" si="2"/>
        <v>#N/A</v>
      </c>
      <c r="N49" s="1">
        <v>2</v>
      </c>
      <c r="P49" s="1" t="str">
        <f t="shared" si="3"/>
        <v>Portugal</v>
      </c>
      <c r="Q49" s="1" t="str">
        <f t="shared" si="18"/>
        <v>ISLAMIC REPUBLIC OF PAKISTAN</v>
      </c>
      <c r="R49" s="1">
        <f t="shared" si="4"/>
        <v>52</v>
      </c>
      <c r="S49" s="1">
        <f t="shared" si="5"/>
        <v>2</v>
      </c>
      <c r="T49" s="1">
        <v>2</v>
      </c>
      <c r="V49" s="1" t="str">
        <f>IF([1]TIM!F49="","",[1]TIM!F49)</f>
        <v/>
      </c>
      <c r="W49" s="1" t="str">
        <f t="shared" si="6"/>
        <v/>
      </c>
      <c r="X49" s="1">
        <f t="shared" si="7"/>
        <v>0</v>
      </c>
      <c r="AI49" s="1">
        <f>IF([1]TIM!P49=[1]TIM!P49,[1]TIM!P49,"")</f>
        <v>0</v>
      </c>
      <c r="AJ49" s="1" t="str">
        <f t="shared" si="8"/>
        <v/>
      </c>
      <c r="AK49" s="1" t="str">
        <f t="shared" si="9"/>
        <v>0</v>
      </c>
      <c r="AL49" s="1" t="str">
        <f t="shared" si="10"/>
        <v>0</v>
      </c>
      <c r="AM49" s="1">
        <f t="shared" si="11"/>
        <v>543</v>
      </c>
      <c r="AN49" s="1" t="str">
        <f t="shared" si="12"/>
        <v>/0/543</v>
      </c>
      <c r="AP49" s="1">
        <f>IF([1]TIM!O49=[1]TIM!O49,[1]TIM!O49,"")</f>
        <v>0</v>
      </c>
      <c r="AQ49" s="1" t="str">
        <f t="shared" si="13"/>
        <v/>
      </c>
      <c r="AR49" s="1" t="str">
        <f t="shared" si="14"/>
        <v>0</v>
      </c>
      <c r="AS49" s="1" t="str">
        <f t="shared" si="15"/>
        <v>0</v>
      </c>
      <c r="AT49" s="1">
        <f t="shared" si="16"/>
        <v>543</v>
      </c>
      <c r="AU49" s="1" t="str">
        <f t="shared" si="17"/>
        <v>/0/543</v>
      </c>
    </row>
    <row r="50" spans="2:47" x14ac:dyDescent="0.3">
      <c r="B50" s="5">
        <v>48</v>
      </c>
      <c r="C50" s="6" t="s">
        <v>203</v>
      </c>
      <c r="D50" s="6" t="s">
        <v>209</v>
      </c>
      <c r="E50" s="2"/>
      <c r="F50" s="5">
        <v>50</v>
      </c>
      <c r="G50" s="7" t="s">
        <v>210</v>
      </c>
      <c r="H50" s="7" t="s">
        <v>211</v>
      </c>
      <c r="J50" s="1" t="s">
        <v>212</v>
      </c>
      <c r="K50" s="1" t="str">
        <f t="shared" si="0"/>
        <v>INDONESIA</v>
      </c>
      <c r="L50" s="1">
        <f t="shared" si="1"/>
        <v>51</v>
      </c>
      <c r="M50" s="1">
        <f t="shared" si="2"/>
        <v>27</v>
      </c>
      <c r="N50" s="1">
        <v>27</v>
      </c>
      <c r="P50" s="1" t="str">
        <f t="shared" si="3"/>
        <v>Romania</v>
      </c>
      <c r="Q50" s="1" t="str">
        <f t="shared" si="18"/>
        <v>REPUBLIC OF KOREA</v>
      </c>
      <c r="R50" s="1">
        <f t="shared" si="4"/>
        <v>53</v>
      </c>
      <c r="S50" s="1">
        <f t="shared" si="5"/>
        <v>27</v>
      </c>
      <c r="T50" s="1">
        <v>27</v>
      </c>
      <c r="V50" s="1" t="str">
        <f>IF([1]TIM!F50="","",[1]TIM!F50)</f>
        <v/>
      </c>
      <c r="W50" s="1" t="str">
        <f t="shared" si="6"/>
        <v/>
      </c>
      <c r="X50" s="1">
        <f t="shared" si="7"/>
        <v>0</v>
      </c>
      <c r="AI50" s="1">
        <f>IF([1]TIM!P50=[1]TIM!P50,[1]TIM!P50,"")</f>
        <v>0</v>
      </c>
      <c r="AJ50" s="1" t="str">
        <f t="shared" si="8"/>
        <v/>
      </c>
      <c r="AK50" s="1" t="str">
        <f t="shared" si="9"/>
        <v>0</v>
      </c>
      <c r="AL50" s="1" t="str">
        <f t="shared" si="10"/>
        <v>0</v>
      </c>
      <c r="AM50" s="1">
        <f t="shared" si="11"/>
        <v>543</v>
      </c>
      <c r="AN50" s="1" t="str">
        <f t="shared" si="12"/>
        <v>/0/543</v>
      </c>
      <c r="AP50" s="1">
        <f>IF([1]TIM!O50=[1]TIM!O50,[1]TIM!O50,"")</f>
        <v>0</v>
      </c>
      <c r="AQ50" s="1" t="str">
        <f t="shared" si="13"/>
        <v/>
      </c>
      <c r="AR50" s="1" t="str">
        <f t="shared" si="14"/>
        <v>0</v>
      </c>
      <c r="AS50" s="1" t="str">
        <f t="shared" si="15"/>
        <v>0</v>
      </c>
      <c r="AT50" s="1">
        <f t="shared" si="16"/>
        <v>543</v>
      </c>
      <c r="AU50" s="1" t="str">
        <f t="shared" si="17"/>
        <v>/0/543</v>
      </c>
    </row>
    <row r="51" spans="2:47" x14ac:dyDescent="0.3">
      <c r="B51" s="5">
        <v>49</v>
      </c>
      <c r="C51" s="6" t="s">
        <v>213</v>
      </c>
      <c r="D51" s="6" t="s">
        <v>214</v>
      </c>
      <c r="E51" s="2"/>
      <c r="F51" s="5">
        <v>51</v>
      </c>
      <c r="G51" s="7" t="s">
        <v>215</v>
      </c>
      <c r="H51" s="7" t="s">
        <v>216</v>
      </c>
      <c r="J51" s="1" t="s">
        <v>217</v>
      </c>
      <c r="K51" s="1" t="str">
        <f t="shared" si="0"/>
        <v>PAKISTAN</v>
      </c>
      <c r="L51" s="1">
        <f t="shared" si="1"/>
        <v>52</v>
      </c>
      <c r="M51" s="1">
        <f t="shared" si="2"/>
        <v>16</v>
      </c>
      <c r="N51" s="1">
        <v>16</v>
      </c>
      <c r="P51" s="1" t="str">
        <f t="shared" si="3"/>
        <v>Russia</v>
      </c>
      <c r="Q51" s="1" t="str">
        <f t="shared" si="18"/>
        <v>REPUBLIC OF SINGAPORE</v>
      </c>
      <c r="R51" s="1">
        <f t="shared" si="4"/>
        <v>54</v>
      </c>
      <c r="S51" s="1">
        <f t="shared" si="5"/>
        <v>16</v>
      </c>
      <c r="T51" s="1">
        <v>16</v>
      </c>
      <c r="V51" s="1" t="str">
        <f>IF([1]TIM!F51="","",[1]TIM!F51)</f>
        <v/>
      </c>
      <c r="W51" s="1" t="str">
        <f t="shared" si="6"/>
        <v/>
      </c>
      <c r="X51" s="1">
        <f t="shared" si="7"/>
        <v>0</v>
      </c>
      <c r="AI51" s="1">
        <f>IF([1]TIM!P51=[1]TIM!P51,[1]TIM!P51,"")</f>
        <v>0</v>
      </c>
      <c r="AJ51" s="1" t="str">
        <f t="shared" si="8"/>
        <v/>
      </c>
      <c r="AK51" s="1" t="str">
        <f t="shared" si="9"/>
        <v>0</v>
      </c>
      <c r="AL51" s="1" t="str">
        <f t="shared" si="10"/>
        <v>0</v>
      </c>
      <c r="AM51" s="1">
        <f t="shared" si="11"/>
        <v>543</v>
      </c>
      <c r="AN51" s="1" t="str">
        <f t="shared" si="12"/>
        <v>/0/543</v>
      </c>
      <c r="AP51" s="1">
        <f>IF([1]TIM!O51=[1]TIM!O51,[1]TIM!O51,"")</f>
        <v>0</v>
      </c>
      <c r="AQ51" s="1" t="str">
        <f t="shared" si="13"/>
        <v/>
      </c>
      <c r="AR51" s="1" t="str">
        <f t="shared" si="14"/>
        <v>0</v>
      </c>
      <c r="AS51" s="1" t="str">
        <f t="shared" si="15"/>
        <v>0</v>
      </c>
      <c r="AT51" s="1">
        <f t="shared" si="16"/>
        <v>543</v>
      </c>
      <c r="AU51" s="1" t="str">
        <f t="shared" si="17"/>
        <v>/0/543</v>
      </c>
    </row>
    <row r="52" spans="2:47" x14ac:dyDescent="0.3">
      <c r="B52" s="5">
        <v>50</v>
      </c>
      <c r="C52" s="6" t="s">
        <v>210</v>
      </c>
      <c r="D52" s="6" t="s">
        <v>218</v>
      </c>
      <c r="E52" s="2"/>
      <c r="F52" s="5">
        <v>52</v>
      </c>
      <c r="G52" s="7" t="s">
        <v>219</v>
      </c>
      <c r="H52" s="7" t="s">
        <v>220</v>
      </c>
      <c r="J52" s="1" t="s">
        <v>221</v>
      </c>
      <c r="K52" s="1" t="str">
        <f t="shared" si="0"/>
        <v>THE REPUBLIC OF KOREA</v>
      </c>
      <c r="L52" s="1">
        <f t="shared" si="1"/>
        <v>53</v>
      </c>
      <c r="M52" s="1" t="e">
        <f t="shared" si="2"/>
        <v>#N/A</v>
      </c>
      <c r="N52" s="1">
        <v>5</v>
      </c>
      <c r="P52" s="1" t="str">
        <f t="shared" si="3"/>
        <v>Saint Barthélemy</v>
      </c>
      <c r="Q52" s="1" t="str">
        <f t="shared" si="18"/>
        <v>KINGDOM OF NEPAL</v>
      </c>
      <c r="R52" s="1">
        <f t="shared" si="4"/>
        <v>55</v>
      </c>
      <c r="S52" s="1" t="e">
        <f t="shared" si="5"/>
        <v>#N/A</v>
      </c>
      <c r="T52" s="1">
        <v>5</v>
      </c>
      <c r="V52" s="1" t="str">
        <f>IF([1]TIM!F52="","",[1]TIM!F52)</f>
        <v/>
      </c>
      <c r="W52" s="1" t="str">
        <f t="shared" si="6"/>
        <v/>
      </c>
      <c r="X52" s="1">
        <f t="shared" si="7"/>
        <v>0</v>
      </c>
      <c r="AI52" s="1">
        <f>IF([1]TIM!P52=[1]TIM!P52,[1]TIM!P52,"")</f>
        <v>0</v>
      </c>
      <c r="AJ52" s="1" t="str">
        <f t="shared" si="8"/>
        <v/>
      </c>
      <c r="AK52" s="1" t="str">
        <f t="shared" si="9"/>
        <v>0</v>
      </c>
      <c r="AL52" s="1" t="str">
        <f t="shared" si="10"/>
        <v>0</v>
      </c>
      <c r="AM52" s="1">
        <f t="shared" si="11"/>
        <v>543</v>
      </c>
      <c r="AN52" s="1" t="str">
        <f t="shared" si="12"/>
        <v>/0/543</v>
      </c>
      <c r="AP52" s="1">
        <f>IF([1]TIM!O52=[1]TIM!O52,[1]TIM!O52,"")</f>
        <v>0</v>
      </c>
      <c r="AQ52" s="1" t="str">
        <f t="shared" si="13"/>
        <v/>
      </c>
      <c r="AR52" s="1" t="str">
        <f t="shared" si="14"/>
        <v>0</v>
      </c>
      <c r="AS52" s="1" t="str">
        <f t="shared" si="15"/>
        <v>0</v>
      </c>
      <c r="AT52" s="1">
        <f t="shared" si="16"/>
        <v>543</v>
      </c>
      <c r="AU52" s="1" t="str">
        <f t="shared" si="17"/>
        <v>/0/543</v>
      </c>
    </row>
    <row r="53" spans="2:47" x14ac:dyDescent="0.3">
      <c r="B53" s="5">
        <v>51</v>
      </c>
      <c r="C53" s="6" t="s">
        <v>215</v>
      </c>
      <c r="D53" s="6" t="s">
        <v>222</v>
      </c>
      <c r="E53" s="2"/>
      <c r="F53" s="5">
        <v>53</v>
      </c>
      <c r="G53" s="7" t="s">
        <v>223</v>
      </c>
      <c r="H53" s="7" t="s">
        <v>224</v>
      </c>
      <c r="J53" s="1" t="s">
        <v>225</v>
      </c>
      <c r="K53" s="1" t="str">
        <f t="shared" si="0"/>
        <v>SINGAPORE</v>
      </c>
      <c r="L53" s="1">
        <f t="shared" si="1"/>
        <v>54</v>
      </c>
      <c r="M53" s="1">
        <f t="shared" si="2"/>
        <v>59</v>
      </c>
      <c r="N53" s="1">
        <v>59</v>
      </c>
      <c r="P53" s="1" t="str">
        <f t="shared" si="3"/>
        <v>Saudi Arabia</v>
      </c>
      <c r="Q53" s="1" t="str">
        <f t="shared" si="18"/>
        <v>LAO PEOPLE'S DEMOCRATIC REPUBLIC</v>
      </c>
      <c r="R53" s="1">
        <f t="shared" si="4"/>
        <v>56</v>
      </c>
      <c r="S53" s="1">
        <f t="shared" si="5"/>
        <v>59</v>
      </c>
      <c r="T53" s="1">
        <v>59</v>
      </c>
      <c r="V53" s="1" t="str">
        <f>IF([1]TIM!F53="","",[1]TIM!F53)</f>
        <v/>
      </c>
      <c r="W53" s="1" t="str">
        <f t="shared" si="6"/>
        <v/>
      </c>
      <c r="X53" s="1">
        <f t="shared" si="7"/>
        <v>0</v>
      </c>
      <c r="AI53" s="1">
        <f>IF([1]TIM!P53=[1]TIM!P53,[1]TIM!P53,"")</f>
        <v>0</v>
      </c>
      <c r="AJ53" s="1" t="str">
        <f t="shared" si="8"/>
        <v/>
      </c>
      <c r="AK53" s="1" t="str">
        <f t="shared" si="9"/>
        <v>0</v>
      </c>
      <c r="AL53" s="1" t="str">
        <f t="shared" si="10"/>
        <v>0</v>
      </c>
      <c r="AM53" s="1">
        <f t="shared" si="11"/>
        <v>543</v>
      </c>
      <c r="AN53" s="1" t="str">
        <f t="shared" si="12"/>
        <v>/0/543</v>
      </c>
      <c r="AP53" s="1">
        <f>IF([1]TIM!O53=[1]TIM!O53,[1]TIM!O53,"")</f>
        <v>0</v>
      </c>
      <c r="AQ53" s="1" t="str">
        <f t="shared" si="13"/>
        <v/>
      </c>
      <c r="AR53" s="1" t="str">
        <f t="shared" si="14"/>
        <v>0</v>
      </c>
      <c r="AS53" s="1" t="str">
        <f t="shared" si="15"/>
        <v>0</v>
      </c>
      <c r="AT53" s="1">
        <f t="shared" si="16"/>
        <v>543</v>
      </c>
      <c r="AU53" s="1" t="str">
        <f t="shared" si="17"/>
        <v>/0/543</v>
      </c>
    </row>
    <row r="54" spans="2:47" x14ac:dyDescent="0.3">
      <c r="B54" s="5">
        <v>52</v>
      </c>
      <c r="C54" s="6" t="s">
        <v>219</v>
      </c>
      <c r="D54" s="6" t="s">
        <v>226</v>
      </c>
      <c r="E54" s="2"/>
      <c r="F54" s="5">
        <v>54</v>
      </c>
      <c r="G54" s="7" t="s">
        <v>227</v>
      </c>
      <c r="H54" s="7" t="s">
        <v>228</v>
      </c>
      <c r="J54" s="1" t="s">
        <v>229</v>
      </c>
      <c r="K54" s="1" t="str">
        <f t="shared" si="0"/>
        <v>NEPAL</v>
      </c>
      <c r="L54" s="1">
        <f t="shared" si="1"/>
        <v>55</v>
      </c>
      <c r="M54" s="1">
        <f t="shared" si="2"/>
        <v>263</v>
      </c>
      <c r="N54" s="1">
        <v>263</v>
      </c>
      <c r="P54" s="1" t="str">
        <f t="shared" si="3"/>
        <v>Serbia</v>
      </c>
      <c r="Q54" s="1" t="str">
        <f t="shared" si="18"/>
        <v>KINGDOM OF CAMBODIA</v>
      </c>
      <c r="R54" s="1">
        <f t="shared" si="4"/>
        <v>57</v>
      </c>
      <c r="S54" s="1">
        <f t="shared" si="5"/>
        <v>263</v>
      </c>
      <c r="T54" s="1">
        <v>263</v>
      </c>
      <c r="V54" s="1" t="str">
        <f>IF([1]TIM!F54="","",[1]TIM!F54)</f>
        <v/>
      </c>
      <c r="W54" s="1" t="str">
        <f t="shared" si="6"/>
        <v/>
      </c>
      <c r="X54" s="1">
        <f t="shared" si="7"/>
        <v>0</v>
      </c>
      <c r="AI54" s="1">
        <f>IF([1]TIM!P54=[1]TIM!P54,[1]TIM!P54,"")</f>
        <v>0</v>
      </c>
      <c r="AJ54" s="1" t="str">
        <f t="shared" si="8"/>
        <v/>
      </c>
      <c r="AK54" s="1" t="str">
        <f t="shared" si="9"/>
        <v>0</v>
      </c>
      <c r="AL54" s="1" t="str">
        <f t="shared" si="10"/>
        <v>0</v>
      </c>
      <c r="AM54" s="1">
        <f t="shared" si="11"/>
        <v>543</v>
      </c>
      <c r="AN54" s="1" t="str">
        <f t="shared" si="12"/>
        <v>/0/543</v>
      </c>
      <c r="AP54" s="1">
        <f>IF([1]TIM!O54=[1]TIM!O54,[1]TIM!O54,"")</f>
        <v>0</v>
      </c>
      <c r="AQ54" s="1" t="str">
        <f t="shared" si="13"/>
        <v/>
      </c>
      <c r="AR54" s="1" t="str">
        <f t="shared" si="14"/>
        <v>0</v>
      </c>
      <c r="AS54" s="1" t="str">
        <f t="shared" si="15"/>
        <v>0</v>
      </c>
      <c r="AT54" s="1">
        <f t="shared" si="16"/>
        <v>543</v>
      </c>
      <c r="AU54" s="1" t="str">
        <f t="shared" si="17"/>
        <v>/0/543</v>
      </c>
    </row>
    <row r="55" spans="2:47" x14ac:dyDescent="0.3">
      <c r="B55" s="5">
        <v>53</v>
      </c>
      <c r="C55" s="6" t="s">
        <v>223</v>
      </c>
      <c r="D55" s="6" t="s">
        <v>230</v>
      </c>
      <c r="E55" s="2"/>
      <c r="F55" s="5">
        <v>55</v>
      </c>
      <c r="G55" s="7" t="s">
        <v>231</v>
      </c>
      <c r="H55" s="7" t="s">
        <v>232</v>
      </c>
      <c r="J55" s="1" t="s">
        <v>233</v>
      </c>
      <c r="K55" s="1" t="str">
        <f t="shared" si="0"/>
        <v>LAO</v>
      </c>
      <c r="L55" s="1">
        <f t="shared" si="1"/>
        <v>56</v>
      </c>
      <c r="M55" s="1">
        <f t="shared" si="2"/>
        <v>54</v>
      </c>
      <c r="N55" s="1">
        <v>54</v>
      </c>
      <c r="P55" s="1" t="str">
        <f t="shared" si="3"/>
        <v>Singapore</v>
      </c>
      <c r="Q55" s="1" t="str">
        <f t="shared" si="18"/>
        <v>DEMOCRATIC SOCIALIST REPUBLIC OF SRI LANKA</v>
      </c>
      <c r="R55" s="1">
        <f t="shared" si="4"/>
        <v>58</v>
      </c>
      <c r="S55" s="1">
        <f t="shared" si="5"/>
        <v>54</v>
      </c>
      <c r="T55" s="1">
        <v>54</v>
      </c>
      <c r="V55" s="1" t="str">
        <f>IF([1]TIM!F55="","",[1]TIM!F55)</f>
        <v/>
      </c>
      <c r="W55" s="1" t="str">
        <f t="shared" si="6"/>
        <v/>
      </c>
      <c r="X55" s="1">
        <f t="shared" si="7"/>
        <v>0</v>
      </c>
      <c r="AI55" s="1">
        <f>IF([1]TIM!P55=[1]TIM!P55,[1]TIM!P55,"")</f>
        <v>0</v>
      </c>
      <c r="AJ55" s="1" t="str">
        <f t="shared" si="8"/>
        <v/>
      </c>
      <c r="AK55" s="1" t="str">
        <f t="shared" si="9"/>
        <v>0</v>
      </c>
      <c r="AL55" s="1" t="str">
        <f t="shared" si="10"/>
        <v>0</v>
      </c>
      <c r="AM55" s="1">
        <f t="shared" si="11"/>
        <v>543</v>
      </c>
      <c r="AN55" s="1" t="str">
        <f t="shared" si="12"/>
        <v>/0/543</v>
      </c>
      <c r="AP55" s="1">
        <f>IF([1]TIM!O55=[1]TIM!O55,[1]TIM!O55,"")</f>
        <v>0</v>
      </c>
      <c r="AQ55" s="1" t="str">
        <f t="shared" si="13"/>
        <v/>
      </c>
      <c r="AR55" s="1" t="str">
        <f t="shared" si="14"/>
        <v>0</v>
      </c>
      <c r="AS55" s="1" t="str">
        <f t="shared" si="15"/>
        <v>0</v>
      </c>
      <c r="AT55" s="1">
        <f t="shared" si="16"/>
        <v>543</v>
      </c>
      <c r="AU55" s="1" t="str">
        <f t="shared" si="17"/>
        <v>/0/543</v>
      </c>
    </row>
    <row r="56" spans="2:47" x14ac:dyDescent="0.3">
      <c r="B56" s="5">
        <v>54</v>
      </c>
      <c r="C56" s="6" t="s">
        <v>227</v>
      </c>
      <c r="D56" s="6" t="s">
        <v>234</v>
      </c>
      <c r="E56" s="2"/>
      <c r="F56" s="5">
        <v>56</v>
      </c>
      <c r="G56" s="7" t="s">
        <v>235</v>
      </c>
      <c r="H56" s="7" t="s">
        <v>236</v>
      </c>
      <c r="J56" s="1" t="s">
        <v>237</v>
      </c>
      <c r="K56" s="1" t="str">
        <f t="shared" si="0"/>
        <v>Cambodian</v>
      </c>
      <c r="L56" s="1">
        <f t="shared" si="1"/>
        <v>57</v>
      </c>
      <c r="M56" s="1" t="e">
        <f t="shared" si="2"/>
        <v>#N/A</v>
      </c>
      <c r="N56" s="1">
        <v>241</v>
      </c>
      <c r="P56" s="1" t="str">
        <f t="shared" si="3"/>
        <v>Slovakia</v>
      </c>
      <c r="Q56" s="1" t="str">
        <f t="shared" si="18"/>
        <v>KINGDOM OF SAUDI ARABIA</v>
      </c>
      <c r="R56" s="1">
        <f t="shared" si="4"/>
        <v>59</v>
      </c>
      <c r="S56" s="1" t="e">
        <f t="shared" si="5"/>
        <v>#N/A</v>
      </c>
      <c r="T56" s="1">
        <v>241</v>
      </c>
      <c r="V56" s="1" t="str">
        <f>IF([1]TIM!F56="","",[1]TIM!F56)</f>
        <v/>
      </c>
      <c r="W56" s="1" t="str">
        <f t="shared" si="6"/>
        <v/>
      </c>
      <c r="X56" s="1">
        <f t="shared" si="7"/>
        <v>0</v>
      </c>
      <c r="AI56" s="1">
        <f>IF([1]TIM!P56=[1]TIM!P56,[1]TIM!P56,"")</f>
        <v>0</v>
      </c>
      <c r="AJ56" s="1" t="str">
        <f t="shared" si="8"/>
        <v/>
      </c>
      <c r="AK56" s="1" t="str">
        <f t="shared" si="9"/>
        <v>0</v>
      </c>
      <c r="AL56" s="1" t="str">
        <f t="shared" si="10"/>
        <v>0</v>
      </c>
      <c r="AM56" s="1">
        <f t="shared" si="11"/>
        <v>543</v>
      </c>
      <c r="AN56" s="1" t="str">
        <f t="shared" si="12"/>
        <v>/0/543</v>
      </c>
      <c r="AP56" s="1">
        <f>IF([1]TIM!O56=[1]TIM!O56,[1]TIM!O56,"")</f>
        <v>0</v>
      </c>
      <c r="AQ56" s="1" t="str">
        <f t="shared" si="13"/>
        <v/>
      </c>
      <c r="AR56" s="1" t="str">
        <f t="shared" si="14"/>
        <v>0</v>
      </c>
      <c r="AS56" s="1" t="str">
        <f t="shared" si="15"/>
        <v>0</v>
      </c>
      <c r="AT56" s="1">
        <f t="shared" si="16"/>
        <v>543</v>
      </c>
      <c r="AU56" s="1" t="str">
        <f t="shared" si="17"/>
        <v>/0/543</v>
      </c>
    </row>
    <row r="57" spans="2:47" x14ac:dyDescent="0.3">
      <c r="B57" s="5">
        <v>55</v>
      </c>
      <c r="C57" s="6" t="s">
        <v>231</v>
      </c>
      <c r="D57" s="6" t="s">
        <v>238</v>
      </c>
      <c r="E57" s="2"/>
      <c r="F57" s="5">
        <v>57</v>
      </c>
      <c r="G57" s="7" t="s">
        <v>239</v>
      </c>
      <c r="H57" s="7" t="s">
        <v>240</v>
      </c>
      <c r="J57" s="1" t="s">
        <v>241</v>
      </c>
      <c r="K57" s="1" t="str">
        <f t="shared" si="0"/>
        <v>SRI LANKA</v>
      </c>
      <c r="L57" s="1">
        <f t="shared" si="1"/>
        <v>58</v>
      </c>
      <c r="M57" s="1">
        <f t="shared" si="2"/>
        <v>70</v>
      </c>
      <c r="N57" s="1">
        <v>70</v>
      </c>
      <c r="P57" s="1" t="str">
        <f t="shared" si="3"/>
        <v>South Africa</v>
      </c>
      <c r="Q57" s="1" t="str">
        <f t="shared" si="18"/>
        <v>STATE OF ISRAEL</v>
      </c>
      <c r="R57" s="1">
        <f t="shared" si="4"/>
        <v>60</v>
      </c>
      <c r="S57" s="1">
        <f t="shared" si="5"/>
        <v>70</v>
      </c>
      <c r="T57" s="1">
        <v>70</v>
      </c>
      <c r="V57" s="1" t="str">
        <f>IF([1]TIM!F57="","",[1]TIM!F57)</f>
        <v/>
      </c>
      <c r="W57" s="1" t="str">
        <f t="shared" si="6"/>
        <v/>
      </c>
      <c r="X57" s="1">
        <f t="shared" si="7"/>
        <v>0</v>
      </c>
      <c r="AI57" s="1">
        <f>IF([1]TIM!P57=[1]TIM!P57,[1]TIM!P57,"")</f>
        <v>0</v>
      </c>
      <c r="AJ57" s="1" t="str">
        <f t="shared" si="8"/>
        <v/>
      </c>
      <c r="AK57" s="1" t="str">
        <f t="shared" si="9"/>
        <v>0</v>
      </c>
      <c r="AL57" s="1" t="str">
        <f t="shared" si="10"/>
        <v>0</v>
      </c>
      <c r="AM57" s="1">
        <f t="shared" si="11"/>
        <v>543</v>
      </c>
      <c r="AN57" s="1" t="str">
        <f t="shared" si="12"/>
        <v>/0/543</v>
      </c>
      <c r="AP57" s="1">
        <f>IF([1]TIM!O57=[1]TIM!O57,[1]TIM!O57,"")</f>
        <v>0</v>
      </c>
      <c r="AQ57" s="1" t="str">
        <f t="shared" si="13"/>
        <v/>
      </c>
      <c r="AR57" s="1" t="str">
        <f t="shared" si="14"/>
        <v>0</v>
      </c>
      <c r="AS57" s="1" t="str">
        <f t="shared" si="15"/>
        <v>0</v>
      </c>
      <c r="AT57" s="1">
        <f t="shared" si="16"/>
        <v>543</v>
      </c>
      <c r="AU57" s="1" t="str">
        <f t="shared" si="17"/>
        <v>/0/543</v>
      </c>
    </row>
    <row r="58" spans="2:47" x14ac:dyDescent="0.3">
      <c r="B58" s="5">
        <v>56</v>
      </c>
      <c r="C58" s="6" t="s">
        <v>235</v>
      </c>
      <c r="D58" s="6" t="s">
        <v>242</v>
      </c>
      <c r="E58" s="2"/>
      <c r="F58" s="5">
        <v>58</v>
      </c>
      <c r="G58" s="7" t="s">
        <v>243</v>
      </c>
      <c r="H58" s="7" t="s">
        <v>244</v>
      </c>
      <c r="J58" s="1" t="s">
        <v>245</v>
      </c>
      <c r="K58" s="1" t="str">
        <f t="shared" si="0"/>
        <v>SAUDI ARABIAN</v>
      </c>
      <c r="L58" s="1">
        <f t="shared" si="1"/>
        <v>59</v>
      </c>
      <c r="M58" s="1" t="e">
        <f t="shared" si="2"/>
        <v>#N/A</v>
      </c>
      <c r="N58" s="1">
        <v>53</v>
      </c>
      <c r="P58" s="1" t="str">
        <f t="shared" si="3"/>
        <v>South Korea</v>
      </c>
      <c r="Q58" s="1" t="str">
        <f t="shared" si="18"/>
        <v>REPUBLIC OF LEBANON</v>
      </c>
      <c r="R58" s="1">
        <f t="shared" si="4"/>
        <v>61</v>
      </c>
      <c r="S58" s="1" t="e">
        <f t="shared" si="5"/>
        <v>#N/A</v>
      </c>
      <c r="T58" s="1">
        <v>53</v>
      </c>
      <c r="V58" s="1" t="str">
        <f>IF([1]TIM!F58="","",[1]TIM!F58)</f>
        <v/>
      </c>
      <c r="W58" s="1" t="str">
        <f t="shared" si="6"/>
        <v/>
      </c>
      <c r="X58" s="1">
        <f t="shared" si="7"/>
        <v>0</v>
      </c>
      <c r="AI58" s="1">
        <f>IF([1]TIM!P58=[1]TIM!P58,[1]TIM!P58,"")</f>
        <v>0</v>
      </c>
      <c r="AJ58" s="1" t="str">
        <f t="shared" si="8"/>
        <v/>
      </c>
      <c r="AK58" s="1" t="str">
        <f t="shared" si="9"/>
        <v>0</v>
      </c>
      <c r="AL58" s="1" t="str">
        <f t="shared" si="10"/>
        <v>0</v>
      </c>
      <c r="AM58" s="1">
        <f t="shared" si="11"/>
        <v>543</v>
      </c>
      <c r="AN58" s="1" t="str">
        <f t="shared" si="12"/>
        <v>/0/543</v>
      </c>
      <c r="AP58" s="1">
        <f>IF([1]TIM!O58=[1]TIM!O58,[1]TIM!O58,"")</f>
        <v>0</v>
      </c>
      <c r="AQ58" s="1" t="str">
        <f t="shared" si="13"/>
        <v/>
      </c>
      <c r="AR58" s="1" t="str">
        <f t="shared" si="14"/>
        <v>0</v>
      </c>
      <c r="AS58" s="1" t="str">
        <f t="shared" si="15"/>
        <v>0</v>
      </c>
      <c r="AT58" s="1">
        <f t="shared" si="16"/>
        <v>543</v>
      </c>
      <c r="AU58" s="1" t="str">
        <f t="shared" si="17"/>
        <v>/0/543</v>
      </c>
    </row>
    <row r="59" spans="2:47" x14ac:dyDescent="0.3">
      <c r="B59" s="5">
        <v>57</v>
      </c>
      <c r="C59" s="6" t="s">
        <v>239</v>
      </c>
      <c r="D59" s="6" t="s">
        <v>246</v>
      </c>
      <c r="E59" s="2"/>
      <c r="F59" s="5">
        <v>59</v>
      </c>
      <c r="G59" s="7" t="s">
        <v>247</v>
      </c>
      <c r="H59" s="7" t="s">
        <v>248</v>
      </c>
      <c r="J59" s="1" t="s">
        <v>249</v>
      </c>
      <c r="K59" s="1" t="str">
        <f t="shared" si="0"/>
        <v>ISRAEL</v>
      </c>
      <c r="L59" s="1">
        <f t="shared" si="1"/>
        <v>60</v>
      </c>
      <c r="M59" s="1">
        <f t="shared" si="2"/>
        <v>15</v>
      </c>
      <c r="N59" s="1">
        <v>15</v>
      </c>
      <c r="P59" s="1" t="str">
        <f t="shared" si="3"/>
        <v>Spain</v>
      </c>
      <c r="Q59" s="1" t="str">
        <f t="shared" si="18"/>
        <v>ISLAMIC REPUBLIC OF IRAN</v>
      </c>
      <c r="R59" s="1">
        <f t="shared" si="4"/>
        <v>62</v>
      </c>
      <c r="S59" s="1">
        <f t="shared" si="5"/>
        <v>15</v>
      </c>
      <c r="T59" s="1">
        <v>15</v>
      </c>
      <c r="V59" s="1" t="str">
        <f>IF([1]TIM!F59="","",[1]TIM!F59)</f>
        <v/>
      </c>
      <c r="W59" s="1" t="str">
        <f t="shared" si="6"/>
        <v/>
      </c>
      <c r="X59" s="1">
        <f t="shared" si="7"/>
        <v>0</v>
      </c>
      <c r="AI59" s="1">
        <f>IF([1]TIM!P59=[1]TIM!P59,[1]TIM!P59,"")</f>
        <v>0</v>
      </c>
      <c r="AJ59" s="1" t="str">
        <f t="shared" si="8"/>
        <v/>
      </c>
      <c r="AK59" s="1" t="str">
        <f t="shared" si="9"/>
        <v>0</v>
      </c>
      <c r="AL59" s="1" t="str">
        <f t="shared" si="10"/>
        <v>0</v>
      </c>
      <c r="AM59" s="1">
        <f t="shared" si="11"/>
        <v>543</v>
      </c>
      <c r="AN59" s="1" t="str">
        <f t="shared" si="12"/>
        <v>/0/543</v>
      </c>
      <c r="AP59" s="1">
        <f>IF([1]TIM!O59=[1]TIM!O59,[1]TIM!O59,"")</f>
        <v>0</v>
      </c>
      <c r="AQ59" s="1" t="str">
        <f t="shared" si="13"/>
        <v/>
      </c>
      <c r="AR59" s="1" t="str">
        <f t="shared" si="14"/>
        <v>0</v>
      </c>
      <c r="AS59" s="1" t="str">
        <f t="shared" si="15"/>
        <v>0</v>
      </c>
      <c r="AT59" s="1">
        <f t="shared" si="16"/>
        <v>543</v>
      </c>
      <c r="AU59" s="1" t="str">
        <f t="shared" si="17"/>
        <v>/0/543</v>
      </c>
    </row>
    <row r="60" spans="2:47" x14ac:dyDescent="0.3">
      <c r="B60" s="5">
        <v>58</v>
      </c>
      <c r="C60" s="6" t="s">
        <v>243</v>
      </c>
      <c r="D60" s="6" t="s">
        <v>250</v>
      </c>
      <c r="E60" s="2"/>
      <c r="F60" s="5">
        <v>60</v>
      </c>
      <c r="G60" s="7" t="s">
        <v>251</v>
      </c>
      <c r="H60" s="7" t="s">
        <v>252</v>
      </c>
      <c r="J60" s="1" t="s">
        <v>253</v>
      </c>
      <c r="K60" s="1" t="str">
        <f t="shared" si="0"/>
        <v>LEBANON</v>
      </c>
      <c r="L60" s="1">
        <f t="shared" si="1"/>
        <v>61</v>
      </c>
      <c r="M60" s="1">
        <f t="shared" si="2"/>
        <v>58</v>
      </c>
      <c r="N60" s="1">
        <v>58</v>
      </c>
      <c r="P60" s="1" t="str">
        <f t="shared" si="3"/>
        <v>Sri Lanka</v>
      </c>
      <c r="Q60" s="1" t="str">
        <f t="shared" si="18"/>
        <v>REPUBLIC OF TURKEY</v>
      </c>
      <c r="R60" s="1">
        <f t="shared" si="4"/>
        <v>63</v>
      </c>
      <c r="S60" s="1">
        <f t="shared" si="5"/>
        <v>58</v>
      </c>
      <c r="T60" s="1">
        <v>58</v>
      </c>
      <c r="V60" s="1" t="str">
        <f>IF([1]TIM!F60="","",[1]TIM!F60)</f>
        <v/>
      </c>
      <c r="W60" s="1" t="str">
        <f t="shared" si="6"/>
        <v/>
      </c>
      <c r="X60" s="1">
        <f t="shared" si="7"/>
        <v>0</v>
      </c>
      <c r="AI60" s="1">
        <f>IF([1]TIM!P60=[1]TIM!P60,[1]TIM!P60,"")</f>
        <v>0</v>
      </c>
      <c r="AJ60" s="1" t="str">
        <f t="shared" si="8"/>
        <v/>
      </c>
      <c r="AK60" s="1" t="str">
        <f t="shared" si="9"/>
        <v>0</v>
      </c>
      <c r="AL60" s="1" t="str">
        <f t="shared" si="10"/>
        <v>0</v>
      </c>
      <c r="AM60" s="1">
        <f t="shared" si="11"/>
        <v>543</v>
      </c>
      <c r="AN60" s="1" t="str">
        <f t="shared" si="12"/>
        <v>/0/543</v>
      </c>
      <c r="AP60" s="1">
        <f>IF([1]TIM!O60=[1]TIM!O60,[1]TIM!O60,"")</f>
        <v>0</v>
      </c>
      <c r="AQ60" s="1" t="str">
        <f t="shared" si="13"/>
        <v/>
      </c>
      <c r="AR60" s="1" t="str">
        <f t="shared" si="14"/>
        <v>0</v>
      </c>
      <c r="AS60" s="1" t="str">
        <f t="shared" si="15"/>
        <v>0</v>
      </c>
      <c r="AT60" s="1">
        <f t="shared" si="16"/>
        <v>543</v>
      </c>
      <c r="AU60" s="1" t="str">
        <f t="shared" si="17"/>
        <v>/0/543</v>
      </c>
    </row>
    <row r="61" spans="2:47" x14ac:dyDescent="0.3">
      <c r="B61" s="5">
        <v>59</v>
      </c>
      <c r="C61" s="6" t="s">
        <v>247</v>
      </c>
      <c r="D61" s="6" t="s">
        <v>254</v>
      </c>
      <c r="E61" s="2"/>
      <c r="F61" s="5">
        <v>61</v>
      </c>
      <c r="G61" s="7" t="s">
        <v>255</v>
      </c>
      <c r="H61" s="7" t="s">
        <v>256</v>
      </c>
      <c r="J61" s="1" t="s">
        <v>257</v>
      </c>
      <c r="K61" s="1" t="str">
        <f t="shared" si="0"/>
        <v>IRAN</v>
      </c>
      <c r="L61" s="1">
        <f t="shared" si="1"/>
        <v>62</v>
      </c>
      <c r="M61" s="1">
        <f t="shared" si="2"/>
        <v>7</v>
      </c>
      <c r="N61" s="1">
        <v>7</v>
      </c>
      <c r="P61" s="1" t="str">
        <f t="shared" si="3"/>
        <v>Sweden</v>
      </c>
      <c r="Q61" s="1" t="str">
        <f t="shared" si="18"/>
        <v>PEOPLE'S REPUBLIC OF BANGLADESH</v>
      </c>
      <c r="R61" s="1">
        <f t="shared" si="4"/>
        <v>64</v>
      </c>
      <c r="S61" s="1">
        <f t="shared" si="5"/>
        <v>7</v>
      </c>
      <c r="T61" s="1">
        <v>7</v>
      </c>
      <c r="V61" s="1" t="str">
        <f>IF([1]TIM!F61="","",[1]TIM!F61)</f>
        <v/>
      </c>
      <c r="W61" s="1" t="str">
        <f t="shared" si="6"/>
        <v/>
      </c>
      <c r="X61" s="1">
        <f t="shared" si="7"/>
        <v>0</v>
      </c>
      <c r="AI61" s="1">
        <f>IF([1]TIM!P61=[1]TIM!P61,[1]TIM!P61,"")</f>
        <v>0</v>
      </c>
      <c r="AJ61" s="1" t="str">
        <f t="shared" si="8"/>
        <v/>
      </c>
      <c r="AK61" s="1" t="str">
        <f t="shared" si="9"/>
        <v>0</v>
      </c>
      <c r="AL61" s="1" t="str">
        <f t="shared" si="10"/>
        <v>0</v>
      </c>
      <c r="AM61" s="1">
        <f t="shared" si="11"/>
        <v>543</v>
      </c>
      <c r="AN61" s="1" t="str">
        <f t="shared" si="12"/>
        <v>/0/543</v>
      </c>
      <c r="AP61" s="1">
        <f>IF([1]TIM!O61=[1]TIM!O61,[1]TIM!O61,"")</f>
        <v>0</v>
      </c>
      <c r="AQ61" s="1" t="str">
        <f t="shared" si="13"/>
        <v/>
      </c>
      <c r="AR61" s="1" t="str">
        <f t="shared" si="14"/>
        <v>0</v>
      </c>
      <c r="AS61" s="1" t="str">
        <f t="shared" si="15"/>
        <v>0</v>
      </c>
      <c r="AT61" s="1">
        <f t="shared" si="16"/>
        <v>543</v>
      </c>
      <c r="AU61" s="1" t="str">
        <f t="shared" si="17"/>
        <v>/0/543</v>
      </c>
    </row>
    <row r="62" spans="2:47" x14ac:dyDescent="0.3">
      <c r="B62" s="5">
        <v>60</v>
      </c>
      <c r="C62" s="6" t="s">
        <v>251</v>
      </c>
      <c r="D62" s="6" t="s">
        <v>258</v>
      </c>
      <c r="E62" s="2"/>
      <c r="F62" s="5">
        <v>62</v>
      </c>
      <c r="G62" s="7" t="s">
        <v>259</v>
      </c>
      <c r="H62" s="7" t="s">
        <v>260</v>
      </c>
      <c r="J62" s="1" t="s">
        <v>261</v>
      </c>
      <c r="K62" s="1" t="str">
        <f t="shared" si="0"/>
        <v>TURKEY</v>
      </c>
      <c r="L62" s="1">
        <f t="shared" si="1"/>
        <v>63</v>
      </c>
      <c r="M62" s="1" t="e">
        <f t="shared" si="2"/>
        <v>#N/A</v>
      </c>
      <c r="N62" s="1">
        <v>8</v>
      </c>
      <c r="P62" s="1" t="str">
        <f t="shared" si="3"/>
        <v>Switzerland</v>
      </c>
      <c r="Q62" s="1" t="str">
        <f t="shared" si="18"/>
        <v>SYRIAN ARAB REPUBLIC</v>
      </c>
      <c r="R62" s="1">
        <f t="shared" si="4"/>
        <v>66</v>
      </c>
      <c r="S62" s="1" t="e">
        <f t="shared" si="5"/>
        <v>#N/A</v>
      </c>
      <c r="T62" s="1">
        <v>8</v>
      </c>
      <c r="V62" s="1" t="str">
        <f>IF([1]TIM!F62="","",[1]TIM!F62)</f>
        <v/>
      </c>
      <c r="W62" s="1" t="str">
        <f t="shared" si="6"/>
        <v/>
      </c>
      <c r="X62" s="1">
        <f t="shared" si="7"/>
        <v>0</v>
      </c>
      <c r="AI62" s="1">
        <f>IF([1]TIM!P62=[1]TIM!P62,[1]TIM!P62,"")</f>
        <v>0</v>
      </c>
      <c r="AJ62" s="1" t="str">
        <f t="shared" si="8"/>
        <v/>
      </c>
      <c r="AK62" s="1" t="str">
        <f t="shared" si="9"/>
        <v>0</v>
      </c>
      <c r="AL62" s="1" t="str">
        <f t="shared" si="10"/>
        <v>0</v>
      </c>
      <c r="AM62" s="1">
        <f t="shared" si="11"/>
        <v>543</v>
      </c>
      <c r="AN62" s="1" t="str">
        <f t="shared" si="12"/>
        <v>/0/543</v>
      </c>
      <c r="AP62" s="1">
        <f>IF([1]TIM!O62=[1]TIM!O62,[1]TIM!O62,"")</f>
        <v>0</v>
      </c>
      <c r="AQ62" s="1" t="str">
        <f t="shared" si="13"/>
        <v/>
      </c>
      <c r="AR62" s="1" t="str">
        <f t="shared" si="14"/>
        <v>0</v>
      </c>
      <c r="AS62" s="1" t="str">
        <f t="shared" si="15"/>
        <v>0</v>
      </c>
      <c r="AT62" s="1">
        <f t="shared" si="16"/>
        <v>543</v>
      </c>
      <c r="AU62" s="1" t="str">
        <f t="shared" si="17"/>
        <v>/0/543</v>
      </c>
    </row>
    <row r="63" spans="2:47" x14ac:dyDescent="0.3">
      <c r="B63" s="5">
        <v>61</v>
      </c>
      <c r="C63" s="6" t="s">
        <v>255</v>
      </c>
      <c r="D63" s="6" t="s">
        <v>262</v>
      </c>
      <c r="E63" s="2"/>
      <c r="F63" s="5">
        <v>63</v>
      </c>
      <c r="G63" s="7" t="s">
        <v>263</v>
      </c>
      <c r="H63" s="7" t="s">
        <v>264</v>
      </c>
      <c r="J63" s="1" t="s">
        <v>265</v>
      </c>
      <c r="K63" s="1" t="str">
        <f t="shared" si="0"/>
        <v>BANGLADESH</v>
      </c>
      <c r="L63" s="1">
        <f t="shared" si="1"/>
        <v>64</v>
      </c>
      <c r="M63" s="1">
        <f t="shared" si="2"/>
        <v>66</v>
      </c>
      <c r="N63" s="1">
        <v>66</v>
      </c>
      <c r="P63" s="1" t="str">
        <f t="shared" si="3"/>
        <v>Syria</v>
      </c>
      <c r="Q63" s="1" t="str">
        <f t="shared" si="18"/>
        <v>REPUBLIC OF IRAQ</v>
      </c>
      <c r="R63" s="1">
        <f t="shared" si="4"/>
        <v>67</v>
      </c>
      <c r="S63" s="1">
        <f t="shared" si="5"/>
        <v>66</v>
      </c>
      <c r="T63" s="1">
        <v>66</v>
      </c>
      <c r="V63" s="1" t="str">
        <f>IF([1]TIM!F63="","",[1]TIM!F63)</f>
        <v/>
      </c>
      <c r="W63" s="1" t="str">
        <f t="shared" si="6"/>
        <v/>
      </c>
      <c r="X63" s="1">
        <f t="shared" si="7"/>
        <v>0</v>
      </c>
      <c r="AI63" s="1">
        <f>IF([1]TIM!P63=[1]TIM!P63,[1]TIM!P63,"")</f>
        <v>0</v>
      </c>
      <c r="AJ63" s="1" t="str">
        <f t="shared" si="8"/>
        <v/>
      </c>
      <c r="AK63" s="1" t="str">
        <f t="shared" si="9"/>
        <v>0</v>
      </c>
      <c r="AL63" s="1" t="str">
        <f t="shared" si="10"/>
        <v>0</v>
      </c>
      <c r="AM63" s="1">
        <f t="shared" si="11"/>
        <v>543</v>
      </c>
      <c r="AN63" s="1" t="str">
        <f t="shared" si="12"/>
        <v>/0/543</v>
      </c>
      <c r="AP63" s="1">
        <f>IF([1]TIM!O63=[1]TIM!O63,[1]TIM!O63,"")</f>
        <v>0</v>
      </c>
      <c r="AQ63" s="1" t="str">
        <f t="shared" si="13"/>
        <v/>
      </c>
      <c r="AR63" s="1" t="str">
        <f t="shared" si="14"/>
        <v>0</v>
      </c>
      <c r="AS63" s="1" t="str">
        <f t="shared" si="15"/>
        <v>0</v>
      </c>
      <c r="AT63" s="1">
        <f t="shared" si="16"/>
        <v>543</v>
      </c>
      <c r="AU63" s="1" t="str">
        <f t="shared" si="17"/>
        <v>/0/543</v>
      </c>
    </row>
    <row r="64" spans="2:47" x14ac:dyDescent="0.3">
      <c r="B64" s="5">
        <v>62</v>
      </c>
      <c r="C64" s="6" t="s">
        <v>259</v>
      </c>
      <c r="D64" s="6" t="s">
        <v>266</v>
      </c>
      <c r="E64" s="2"/>
      <c r="F64" s="5">
        <v>64</v>
      </c>
      <c r="G64" s="7" t="s">
        <v>267</v>
      </c>
      <c r="H64" s="7" t="s">
        <v>268</v>
      </c>
      <c r="J64" s="1" t="s">
        <v>269</v>
      </c>
      <c r="K64" s="1" t="str">
        <f t="shared" si="0"/>
        <v xml:space="preserve"> </v>
      </c>
      <c r="L64" s="1">
        <f t="shared" si="1"/>
        <v>65</v>
      </c>
      <c r="M64" s="1" t="e">
        <f t="shared" si="2"/>
        <v>#N/A</v>
      </c>
      <c r="N64" s="1">
        <v>220</v>
      </c>
      <c r="P64" s="1" t="str">
        <f t="shared" si="3"/>
        <v>Taiwan (Chinese Taipei)</v>
      </c>
      <c r="Q64" s="1" t="str">
        <f t="shared" si="18"/>
        <v>STATE OF KUWAIT</v>
      </c>
      <c r="R64" s="1">
        <f t="shared" si="4"/>
        <v>68</v>
      </c>
      <c r="S64" s="1" t="e">
        <f t="shared" si="5"/>
        <v>#N/A</v>
      </c>
      <c r="T64" s="1">
        <v>220</v>
      </c>
      <c r="V64" s="1" t="str">
        <f>IF([1]TIM!F64="","",[1]TIM!F64)</f>
        <v/>
      </c>
      <c r="W64" s="1" t="str">
        <f t="shared" si="6"/>
        <v/>
      </c>
      <c r="X64" s="1">
        <f t="shared" si="7"/>
        <v>0</v>
      </c>
      <c r="AI64" s="1">
        <f>IF([1]TIM!P64=[1]TIM!P64,[1]TIM!P64,"")</f>
        <v>0</v>
      </c>
      <c r="AJ64" s="1" t="str">
        <f t="shared" si="8"/>
        <v/>
      </c>
      <c r="AK64" s="1" t="str">
        <f t="shared" si="9"/>
        <v>0</v>
      </c>
      <c r="AL64" s="1" t="str">
        <f t="shared" si="10"/>
        <v>0</v>
      </c>
      <c r="AM64" s="1">
        <f t="shared" si="11"/>
        <v>543</v>
      </c>
      <c r="AN64" s="1" t="str">
        <f t="shared" si="12"/>
        <v>/0/543</v>
      </c>
      <c r="AP64" s="1">
        <f>IF([1]TIM!O64=[1]TIM!O64,[1]TIM!O64,"")</f>
        <v>0</v>
      </c>
      <c r="AQ64" s="1" t="str">
        <f t="shared" si="13"/>
        <v/>
      </c>
      <c r="AR64" s="1" t="str">
        <f t="shared" si="14"/>
        <v>0</v>
      </c>
      <c r="AS64" s="1" t="str">
        <f t="shared" si="15"/>
        <v>0</v>
      </c>
      <c r="AT64" s="1">
        <f t="shared" si="16"/>
        <v>543</v>
      </c>
      <c r="AU64" s="1" t="str">
        <f t="shared" si="17"/>
        <v>/0/543</v>
      </c>
    </row>
    <row r="65" spans="2:47" x14ac:dyDescent="0.3">
      <c r="B65" s="5">
        <v>63</v>
      </c>
      <c r="C65" s="6" t="s">
        <v>263</v>
      </c>
      <c r="D65" s="6" t="s">
        <v>270</v>
      </c>
      <c r="E65" s="2"/>
      <c r="F65" s="5">
        <v>66</v>
      </c>
      <c r="G65" s="7" t="s">
        <v>271</v>
      </c>
      <c r="H65" s="7" t="s">
        <v>272</v>
      </c>
      <c r="J65" s="1" t="s">
        <v>273</v>
      </c>
      <c r="K65" s="1" t="str">
        <f t="shared" si="0"/>
        <v>SYRIA</v>
      </c>
      <c r="L65" s="1">
        <f t="shared" si="1"/>
        <v>66</v>
      </c>
      <c r="M65" s="1" t="e">
        <f t="shared" si="2"/>
        <v>#N/A</v>
      </c>
      <c r="N65" s="1">
        <v>99</v>
      </c>
      <c r="P65" s="1" t="str">
        <f t="shared" si="3"/>
        <v>Thailand</v>
      </c>
      <c r="Q65" s="1" t="str">
        <f t="shared" si="18"/>
        <v>NEGARA BRUNEI DARUSSALAM</v>
      </c>
      <c r="R65" s="1">
        <f t="shared" si="4"/>
        <v>69</v>
      </c>
      <c r="S65" s="1">
        <f t="shared" si="5"/>
        <v>99</v>
      </c>
      <c r="T65" s="1">
        <v>99</v>
      </c>
      <c r="V65" s="1" t="str">
        <f>IF([1]TIM!F65="","",[1]TIM!F65)</f>
        <v/>
      </c>
      <c r="W65" s="1" t="str">
        <f t="shared" si="6"/>
        <v/>
      </c>
      <c r="X65" s="1">
        <f t="shared" si="7"/>
        <v>0</v>
      </c>
      <c r="AI65" s="1">
        <f>IF([1]TIM!P65=[1]TIM!P65,[1]TIM!P65,"")</f>
        <v>0</v>
      </c>
      <c r="AJ65" s="1" t="str">
        <f t="shared" si="8"/>
        <v/>
      </c>
      <c r="AK65" s="1" t="str">
        <f t="shared" si="9"/>
        <v>0</v>
      </c>
      <c r="AL65" s="1" t="str">
        <f t="shared" si="10"/>
        <v>0</v>
      </c>
      <c r="AM65" s="1">
        <f t="shared" si="11"/>
        <v>543</v>
      </c>
      <c r="AN65" s="1" t="str">
        <f t="shared" si="12"/>
        <v>/0/543</v>
      </c>
      <c r="AP65" s="1">
        <f>IF([1]TIM!O65=[1]TIM!O65,[1]TIM!O65,"")</f>
        <v>0</v>
      </c>
      <c r="AQ65" s="1" t="str">
        <f t="shared" si="13"/>
        <v/>
      </c>
      <c r="AR65" s="1" t="str">
        <f t="shared" si="14"/>
        <v>0</v>
      </c>
      <c r="AS65" s="1" t="str">
        <f t="shared" si="15"/>
        <v>0</v>
      </c>
      <c r="AT65" s="1">
        <f t="shared" si="16"/>
        <v>543</v>
      </c>
      <c r="AU65" s="1" t="str">
        <f t="shared" si="17"/>
        <v>/0/543</v>
      </c>
    </row>
    <row r="66" spans="2:47" x14ac:dyDescent="0.3">
      <c r="B66" s="5">
        <v>64</v>
      </c>
      <c r="C66" s="6" t="s">
        <v>267</v>
      </c>
      <c r="D66" s="6" t="s">
        <v>274</v>
      </c>
      <c r="E66" s="2"/>
      <c r="F66" s="5">
        <v>67</v>
      </c>
      <c r="G66" s="7" t="s">
        <v>275</v>
      </c>
      <c r="H66" s="7" t="s">
        <v>276</v>
      </c>
      <c r="J66" s="1" t="s">
        <v>277</v>
      </c>
      <c r="K66" s="1" t="str">
        <f t="shared" si="0"/>
        <v>IRAQI</v>
      </c>
      <c r="L66" s="1">
        <f t="shared" si="1"/>
        <v>67</v>
      </c>
      <c r="M66" s="1">
        <f t="shared" si="2"/>
        <v>63</v>
      </c>
      <c r="N66" s="1">
        <v>63</v>
      </c>
      <c r="P66" s="1" t="str">
        <f t="shared" si="3"/>
        <v>Turkey</v>
      </c>
      <c r="Q66" s="1" t="str">
        <f t="shared" si="18"/>
        <v>REPUBLIC OF SOUTH AFRICA</v>
      </c>
      <c r="R66" s="1">
        <f t="shared" si="4"/>
        <v>70</v>
      </c>
      <c r="S66" s="1">
        <f t="shared" si="5"/>
        <v>63</v>
      </c>
      <c r="T66" s="1">
        <v>63</v>
      </c>
      <c r="V66" s="1" t="str">
        <f>IF([1]TIM!F66="","",[1]TIM!F66)</f>
        <v/>
      </c>
      <c r="W66" s="1" t="str">
        <f t="shared" si="6"/>
        <v/>
      </c>
      <c r="X66" s="1">
        <f t="shared" si="7"/>
        <v>0</v>
      </c>
      <c r="AI66" s="1">
        <f>IF([1]TIM!P66=[1]TIM!P66,[1]TIM!P66,"")</f>
        <v>0</v>
      </c>
      <c r="AJ66" s="1" t="str">
        <f t="shared" si="8"/>
        <v/>
      </c>
      <c r="AK66" s="1" t="str">
        <f t="shared" si="9"/>
        <v>0</v>
      </c>
      <c r="AL66" s="1" t="str">
        <f t="shared" si="10"/>
        <v>0</v>
      </c>
      <c r="AM66" s="1">
        <f t="shared" si="11"/>
        <v>543</v>
      </c>
      <c r="AN66" s="1" t="str">
        <f t="shared" si="12"/>
        <v>/0/543</v>
      </c>
      <c r="AP66" s="1">
        <f>IF([1]TIM!O66=[1]TIM!O66,[1]TIM!O66,"")</f>
        <v>0</v>
      </c>
      <c r="AQ66" s="1" t="str">
        <f t="shared" si="13"/>
        <v/>
      </c>
      <c r="AR66" s="1" t="str">
        <f t="shared" si="14"/>
        <v>0</v>
      </c>
      <c r="AS66" s="1" t="str">
        <f t="shared" si="15"/>
        <v>0</v>
      </c>
      <c r="AT66" s="1">
        <f t="shared" si="16"/>
        <v>543</v>
      </c>
      <c r="AU66" s="1" t="str">
        <f t="shared" si="17"/>
        <v>/0/543</v>
      </c>
    </row>
    <row r="67" spans="2:47" x14ac:dyDescent="0.3">
      <c r="B67" s="5">
        <v>65</v>
      </c>
      <c r="C67" s="6" t="s">
        <v>278</v>
      </c>
      <c r="D67" s="6" t="s">
        <v>279</v>
      </c>
      <c r="E67" s="2"/>
      <c r="F67" s="5">
        <v>68</v>
      </c>
      <c r="G67" s="7" t="s">
        <v>280</v>
      </c>
      <c r="H67" s="7" t="s">
        <v>281</v>
      </c>
      <c r="J67" s="1" t="s">
        <v>282</v>
      </c>
      <c r="K67" s="1" t="str">
        <f t="shared" ref="K67:K130" si="19">D70</f>
        <v>KUWAIT</v>
      </c>
      <c r="L67" s="1">
        <f t="shared" ref="L67:L130" si="20">B70</f>
        <v>68</v>
      </c>
      <c r="M67" s="1">
        <f t="shared" ref="M67:M79" si="21">VLOOKUP("*"&amp;J67&amp;"*",$K$2:$L$258,2,FALSE)</f>
        <v>216</v>
      </c>
      <c r="N67" s="1">
        <v>216</v>
      </c>
      <c r="P67" s="1" t="str">
        <f t="shared" ref="P67:P130" si="22">IF(J67="","",J67)</f>
        <v>Ukraine</v>
      </c>
      <c r="Q67" s="1" t="str">
        <f t="shared" ref="Q67:Q130" si="23">H70</f>
        <v>REPUBLIC OF KENYA</v>
      </c>
      <c r="R67" s="1">
        <f t="shared" ref="R67:R130" si="24">F70</f>
        <v>73</v>
      </c>
      <c r="S67" s="1">
        <f t="shared" ref="S67:S111" si="25">VLOOKUP("*"&amp;P67&amp;"*",$Q$2:$R$208,2,FALSE)</f>
        <v>216</v>
      </c>
      <c r="T67" s="1">
        <v>216</v>
      </c>
      <c r="V67" s="1" t="str">
        <f>IF([1]TIM!F67="","",[1]TIM!F67)</f>
        <v/>
      </c>
      <c r="W67" s="1" t="str">
        <f t="shared" ref="W67:W130" si="26">IFERROR(VLOOKUP(V67,$J$2:$N$258,5,FALSE),"")</f>
        <v/>
      </c>
      <c r="X67" s="1">
        <f t="shared" ref="X67:X130" si="27">IFERROR(VLOOKUP(V67,$P$2:$T$208,5,FALSE),"")</f>
        <v>0</v>
      </c>
      <c r="AI67" s="1">
        <f>IF([1]TIM!P67=[1]TIM!P67,[1]TIM!P67,"")</f>
        <v>0</v>
      </c>
      <c r="AJ67" s="1" t="str">
        <f t="shared" ref="AJ67:AJ130" si="28">MID(AI67,4,2)</f>
        <v/>
      </c>
      <c r="AK67" s="1" t="str">
        <f t="shared" ref="AK67:AK130" si="29">LEFT(AI67,2)</f>
        <v>0</v>
      </c>
      <c r="AL67" s="1" t="str">
        <f t="shared" ref="AL67:AL130" si="30">RIGHT(AI67,4)</f>
        <v>0</v>
      </c>
      <c r="AM67" s="1">
        <f t="shared" ref="AM67:AM130" si="31">AL67+543</f>
        <v>543</v>
      </c>
      <c r="AN67" s="1" t="str">
        <f t="shared" ref="AN67:AN130" si="32">AJ67&amp;"/"&amp;AK67&amp;"/"&amp;AM67</f>
        <v>/0/543</v>
      </c>
      <c r="AP67" s="1">
        <f>IF([1]TIM!O67=[1]TIM!O67,[1]TIM!O67,"")</f>
        <v>0</v>
      </c>
      <c r="AQ67" s="1" t="str">
        <f t="shared" ref="AQ67:AQ130" si="33">MID(AP67,4,2)</f>
        <v/>
      </c>
      <c r="AR67" s="1" t="str">
        <f t="shared" ref="AR67:AR130" si="34">LEFT(AP67,2)</f>
        <v>0</v>
      </c>
      <c r="AS67" s="1" t="str">
        <f t="shared" ref="AS67:AS130" si="35">RIGHT(AP67,4)</f>
        <v>0</v>
      </c>
      <c r="AT67" s="1">
        <f t="shared" ref="AT67:AT130" si="36">AS67+543</f>
        <v>543</v>
      </c>
      <c r="AU67" s="1" t="str">
        <f t="shared" ref="AU67:AU130" si="37">AQ67&amp;"/"&amp;AR67&amp;"/"&amp;AT67</f>
        <v>/0/543</v>
      </c>
    </row>
    <row r="68" spans="2:47" x14ac:dyDescent="0.3">
      <c r="B68" s="5">
        <v>66</v>
      </c>
      <c r="C68" s="6" t="s">
        <v>271</v>
      </c>
      <c r="D68" s="6" t="s">
        <v>283</v>
      </c>
      <c r="E68" s="2"/>
      <c r="F68" s="5">
        <v>69</v>
      </c>
      <c r="G68" s="7" t="s">
        <v>284</v>
      </c>
      <c r="H68" s="7" t="s">
        <v>285</v>
      </c>
      <c r="J68" s="1" t="s">
        <v>286</v>
      </c>
      <c r="K68" s="1" t="str">
        <f t="shared" si="19"/>
        <v>BRUNEI</v>
      </c>
      <c r="L68" s="1">
        <f t="shared" si="20"/>
        <v>69</v>
      </c>
      <c r="M68" s="1" t="e">
        <f t="shared" si="21"/>
        <v>#N/A</v>
      </c>
      <c r="N68" s="1">
        <v>126</v>
      </c>
      <c r="P68" s="1" t="str">
        <f t="shared" si="22"/>
        <v>United Kingdom</v>
      </c>
      <c r="Q68" s="1" t="str">
        <f t="shared" si="23"/>
        <v>ARAB REPUBLIC OF EGYPT</v>
      </c>
      <c r="R68" s="1">
        <f t="shared" si="24"/>
        <v>74</v>
      </c>
      <c r="S68" s="1">
        <f t="shared" si="25"/>
        <v>126</v>
      </c>
      <c r="T68" s="1">
        <v>126</v>
      </c>
      <c r="V68" s="1" t="str">
        <f>IF([1]TIM!F68="","",[1]TIM!F68)</f>
        <v/>
      </c>
      <c r="W68" s="1" t="str">
        <f t="shared" si="26"/>
        <v/>
      </c>
      <c r="X68" s="1">
        <f t="shared" si="27"/>
        <v>0</v>
      </c>
      <c r="AI68" s="1">
        <f>IF([1]TIM!P68=[1]TIM!P68,[1]TIM!P68,"")</f>
        <v>0</v>
      </c>
      <c r="AJ68" s="1" t="str">
        <f t="shared" si="28"/>
        <v/>
      </c>
      <c r="AK68" s="1" t="str">
        <f t="shared" si="29"/>
        <v>0</v>
      </c>
      <c r="AL68" s="1" t="str">
        <f t="shared" si="30"/>
        <v>0</v>
      </c>
      <c r="AM68" s="1">
        <f t="shared" si="31"/>
        <v>543</v>
      </c>
      <c r="AN68" s="1" t="str">
        <f t="shared" si="32"/>
        <v>/0/543</v>
      </c>
      <c r="AP68" s="1">
        <f>IF([1]TIM!O68=[1]TIM!O68,[1]TIM!O68,"")</f>
        <v>0</v>
      </c>
      <c r="AQ68" s="1" t="str">
        <f t="shared" si="33"/>
        <v/>
      </c>
      <c r="AR68" s="1" t="str">
        <f t="shared" si="34"/>
        <v>0</v>
      </c>
      <c r="AS68" s="1" t="str">
        <f t="shared" si="35"/>
        <v>0</v>
      </c>
      <c r="AT68" s="1">
        <f t="shared" si="36"/>
        <v>543</v>
      </c>
      <c r="AU68" s="1" t="str">
        <f t="shared" si="37"/>
        <v>/0/543</v>
      </c>
    </row>
    <row r="69" spans="2:47" x14ac:dyDescent="0.3">
      <c r="B69" s="5">
        <v>67</v>
      </c>
      <c r="C69" s="6" t="s">
        <v>275</v>
      </c>
      <c r="D69" s="6" t="s">
        <v>287</v>
      </c>
      <c r="E69" s="2"/>
      <c r="F69" s="5">
        <v>70</v>
      </c>
      <c r="G69" s="7" t="s">
        <v>288</v>
      </c>
      <c r="H69" s="7" t="s">
        <v>289</v>
      </c>
      <c r="J69" s="1" t="s">
        <v>290</v>
      </c>
      <c r="K69" s="1" t="str">
        <f t="shared" si="19"/>
        <v>SOUTH AFRICAN</v>
      </c>
      <c r="L69" s="1">
        <f t="shared" si="20"/>
        <v>70</v>
      </c>
      <c r="M69" s="1" t="e">
        <f t="shared" si="21"/>
        <v>#N/A</v>
      </c>
      <c r="N69" s="1">
        <v>29</v>
      </c>
      <c r="P69" s="1" t="str">
        <f t="shared" si="22"/>
        <v>United States</v>
      </c>
      <c r="Q69" s="1" t="str">
        <f t="shared" si="23"/>
        <v>FEDERAL DEMOCRATIC REPUBLIC OF ETHIOPIA</v>
      </c>
      <c r="R69" s="1">
        <f t="shared" si="24"/>
        <v>75</v>
      </c>
      <c r="S69" s="1">
        <f t="shared" si="25"/>
        <v>29</v>
      </c>
      <c r="T69" s="1">
        <v>29</v>
      </c>
      <c r="V69" s="1" t="str">
        <f>IF([1]TIM!F69="","",[1]TIM!F69)</f>
        <v/>
      </c>
      <c r="W69" s="1" t="str">
        <f t="shared" si="26"/>
        <v/>
      </c>
      <c r="X69" s="1">
        <f t="shared" si="27"/>
        <v>0</v>
      </c>
      <c r="AI69" s="1">
        <f>IF([1]TIM!P69=[1]TIM!P69,[1]TIM!P69,"")</f>
        <v>0</v>
      </c>
      <c r="AJ69" s="1" t="str">
        <f t="shared" si="28"/>
        <v/>
      </c>
      <c r="AK69" s="1" t="str">
        <f t="shared" si="29"/>
        <v>0</v>
      </c>
      <c r="AL69" s="1" t="str">
        <f t="shared" si="30"/>
        <v>0</v>
      </c>
      <c r="AM69" s="1">
        <f t="shared" si="31"/>
        <v>543</v>
      </c>
      <c r="AN69" s="1" t="str">
        <f t="shared" si="32"/>
        <v>/0/543</v>
      </c>
      <c r="AP69" s="1">
        <f>IF([1]TIM!O69=[1]TIM!O69,[1]TIM!O69,"")</f>
        <v>0</v>
      </c>
      <c r="AQ69" s="1" t="str">
        <f t="shared" si="33"/>
        <v/>
      </c>
      <c r="AR69" s="1" t="str">
        <f t="shared" si="34"/>
        <v>0</v>
      </c>
      <c r="AS69" s="1" t="str">
        <f t="shared" si="35"/>
        <v>0</v>
      </c>
      <c r="AT69" s="1">
        <f t="shared" si="36"/>
        <v>543</v>
      </c>
      <c r="AU69" s="1" t="str">
        <f t="shared" si="37"/>
        <v>/0/543</v>
      </c>
    </row>
    <row r="70" spans="2:47" x14ac:dyDescent="0.3">
      <c r="B70" s="5">
        <v>68</v>
      </c>
      <c r="C70" s="6" t="s">
        <v>280</v>
      </c>
      <c r="D70" s="6" t="s">
        <v>291</v>
      </c>
      <c r="E70" s="2"/>
      <c r="F70" s="5">
        <v>73</v>
      </c>
      <c r="G70" s="7" t="s">
        <v>292</v>
      </c>
      <c r="H70" s="7" t="s">
        <v>293</v>
      </c>
      <c r="J70" s="1" t="s">
        <v>294</v>
      </c>
      <c r="K70" s="1" t="str">
        <f t="shared" si="19"/>
        <v>Karen</v>
      </c>
      <c r="L70" s="1">
        <f t="shared" si="20"/>
        <v>71</v>
      </c>
      <c r="M70" s="1" t="e">
        <f t="shared" si="21"/>
        <v>#N/A</v>
      </c>
      <c r="N70" s="1">
        <v>229</v>
      </c>
      <c r="P70" s="1" t="str">
        <f t="shared" si="22"/>
        <v>Uzbekistan</v>
      </c>
      <c r="Q70" s="1" t="str">
        <f t="shared" si="23"/>
        <v>FEDERAL REPUBLIC OF NIGERIA</v>
      </c>
      <c r="R70" s="1">
        <f t="shared" si="24"/>
        <v>76</v>
      </c>
      <c r="S70" s="1">
        <f t="shared" si="25"/>
        <v>229</v>
      </c>
      <c r="T70" s="1">
        <v>229</v>
      </c>
      <c r="V70" s="1" t="str">
        <f>IF([1]TIM!F70="","",[1]TIM!F70)</f>
        <v/>
      </c>
      <c r="W70" s="1" t="str">
        <f t="shared" si="26"/>
        <v/>
      </c>
      <c r="X70" s="1">
        <f t="shared" si="27"/>
        <v>0</v>
      </c>
      <c r="AI70" s="1">
        <f>IF([1]TIM!P70=[1]TIM!P70,[1]TIM!P70,"")</f>
        <v>0</v>
      </c>
      <c r="AJ70" s="1" t="str">
        <f t="shared" si="28"/>
        <v/>
      </c>
      <c r="AK70" s="1" t="str">
        <f t="shared" si="29"/>
        <v>0</v>
      </c>
      <c r="AL70" s="1" t="str">
        <f t="shared" si="30"/>
        <v>0</v>
      </c>
      <c r="AM70" s="1">
        <f t="shared" si="31"/>
        <v>543</v>
      </c>
      <c r="AN70" s="1" t="str">
        <f t="shared" si="32"/>
        <v>/0/543</v>
      </c>
      <c r="AP70" s="1">
        <f>IF([1]TIM!O70=[1]TIM!O70,[1]TIM!O70,"")</f>
        <v>0</v>
      </c>
      <c r="AQ70" s="1" t="str">
        <f t="shared" si="33"/>
        <v/>
      </c>
      <c r="AR70" s="1" t="str">
        <f t="shared" si="34"/>
        <v>0</v>
      </c>
      <c r="AS70" s="1" t="str">
        <f t="shared" si="35"/>
        <v>0</v>
      </c>
      <c r="AT70" s="1">
        <f t="shared" si="36"/>
        <v>543</v>
      </c>
      <c r="AU70" s="1" t="str">
        <f t="shared" si="37"/>
        <v>/0/543</v>
      </c>
    </row>
    <row r="71" spans="2:47" x14ac:dyDescent="0.3">
      <c r="B71" s="5">
        <v>69</v>
      </c>
      <c r="C71" s="6" t="s">
        <v>295</v>
      </c>
      <c r="D71" s="6" t="s">
        <v>296</v>
      </c>
      <c r="E71" s="2"/>
      <c r="F71" s="5">
        <v>74</v>
      </c>
      <c r="G71" s="7" t="s">
        <v>297</v>
      </c>
      <c r="H71" s="7" t="s">
        <v>298</v>
      </c>
      <c r="J71" s="1" t="s">
        <v>299</v>
      </c>
      <c r="K71" s="1" t="str">
        <f t="shared" si="19"/>
        <v>Lahu</v>
      </c>
      <c r="L71" s="1">
        <f t="shared" si="20"/>
        <v>72</v>
      </c>
      <c r="M71" s="1">
        <f t="shared" si="21"/>
        <v>39</v>
      </c>
      <c r="N71" s="1">
        <v>39</v>
      </c>
      <c r="P71" s="1" t="str">
        <f t="shared" si="22"/>
        <v>Peru</v>
      </c>
      <c r="Q71" s="1" t="str">
        <f t="shared" si="23"/>
        <v>UNITED ARAB EMIRATES</v>
      </c>
      <c r="R71" s="1">
        <f t="shared" si="24"/>
        <v>77</v>
      </c>
      <c r="S71" s="1">
        <f t="shared" si="25"/>
        <v>39</v>
      </c>
      <c r="T71" s="1">
        <v>39</v>
      </c>
      <c r="V71" s="1" t="str">
        <f>IF([1]TIM!F71="","",[1]TIM!F71)</f>
        <v/>
      </c>
      <c r="W71" s="1" t="str">
        <f t="shared" si="26"/>
        <v/>
      </c>
      <c r="X71" s="1">
        <f t="shared" si="27"/>
        <v>0</v>
      </c>
      <c r="AI71" s="1">
        <f>IF([1]TIM!P71=[1]TIM!P71,[1]TIM!P71,"")</f>
        <v>0</v>
      </c>
      <c r="AJ71" s="1" t="str">
        <f t="shared" si="28"/>
        <v/>
      </c>
      <c r="AK71" s="1" t="str">
        <f t="shared" si="29"/>
        <v>0</v>
      </c>
      <c r="AL71" s="1" t="str">
        <f t="shared" si="30"/>
        <v>0</v>
      </c>
      <c r="AM71" s="1">
        <f t="shared" si="31"/>
        <v>543</v>
      </c>
      <c r="AN71" s="1" t="str">
        <f t="shared" si="32"/>
        <v>/0/543</v>
      </c>
      <c r="AP71" s="1">
        <f>IF([1]TIM!O71=[1]TIM!O71,[1]TIM!O71,"")</f>
        <v>0</v>
      </c>
      <c r="AQ71" s="1" t="str">
        <f t="shared" si="33"/>
        <v/>
      </c>
      <c r="AR71" s="1" t="str">
        <f t="shared" si="34"/>
        <v>0</v>
      </c>
      <c r="AS71" s="1" t="str">
        <f t="shared" si="35"/>
        <v>0</v>
      </c>
      <c r="AT71" s="1">
        <f t="shared" si="36"/>
        <v>543</v>
      </c>
      <c r="AU71" s="1" t="str">
        <f t="shared" si="37"/>
        <v>/0/543</v>
      </c>
    </row>
    <row r="72" spans="2:47" x14ac:dyDescent="0.3">
      <c r="B72" s="5">
        <v>70</v>
      </c>
      <c r="C72" s="6" t="s">
        <v>288</v>
      </c>
      <c r="D72" s="6" t="s">
        <v>300</v>
      </c>
      <c r="E72" s="2"/>
      <c r="F72" s="5">
        <v>75</v>
      </c>
      <c r="G72" s="7" t="s">
        <v>301</v>
      </c>
      <c r="H72" s="7" t="s">
        <v>302</v>
      </c>
      <c r="J72" s="1" t="s">
        <v>303</v>
      </c>
      <c r="K72" s="1" t="str">
        <f t="shared" si="19"/>
        <v>KENYA</v>
      </c>
      <c r="L72" s="1">
        <f t="shared" si="20"/>
        <v>73</v>
      </c>
      <c r="M72" s="1">
        <f t="shared" si="21"/>
        <v>180</v>
      </c>
      <c r="N72" s="1">
        <v>180</v>
      </c>
      <c r="P72" s="1" t="str">
        <f t="shared" si="22"/>
        <v>Grenada</v>
      </c>
      <c r="Q72" s="1" t="str">
        <f t="shared" si="23"/>
        <v>REPUBLIC OF GUINEA</v>
      </c>
      <c r="R72" s="1">
        <f t="shared" si="24"/>
        <v>78</v>
      </c>
      <c r="S72" s="1">
        <f t="shared" si="25"/>
        <v>180</v>
      </c>
      <c r="T72" s="1">
        <v>180</v>
      </c>
      <c r="V72" s="1" t="str">
        <f>IF([1]TIM!F72="","",[1]TIM!F72)</f>
        <v/>
      </c>
      <c r="W72" s="1" t="str">
        <f t="shared" si="26"/>
        <v/>
      </c>
      <c r="X72" s="1">
        <f t="shared" si="27"/>
        <v>0</v>
      </c>
      <c r="AI72" s="1">
        <f>IF([1]TIM!P72=[1]TIM!P72,[1]TIM!P72,"")</f>
        <v>0</v>
      </c>
      <c r="AJ72" s="1" t="str">
        <f t="shared" si="28"/>
        <v/>
      </c>
      <c r="AK72" s="1" t="str">
        <f t="shared" si="29"/>
        <v>0</v>
      </c>
      <c r="AL72" s="1" t="str">
        <f t="shared" si="30"/>
        <v>0</v>
      </c>
      <c r="AM72" s="1">
        <f t="shared" si="31"/>
        <v>543</v>
      </c>
      <c r="AN72" s="1" t="str">
        <f t="shared" si="32"/>
        <v>/0/543</v>
      </c>
      <c r="AP72" s="1">
        <f>IF([1]TIM!O72=[1]TIM!O72,[1]TIM!O72,"")</f>
        <v>0</v>
      </c>
      <c r="AQ72" s="1" t="str">
        <f t="shared" si="33"/>
        <v/>
      </c>
      <c r="AR72" s="1" t="str">
        <f t="shared" si="34"/>
        <v>0</v>
      </c>
      <c r="AS72" s="1" t="str">
        <f t="shared" si="35"/>
        <v>0</v>
      </c>
      <c r="AT72" s="1">
        <f t="shared" si="36"/>
        <v>543</v>
      </c>
      <c r="AU72" s="1" t="str">
        <f t="shared" si="37"/>
        <v>/0/543</v>
      </c>
    </row>
    <row r="73" spans="2:47" x14ac:dyDescent="0.3">
      <c r="B73" s="5">
        <v>71</v>
      </c>
      <c r="C73" s="6" t="s">
        <v>304</v>
      </c>
      <c r="D73" s="6" t="s">
        <v>305</v>
      </c>
      <c r="E73" s="2"/>
      <c r="F73" s="5">
        <v>76</v>
      </c>
      <c r="G73" s="7" t="s">
        <v>306</v>
      </c>
      <c r="H73" s="7" t="s">
        <v>307</v>
      </c>
      <c r="J73" s="1" t="s">
        <v>308</v>
      </c>
      <c r="K73" s="1" t="str">
        <f t="shared" si="19"/>
        <v>EGYPT</v>
      </c>
      <c r="L73" s="1">
        <f t="shared" si="20"/>
        <v>74</v>
      </c>
      <c r="M73" s="1">
        <f t="shared" si="21"/>
        <v>101</v>
      </c>
      <c r="N73" s="1">
        <v>101</v>
      </c>
      <c r="P73" s="1" t="str">
        <f t="shared" si="22"/>
        <v>Bahrain</v>
      </c>
      <c r="Q73" s="1" t="str">
        <f t="shared" si="23"/>
        <v>COMMONWEALTH OF AUSTRALIA</v>
      </c>
      <c r="R73" s="1">
        <f t="shared" si="24"/>
        <v>79</v>
      </c>
      <c r="S73" s="1">
        <f t="shared" si="25"/>
        <v>101</v>
      </c>
      <c r="T73" s="1">
        <v>101</v>
      </c>
      <c r="V73" s="1" t="str">
        <f>IF([1]TIM!F73="","",[1]TIM!F73)</f>
        <v/>
      </c>
      <c r="W73" s="1" t="str">
        <f t="shared" si="26"/>
        <v/>
      </c>
      <c r="X73" s="1">
        <f t="shared" si="27"/>
        <v>0</v>
      </c>
      <c r="AI73" s="1">
        <f>IF([1]TIM!P73=[1]TIM!P73,[1]TIM!P73,"")</f>
        <v>0</v>
      </c>
      <c r="AJ73" s="1" t="str">
        <f t="shared" si="28"/>
        <v/>
      </c>
      <c r="AK73" s="1" t="str">
        <f t="shared" si="29"/>
        <v>0</v>
      </c>
      <c r="AL73" s="1" t="str">
        <f t="shared" si="30"/>
        <v>0</v>
      </c>
      <c r="AM73" s="1">
        <f t="shared" si="31"/>
        <v>543</v>
      </c>
      <c r="AN73" s="1" t="str">
        <f t="shared" si="32"/>
        <v>/0/543</v>
      </c>
      <c r="AP73" s="1">
        <f>IF([1]TIM!O73=[1]TIM!O73,[1]TIM!O73,"")</f>
        <v>0</v>
      </c>
      <c r="AQ73" s="1" t="str">
        <f t="shared" si="33"/>
        <v/>
      </c>
      <c r="AR73" s="1" t="str">
        <f t="shared" si="34"/>
        <v>0</v>
      </c>
      <c r="AS73" s="1" t="str">
        <f t="shared" si="35"/>
        <v>0</v>
      </c>
      <c r="AT73" s="1">
        <f t="shared" si="36"/>
        <v>543</v>
      </c>
      <c r="AU73" s="1" t="str">
        <f t="shared" si="37"/>
        <v>/0/543</v>
      </c>
    </row>
    <row r="74" spans="2:47" x14ac:dyDescent="0.3">
      <c r="B74" s="5">
        <v>72</v>
      </c>
      <c r="C74" s="6" t="s">
        <v>309</v>
      </c>
      <c r="D74" s="6" t="s">
        <v>310</v>
      </c>
      <c r="E74" s="2"/>
      <c r="F74" s="5">
        <v>77</v>
      </c>
      <c r="G74" s="7" t="s">
        <v>311</v>
      </c>
      <c r="H74" s="7" t="s">
        <v>312</v>
      </c>
      <c r="J74" s="1" t="s">
        <v>313</v>
      </c>
      <c r="K74" s="1" t="str">
        <f t="shared" si="19"/>
        <v>ETHIOPIA</v>
      </c>
      <c r="L74" s="1">
        <f t="shared" si="20"/>
        <v>75</v>
      </c>
      <c r="M74" s="1">
        <f t="shared" si="21"/>
        <v>189</v>
      </c>
      <c r="N74" s="1">
        <v>189</v>
      </c>
      <c r="P74" s="1" t="str">
        <f t="shared" si="22"/>
        <v>Trinidad and Tobago</v>
      </c>
      <c r="Q74" s="1" t="str">
        <f t="shared" si="23"/>
        <v>NEW ZEALAND</v>
      </c>
      <c r="R74" s="1">
        <f t="shared" si="24"/>
        <v>80</v>
      </c>
      <c r="S74" s="1">
        <f t="shared" si="25"/>
        <v>189</v>
      </c>
      <c r="T74" s="1">
        <v>189</v>
      </c>
      <c r="V74" s="1" t="str">
        <f>IF([1]TIM!F74="","",[1]TIM!F74)</f>
        <v/>
      </c>
      <c r="W74" s="1" t="str">
        <f t="shared" si="26"/>
        <v/>
      </c>
      <c r="X74" s="1">
        <f t="shared" si="27"/>
        <v>0</v>
      </c>
      <c r="AI74" s="1">
        <f>IF([1]TIM!P74=[1]TIM!P74,[1]TIM!P74,"")</f>
        <v>0</v>
      </c>
      <c r="AJ74" s="1" t="str">
        <f t="shared" si="28"/>
        <v/>
      </c>
      <c r="AK74" s="1" t="str">
        <f t="shared" si="29"/>
        <v>0</v>
      </c>
      <c r="AL74" s="1" t="str">
        <f t="shared" si="30"/>
        <v>0</v>
      </c>
      <c r="AM74" s="1">
        <f t="shared" si="31"/>
        <v>543</v>
      </c>
      <c r="AN74" s="1" t="str">
        <f t="shared" si="32"/>
        <v>/0/543</v>
      </c>
      <c r="AP74" s="1">
        <f>IF([1]TIM!O74=[1]TIM!O74,[1]TIM!O74,"")</f>
        <v>0</v>
      </c>
      <c r="AQ74" s="1" t="str">
        <f t="shared" si="33"/>
        <v/>
      </c>
      <c r="AR74" s="1" t="str">
        <f t="shared" si="34"/>
        <v>0</v>
      </c>
      <c r="AS74" s="1" t="str">
        <f t="shared" si="35"/>
        <v>0</v>
      </c>
      <c r="AT74" s="1">
        <f t="shared" si="36"/>
        <v>543</v>
      </c>
      <c r="AU74" s="1" t="str">
        <f t="shared" si="37"/>
        <v>/0/543</v>
      </c>
    </row>
    <row r="75" spans="2:47" x14ac:dyDescent="0.3">
      <c r="B75" s="5">
        <v>73</v>
      </c>
      <c r="C75" s="6" t="s">
        <v>292</v>
      </c>
      <c r="D75" s="6" t="s">
        <v>314</v>
      </c>
      <c r="E75" s="2"/>
      <c r="F75" s="5">
        <v>78</v>
      </c>
      <c r="G75" s="7" t="s">
        <v>315</v>
      </c>
      <c r="H75" s="7" t="s">
        <v>316</v>
      </c>
      <c r="J75" s="1" t="s">
        <v>209</v>
      </c>
      <c r="K75" s="1" t="str">
        <f t="shared" si="19"/>
        <v>NIGERIA</v>
      </c>
      <c r="L75" s="1">
        <f t="shared" si="20"/>
        <v>76</v>
      </c>
      <c r="M75" s="1">
        <f t="shared" si="21"/>
        <v>48</v>
      </c>
      <c r="N75" s="1">
        <v>48</v>
      </c>
      <c r="P75" s="1" t="str">
        <f t="shared" si="22"/>
        <v>Myanmar</v>
      </c>
      <c r="Q75" s="1" t="str">
        <f t="shared" si="23"/>
        <v>PAPUA NEW GUINEA</v>
      </c>
      <c r="R75" s="1">
        <f t="shared" si="24"/>
        <v>81</v>
      </c>
      <c r="S75" s="1">
        <f t="shared" si="25"/>
        <v>48</v>
      </c>
      <c r="T75" s="1">
        <v>48</v>
      </c>
      <c r="V75" s="1" t="str">
        <f>IF([1]TIM!F75="","",[1]TIM!F75)</f>
        <v/>
      </c>
      <c r="W75" s="1" t="str">
        <f t="shared" si="26"/>
        <v/>
      </c>
      <c r="X75" s="1">
        <f t="shared" si="27"/>
        <v>0</v>
      </c>
      <c r="AI75" s="1">
        <f>IF([1]TIM!P75=[1]TIM!P75,[1]TIM!P75,"")</f>
        <v>0</v>
      </c>
      <c r="AJ75" s="1" t="str">
        <f t="shared" si="28"/>
        <v/>
      </c>
      <c r="AK75" s="1" t="str">
        <f t="shared" si="29"/>
        <v>0</v>
      </c>
      <c r="AL75" s="1" t="str">
        <f t="shared" si="30"/>
        <v>0</v>
      </c>
      <c r="AM75" s="1">
        <f t="shared" si="31"/>
        <v>543</v>
      </c>
      <c r="AN75" s="1" t="str">
        <f t="shared" si="32"/>
        <v>/0/543</v>
      </c>
      <c r="AP75" s="1">
        <f>IF([1]TIM!O75=[1]TIM!O75,[1]TIM!O75,"")</f>
        <v>0</v>
      </c>
      <c r="AQ75" s="1" t="str">
        <f t="shared" si="33"/>
        <v/>
      </c>
      <c r="AR75" s="1" t="str">
        <f t="shared" si="34"/>
        <v>0</v>
      </c>
      <c r="AS75" s="1" t="str">
        <f t="shared" si="35"/>
        <v>0</v>
      </c>
      <c r="AT75" s="1">
        <f t="shared" si="36"/>
        <v>543</v>
      </c>
      <c r="AU75" s="1" t="str">
        <f t="shared" si="37"/>
        <v>/0/543</v>
      </c>
    </row>
    <row r="76" spans="2:47" x14ac:dyDescent="0.3">
      <c r="B76" s="5">
        <v>74</v>
      </c>
      <c r="C76" s="6" t="s">
        <v>297</v>
      </c>
      <c r="D76" s="6" t="s">
        <v>317</v>
      </c>
      <c r="E76" s="2"/>
      <c r="F76" s="5">
        <v>79</v>
      </c>
      <c r="G76" s="7" t="s">
        <v>318</v>
      </c>
      <c r="H76" s="7" t="s">
        <v>319</v>
      </c>
      <c r="J76" s="1" t="s">
        <v>320</v>
      </c>
      <c r="K76" s="1" t="str">
        <f t="shared" si="19"/>
        <v>UNITED ARAB EMIRATE</v>
      </c>
      <c r="L76" s="1">
        <f t="shared" si="20"/>
        <v>77</v>
      </c>
      <c r="M76" s="1">
        <f t="shared" si="21"/>
        <v>46</v>
      </c>
      <c r="N76" s="1">
        <v>46</v>
      </c>
      <c r="P76" s="1" t="str">
        <f t="shared" si="22"/>
        <v>Vietnam</v>
      </c>
      <c r="Q76" s="1" t="str">
        <f t="shared" si="23"/>
        <v>KINGDOM OF THAILAND</v>
      </c>
      <c r="R76" s="1">
        <f t="shared" si="24"/>
        <v>99</v>
      </c>
      <c r="S76" s="1">
        <f t="shared" si="25"/>
        <v>46</v>
      </c>
      <c r="T76" s="1">
        <v>46</v>
      </c>
      <c r="V76" s="1" t="str">
        <f>IF([1]TIM!F76="","",[1]TIM!F76)</f>
        <v/>
      </c>
      <c r="W76" s="1" t="str">
        <f t="shared" si="26"/>
        <v/>
      </c>
      <c r="X76" s="1">
        <f t="shared" si="27"/>
        <v>0</v>
      </c>
      <c r="AI76" s="1">
        <f>IF([1]TIM!P76=[1]TIM!P76,[1]TIM!P76,"")</f>
        <v>0</v>
      </c>
      <c r="AJ76" s="1" t="str">
        <f t="shared" si="28"/>
        <v/>
      </c>
      <c r="AK76" s="1" t="str">
        <f t="shared" si="29"/>
        <v>0</v>
      </c>
      <c r="AL76" s="1" t="str">
        <f t="shared" si="30"/>
        <v>0</v>
      </c>
      <c r="AM76" s="1">
        <f t="shared" si="31"/>
        <v>543</v>
      </c>
      <c r="AN76" s="1" t="str">
        <f t="shared" si="32"/>
        <v>/0/543</v>
      </c>
      <c r="AP76" s="1">
        <f>IF([1]TIM!O76=[1]TIM!O76,[1]TIM!O76,"")</f>
        <v>0</v>
      </c>
      <c r="AQ76" s="1" t="str">
        <f t="shared" si="33"/>
        <v/>
      </c>
      <c r="AR76" s="1" t="str">
        <f t="shared" si="34"/>
        <v>0</v>
      </c>
      <c r="AS76" s="1" t="str">
        <f t="shared" si="35"/>
        <v>0</v>
      </c>
      <c r="AT76" s="1">
        <f t="shared" si="36"/>
        <v>543</v>
      </c>
      <c r="AU76" s="1" t="str">
        <f t="shared" si="37"/>
        <v>/0/543</v>
      </c>
    </row>
    <row r="77" spans="2:47" x14ac:dyDescent="0.3">
      <c r="B77" s="5">
        <v>75</v>
      </c>
      <c r="C77" s="6" t="s">
        <v>301</v>
      </c>
      <c r="D77" s="6" t="s">
        <v>321</v>
      </c>
      <c r="E77" s="2"/>
      <c r="F77" s="5">
        <v>80</v>
      </c>
      <c r="G77" s="7" t="s">
        <v>322</v>
      </c>
      <c r="H77" s="7" t="s">
        <v>323</v>
      </c>
      <c r="J77" s="1" t="s">
        <v>324</v>
      </c>
      <c r="K77" s="1" t="str">
        <f t="shared" si="19"/>
        <v>GUINEA</v>
      </c>
      <c r="L77" s="1">
        <f t="shared" si="20"/>
        <v>78</v>
      </c>
      <c r="M77" s="1">
        <f t="shared" si="21"/>
        <v>27</v>
      </c>
      <c r="N77" s="1">
        <v>27</v>
      </c>
      <c r="P77" s="1" t="str">
        <f t="shared" si="22"/>
        <v>Oman</v>
      </c>
      <c r="Q77" s="1" t="str">
        <f t="shared" si="23"/>
        <v>ISLAMIC STATE OF AFGHANISTAN</v>
      </c>
      <c r="R77" s="1">
        <f t="shared" si="24"/>
        <v>100</v>
      </c>
      <c r="S77" s="1">
        <f t="shared" si="25"/>
        <v>27</v>
      </c>
      <c r="T77" s="1">
        <v>27</v>
      </c>
      <c r="V77" s="1" t="str">
        <f>IF([1]TIM!F77="","",[1]TIM!F77)</f>
        <v/>
      </c>
      <c r="W77" s="1" t="str">
        <f t="shared" si="26"/>
        <v/>
      </c>
      <c r="X77" s="1">
        <f t="shared" si="27"/>
        <v>0</v>
      </c>
      <c r="AI77" s="1">
        <f>IF([1]TIM!P77=[1]TIM!P77,[1]TIM!P77,"")</f>
        <v>0</v>
      </c>
      <c r="AJ77" s="1" t="str">
        <f t="shared" si="28"/>
        <v/>
      </c>
      <c r="AK77" s="1" t="str">
        <f t="shared" si="29"/>
        <v>0</v>
      </c>
      <c r="AL77" s="1" t="str">
        <f t="shared" si="30"/>
        <v>0</v>
      </c>
      <c r="AM77" s="1">
        <f t="shared" si="31"/>
        <v>543</v>
      </c>
      <c r="AN77" s="1" t="str">
        <f t="shared" si="32"/>
        <v>/0/543</v>
      </c>
      <c r="AP77" s="1">
        <f>IF([1]TIM!O77=[1]TIM!O77,[1]TIM!O77,"")</f>
        <v>0</v>
      </c>
      <c r="AQ77" s="1" t="str">
        <f t="shared" si="33"/>
        <v/>
      </c>
      <c r="AR77" s="1" t="str">
        <f t="shared" si="34"/>
        <v>0</v>
      </c>
      <c r="AS77" s="1" t="str">
        <f t="shared" si="35"/>
        <v>0</v>
      </c>
      <c r="AT77" s="1">
        <f t="shared" si="36"/>
        <v>543</v>
      </c>
      <c r="AU77" s="1" t="str">
        <f t="shared" si="37"/>
        <v>/0/543</v>
      </c>
    </row>
    <row r="78" spans="2:47" x14ac:dyDescent="0.3">
      <c r="B78" s="5">
        <v>76</v>
      </c>
      <c r="C78" s="6" t="s">
        <v>306</v>
      </c>
      <c r="D78" s="6" t="s">
        <v>325</v>
      </c>
      <c r="E78" s="2"/>
      <c r="F78" s="5">
        <v>81</v>
      </c>
      <c r="G78" s="7" t="s">
        <v>326</v>
      </c>
      <c r="H78" s="7" t="s">
        <v>327</v>
      </c>
      <c r="J78" s="1" t="s">
        <v>328</v>
      </c>
      <c r="K78" s="1" t="str">
        <f t="shared" si="19"/>
        <v>AUSTRALIA</v>
      </c>
      <c r="L78" s="1">
        <f t="shared" si="20"/>
        <v>79</v>
      </c>
      <c r="M78" s="1">
        <f>VLOOKUP("*"&amp;J78&amp;"*",$K$2:$L$258,2,FALSE)</f>
        <v>103</v>
      </c>
      <c r="N78" s="1">
        <v>103</v>
      </c>
      <c r="P78" s="1" t="str">
        <f t="shared" si="22"/>
        <v>Jordan</v>
      </c>
      <c r="Q78" s="1" t="str">
        <f t="shared" si="23"/>
        <v>KINGDOM OF BAHRAIN</v>
      </c>
      <c r="R78" s="1">
        <f t="shared" si="24"/>
        <v>101</v>
      </c>
      <c r="S78" s="1">
        <f t="shared" si="25"/>
        <v>103</v>
      </c>
      <c r="T78" s="1">
        <v>103</v>
      </c>
      <c r="V78" s="1" t="str">
        <f>IF([1]TIM!F78="","",[1]TIM!F78)</f>
        <v/>
      </c>
      <c r="W78" s="1" t="str">
        <f t="shared" si="26"/>
        <v/>
      </c>
      <c r="X78" s="1">
        <f t="shared" si="27"/>
        <v>0</v>
      </c>
      <c r="AI78" s="1">
        <f>IF([1]TIM!P78=[1]TIM!P78,[1]TIM!P78,"")</f>
        <v>0</v>
      </c>
      <c r="AJ78" s="1" t="str">
        <f t="shared" si="28"/>
        <v/>
      </c>
      <c r="AK78" s="1" t="str">
        <f t="shared" si="29"/>
        <v>0</v>
      </c>
      <c r="AL78" s="1" t="str">
        <f t="shared" si="30"/>
        <v>0</v>
      </c>
      <c r="AM78" s="1">
        <f t="shared" si="31"/>
        <v>543</v>
      </c>
      <c r="AN78" s="1" t="str">
        <f t="shared" si="32"/>
        <v>/0/543</v>
      </c>
      <c r="AP78" s="1">
        <f>IF([1]TIM!O78=[1]TIM!O78,[1]TIM!O78,"")</f>
        <v>0</v>
      </c>
      <c r="AQ78" s="1" t="str">
        <f t="shared" si="33"/>
        <v/>
      </c>
      <c r="AR78" s="1" t="str">
        <f t="shared" si="34"/>
        <v>0</v>
      </c>
      <c r="AS78" s="1" t="str">
        <f t="shared" si="35"/>
        <v>0</v>
      </c>
      <c r="AT78" s="1">
        <f t="shared" si="36"/>
        <v>543</v>
      </c>
      <c r="AU78" s="1" t="str">
        <f t="shared" si="37"/>
        <v>/0/543</v>
      </c>
    </row>
    <row r="79" spans="2:47" x14ac:dyDescent="0.3">
      <c r="B79" s="5">
        <v>77</v>
      </c>
      <c r="C79" s="6" t="s">
        <v>311</v>
      </c>
      <c r="D79" s="6" t="s">
        <v>329</v>
      </c>
      <c r="E79" s="2"/>
      <c r="F79" s="5">
        <v>99</v>
      </c>
      <c r="G79" s="7" t="s">
        <v>330</v>
      </c>
      <c r="H79" s="7" t="s">
        <v>331</v>
      </c>
      <c r="J79" s="1" t="s">
        <v>332</v>
      </c>
      <c r="K79" s="1" t="str">
        <f t="shared" si="19"/>
        <v>NEW ZEALAND</v>
      </c>
      <c r="L79" s="1">
        <f t="shared" si="20"/>
        <v>80</v>
      </c>
      <c r="M79" s="1">
        <f t="shared" si="21"/>
        <v>37</v>
      </c>
      <c r="N79" s="1">
        <v>37</v>
      </c>
      <c r="P79" s="1" t="str">
        <f t="shared" si="22"/>
        <v>Colombia</v>
      </c>
      <c r="Q79" s="1" t="str">
        <f t="shared" si="23"/>
        <v>KINGDOM OF BHUTAN</v>
      </c>
      <c r="R79" s="1">
        <f t="shared" si="24"/>
        <v>102</v>
      </c>
      <c r="S79" s="1">
        <f t="shared" si="25"/>
        <v>37</v>
      </c>
      <c r="T79" s="1">
        <v>37</v>
      </c>
      <c r="V79" s="1" t="str">
        <f>IF([1]TIM!F79="","",[1]TIM!F79)</f>
        <v/>
      </c>
      <c r="W79" s="1" t="str">
        <f t="shared" si="26"/>
        <v/>
      </c>
      <c r="X79" s="1">
        <f t="shared" si="27"/>
        <v>0</v>
      </c>
      <c r="AI79" s="1">
        <f>IF([1]TIM!P79=[1]TIM!P79,[1]TIM!P79,"")</f>
        <v>0</v>
      </c>
      <c r="AJ79" s="1" t="str">
        <f t="shared" si="28"/>
        <v/>
      </c>
      <c r="AK79" s="1" t="str">
        <f t="shared" si="29"/>
        <v>0</v>
      </c>
      <c r="AL79" s="1" t="str">
        <f t="shared" si="30"/>
        <v>0</v>
      </c>
      <c r="AM79" s="1">
        <f t="shared" si="31"/>
        <v>543</v>
      </c>
      <c r="AN79" s="1" t="str">
        <f t="shared" si="32"/>
        <v>/0/543</v>
      </c>
      <c r="AP79" s="1">
        <f>IF([1]TIM!O79=[1]TIM!O79,[1]TIM!O79,"")</f>
        <v>0</v>
      </c>
      <c r="AQ79" s="1" t="str">
        <f t="shared" si="33"/>
        <v/>
      </c>
      <c r="AR79" s="1" t="str">
        <f t="shared" si="34"/>
        <v>0</v>
      </c>
      <c r="AS79" s="1" t="str">
        <f t="shared" si="35"/>
        <v>0</v>
      </c>
      <c r="AT79" s="1">
        <f t="shared" si="36"/>
        <v>543</v>
      </c>
      <c r="AU79" s="1" t="str">
        <f t="shared" si="37"/>
        <v>/0/543</v>
      </c>
    </row>
    <row r="80" spans="2:47" x14ac:dyDescent="0.3">
      <c r="B80" s="5">
        <v>78</v>
      </c>
      <c r="C80" s="6" t="s">
        <v>315</v>
      </c>
      <c r="D80" s="6" t="s">
        <v>333</v>
      </c>
      <c r="E80" s="2"/>
      <c r="F80" s="5">
        <v>100</v>
      </c>
      <c r="G80" s="7" t="s">
        <v>334</v>
      </c>
      <c r="H80" s="7" t="s">
        <v>335</v>
      </c>
      <c r="J80" s="1" t="s">
        <v>336</v>
      </c>
      <c r="K80" s="1" t="str">
        <f>D83</f>
        <v>PAPUA NEW GUINEA</v>
      </c>
      <c r="L80" s="1">
        <f t="shared" si="20"/>
        <v>81</v>
      </c>
      <c r="M80" s="1">
        <v>77</v>
      </c>
      <c r="N80" s="1">
        <v>77</v>
      </c>
      <c r="P80" s="1" t="str">
        <f t="shared" si="22"/>
        <v>United Arab Emirates</v>
      </c>
      <c r="Q80" s="1" t="str">
        <f t="shared" si="23"/>
        <v>HASEMITE KINGDOM OF JORDAN</v>
      </c>
      <c r="R80" s="1">
        <f t="shared" si="24"/>
        <v>103</v>
      </c>
      <c r="S80" s="1">
        <f t="shared" si="25"/>
        <v>77</v>
      </c>
      <c r="T80" s="1">
        <v>77</v>
      </c>
      <c r="V80" s="1" t="str">
        <f>IF([1]TIM!F80="","",[1]TIM!F80)</f>
        <v/>
      </c>
      <c r="W80" s="1" t="str">
        <f t="shared" si="26"/>
        <v/>
      </c>
      <c r="X80" s="1">
        <f t="shared" si="27"/>
        <v>0</v>
      </c>
      <c r="AI80" s="1">
        <f>IF([1]TIM!P80=[1]TIM!P80,[1]TIM!P80,"")</f>
        <v>0</v>
      </c>
      <c r="AJ80" s="1" t="str">
        <f t="shared" si="28"/>
        <v/>
      </c>
      <c r="AK80" s="1" t="str">
        <f t="shared" si="29"/>
        <v>0</v>
      </c>
      <c r="AL80" s="1" t="str">
        <f t="shared" si="30"/>
        <v>0</v>
      </c>
      <c r="AM80" s="1">
        <f t="shared" si="31"/>
        <v>543</v>
      </c>
      <c r="AN80" s="1" t="str">
        <f t="shared" si="32"/>
        <v>/0/543</v>
      </c>
      <c r="AP80" s="1">
        <f>IF([1]TIM!O80=[1]TIM!O80,[1]TIM!O80,"")</f>
        <v>0</v>
      </c>
      <c r="AQ80" s="1" t="str">
        <f t="shared" si="33"/>
        <v/>
      </c>
      <c r="AR80" s="1" t="str">
        <f t="shared" si="34"/>
        <v>0</v>
      </c>
      <c r="AS80" s="1" t="str">
        <f t="shared" si="35"/>
        <v>0</v>
      </c>
      <c r="AT80" s="1">
        <f t="shared" si="36"/>
        <v>543</v>
      </c>
      <c r="AU80" s="1" t="str">
        <f t="shared" si="37"/>
        <v>/0/543</v>
      </c>
    </row>
    <row r="81" spans="2:47" x14ac:dyDescent="0.3">
      <c r="B81" s="5">
        <v>79</v>
      </c>
      <c r="C81" s="6" t="s">
        <v>318</v>
      </c>
      <c r="D81" s="6" t="s">
        <v>337</v>
      </c>
      <c r="E81" s="2"/>
      <c r="F81" s="5">
        <v>101</v>
      </c>
      <c r="G81" s="7" t="s">
        <v>338</v>
      </c>
      <c r="H81" s="7" t="s">
        <v>339</v>
      </c>
      <c r="J81" s="1" t="s">
        <v>340</v>
      </c>
      <c r="K81" s="1" t="str">
        <f t="shared" si="19"/>
        <v>Hmong</v>
      </c>
      <c r="L81" s="1">
        <f t="shared" si="20"/>
        <v>82</v>
      </c>
      <c r="M81" s="1">
        <v>56</v>
      </c>
      <c r="N81" s="1">
        <v>56</v>
      </c>
      <c r="P81" s="1" t="str">
        <f t="shared" si="22"/>
        <v>Laos</v>
      </c>
      <c r="Q81" s="1" t="str">
        <f t="shared" si="23"/>
        <v>DEMOCRATIC PEOPLE'S REPUBLIC OF KOREA</v>
      </c>
      <c r="R81" s="1">
        <f t="shared" si="24"/>
        <v>104</v>
      </c>
      <c r="S81" s="1">
        <v>56</v>
      </c>
      <c r="T81" s="1">
        <v>56</v>
      </c>
      <c r="V81" s="1" t="str">
        <f>IF([1]TIM!F81="","",[1]TIM!F81)</f>
        <v/>
      </c>
      <c r="W81" s="1" t="str">
        <f t="shared" si="26"/>
        <v/>
      </c>
      <c r="X81" s="1">
        <f t="shared" si="27"/>
        <v>0</v>
      </c>
      <c r="AI81" s="1">
        <f>IF([1]TIM!P81=[1]TIM!P81,[1]TIM!P81,"")</f>
        <v>0</v>
      </c>
      <c r="AJ81" s="1" t="str">
        <f t="shared" si="28"/>
        <v/>
      </c>
      <c r="AK81" s="1" t="str">
        <f t="shared" si="29"/>
        <v>0</v>
      </c>
      <c r="AL81" s="1" t="str">
        <f t="shared" si="30"/>
        <v>0</v>
      </c>
      <c r="AM81" s="1">
        <f t="shared" si="31"/>
        <v>543</v>
      </c>
      <c r="AN81" s="1" t="str">
        <f t="shared" si="32"/>
        <v>/0/543</v>
      </c>
      <c r="AP81" s="1">
        <f>IF([1]TIM!O81=[1]TIM!O81,[1]TIM!O81,"")</f>
        <v>0</v>
      </c>
      <c r="AQ81" s="1" t="str">
        <f t="shared" si="33"/>
        <v/>
      </c>
      <c r="AR81" s="1" t="str">
        <f t="shared" si="34"/>
        <v>0</v>
      </c>
      <c r="AS81" s="1" t="str">
        <f t="shared" si="35"/>
        <v>0</v>
      </c>
      <c r="AT81" s="1">
        <f t="shared" si="36"/>
        <v>543</v>
      </c>
      <c r="AU81" s="1" t="str">
        <f t="shared" si="37"/>
        <v>/0/543</v>
      </c>
    </row>
    <row r="82" spans="2:47" x14ac:dyDescent="0.3">
      <c r="B82" s="5">
        <v>80</v>
      </c>
      <c r="C82" s="6" t="s">
        <v>322</v>
      </c>
      <c r="D82" s="6" t="s">
        <v>323</v>
      </c>
      <c r="E82" s="2"/>
      <c r="F82" s="5">
        <v>102</v>
      </c>
      <c r="G82" s="7" t="s">
        <v>341</v>
      </c>
      <c r="H82" s="7" t="s">
        <v>342</v>
      </c>
      <c r="J82" s="1" t="s">
        <v>343</v>
      </c>
      <c r="K82" s="1" t="str">
        <f t="shared" si="19"/>
        <v>Mien</v>
      </c>
      <c r="L82" s="1">
        <f t="shared" si="20"/>
        <v>83</v>
      </c>
      <c r="M82" s="1">
        <f t="shared" ref="M82:M110" si="38">VLOOKUP("*"&amp;J82&amp;"*",$K$2:$L$258,2,FALSE)</f>
        <v>52</v>
      </c>
      <c r="N82" s="1">
        <v>52</v>
      </c>
      <c r="P82" s="1" t="str">
        <f t="shared" si="22"/>
        <v>Pakistan</v>
      </c>
      <c r="Q82" s="1" t="str">
        <f t="shared" si="23"/>
        <v>REPUBLIC OF MALDIVES</v>
      </c>
      <c r="R82" s="1">
        <f t="shared" si="24"/>
        <v>105</v>
      </c>
      <c r="S82" s="1">
        <f t="shared" si="25"/>
        <v>52</v>
      </c>
      <c r="T82" s="1">
        <v>52</v>
      </c>
      <c r="V82" s="1" t="str">
        <f>IF([1]TIM!F82="","",[1]TIM!F82)</f>
        <v/>
      </c>
      <c r="W82" s="1" t="str">
        <f t="shared" si="26"/>
        <v/>
      </c>
      <c r="X82" s="1">
        <f t="shared" si="27"/>
        <v>0</v>
      </c>
      <c r="AI82" s="1">
        <f>IF([1]TIM!P82=[1]TIM!P82,[1]TIM!P82,"")</f>
        <v>0</v>
      </c>
      <c r="AJ82" s="1" t="str">
        <f t="shared" si="28"/>
        <v/>
      </c>
      <c r="AK82" s="1" t="str">
        <f t="shared" si="29"/>
        <v>0</v>
      </c>
      <c r="AL82" s="1" t="str">
        <f t="shared" si="30"/>
        <v>0</v>
      </c>
      <c r="AM82" s="1">
        <f t="shared" si="31"/>
        <v>543</v>
      </c>
      <c r="AN82" s="1" t="str">
        <f t="shared" si="32"/>
        <v>/0/543</v>
      </c>
      <c r="AP82" s="1">
        <f>IF([1]TIM!O82=[1]TIM!O82,[1]TIM!O82,"")</f>
        <v>0</v>
      </c>
      <c r="AQ82" s="1" t="str">
        <f t="shared" si="33"/>
        <v/>
      </c>
      <c r="AR82" s="1" t="str">
        <f t="shared" si="34"/>
        <v>0</v>
      </c>
      <c r="AS82" s="1" t="str">
        <f t="shared" si="35"/>
        <v>0</v>
      </c>
      <c r="AT82" s="1">
        <f t="shared" si="36"/>
        <v>543</v>
      </c>
      <c r="AU82" s="1" t="str">
        <f t="shared" si="37"/>
        <v>/0/543</v>
      </c>
    </row>
    <row r="83" spans="2:47" x14ac:dyDescent="0.3">
      <c r="B83" s="5">
        <v>81</v>
      </c>
      <c r="C83" s="6" t="s">
        <v>326</v>
      </c>
      <c r="D83" s="6" t="s">
        <v>327</v>
      </c>
      <c r="E83" s="2"/>
      <c r="F83" s="5">
        <v>103</v>
      </c>
      <c r="G83" s="7" t="s">
        <v>344</v>
      </c>
      <c r="H83" s="7" t="s">
        <v>345</v>
      </c>
      <c r="J83" s="1" t="s">
        <v>346</v>
      </c>
      <c r="K83" s="1" t="str">
        <f t="shared" si="19"/>
        <v>Haw</v>
      </c>
      <c r="L83" s="1">
        <f t="shared" si="20"/>
        <v>86</v>
      </c>
      <c r="M83" s="1">
        <f t="shared" si="38"/>
        <v>123</v>
      </c>
      <c r="N83" s="1">
        <v>123</v>
      </c>
      <c r="P83" s="1" t="str">
        <f t="shared" si="22"/>
        <v>Liechtenstein</v>
      </c>
      <c r="Q83" s="1" t="str">
        <f t="shared" si="23"/>
        <v>MONGOLIA</v>
      </c>
      <c r="R83" s="1">
        <f t="shared" si="24"/>
        <v>106</v>
      </c>
      <c r="S83" s="1">
        <f t="shared" si="25"/>
        <v>123</v>
      </c>
      <c r="T83" s="1">
        <v>123</v>
      </c>
      <c r="V83" s="1" t="str">
        <f>IF([1]TIM!F83="","",[1]TIM!F83)</f>
        <v/>
      </c>
      <c r="W83" s="1" t="str">
        <f t="shared" si="26"/>
        <v/>
      </c>
      <c r="X83" s="1">
        <f t="shared" si="27"/>
        <v>0</v>
      </c>
      <c r="AI83" s="1">
        <f>IF([1]TIM!P83=[1]TIM!P83,[1]TIM!P83,"")</f>
        <v>0</v>
      </c>
      <c r="AJ83" s="1" t="str">
        <f t="shared" si="28"/>
        <v/>
      </c>
      <c r="AK83" s="1" t="str">
        <f t="shared" si="29"/>
        <v>0</v>
      </c>
      <c r="AL83" s="1" t="str">
        <f t="shared" si="30"/>
        <v>0</v>
      </c>
      <c r="AM83" s="1">
        <f t="shared" si="31"/>
        <v>543</v>
      </c>
      <c r="AN83" s="1" t="str">
        <f t="shared" si="32"/>
        <v>/0/543</v>
      </c>
      <c r="AP83" s="1">
        <f>IF([1]TIM!O83=[1]TIM!O83,[1]TIM!O83,"")</f>
        <v>0</v>
      </c>
      <c r="AQ83" s="1" t="str">
        <f t="shared" si="33"/>
        <v/>
      </c>
      <c r="AR83" s="1" t="str">
        <f t="shared" si="34"/>
        <v>0</v>
      </c>
      <c r="AS83" s="1" t="str">
        <f t="shared" si="35"/>
        <v>0</v>
      </c>
      <c r="AT83" s="1">
        <f t="shared" si="36"/>
        <v>543</v>
      </c>
      <c r="AU83" s="1" t="str">
        <f t="shared" si="37"/>
        <v>/0/543</v>
      </c>
    </row>
    <row r="84" spans="2:47" x14ac:dyDescent="0.3">
      <c r="B84" s="5">
        <v>82</v>
      </c>
      <c r="C84" s="6" t="s">
        <v>347</v>
      </c>
      <c r="D84" s="6" t="s">
        <v>348</v>
      </c>
      <c r="E84" s="2"/>
      <c r="F84" s="5">
        <v>104</v>
      </c>
      <c r="G84" s="7" t="s">
        <v>349</v>
      </c>
      <c r="H84" s="7" t="s">
        <v>350</v>
      </c>
      <c r="J84" s="1" t="s">
        <v>351</v>
      </c>
      <c r="K84" s="1" t="str">
        <f t="shared" si="19"/>
        <v xml:space="preserve"> </v>
      </c>
      <c r="L84" s="1">
        <f t="shared" si="20"/>
        <v>87</v>
      </c>
      <c r="M84" s="1" t="e">
        <f t="shared" si="38"/>
        <v>#N/A</v>
      </c>
      <c r="N84" s="1">
        <v>242</v>
      </c>
      <c r="P84" s="1" t="str">
        <f t="shared" si="22"/>
        <v>Slovenia</v>
      </c>
      <c r="Q84" s="1" t="str">
        <f t="shared" si="23"/>
        <v>SULTANATE OF OMAN</v>
      </c>
      <c r="R84" s="1">
        <f t="shared" si="24"/>
        <v>107</v>
      </c>
      <c r="S84" s="1">
        <f t="shared" si="25"/>
        <v>242</v>
      </c>
      <c r="T84" s="1">
        <v>242</v>
      </c>
      <c r="V84" s="1" t="str">
        <f>IF([1]TIM!F84="","",[1]TIM!F84)</f>
        <v/>
      </c>
      <c r="W84" s="1" t="str">
        <f t="shared" si="26"/>
        <v/>
      </c>
      <c r="X84" s="1">
        <f t="shared" si="27"/>
        <v>0</v>
      </c>
      <c r="AI84" s="1">
        <f>IF([1]TIM!P84=[1]TIM!P84,[1]TIM!P84,"")</f>
        <v>0</v>
      </c>
      <c r="AJ84" s="1" t="str">
        <f t="shared" si="28"/>
        <v/>
      </c>
      <c r="AK84" s="1" t="str">
        <f t="shared" si="29"/>
        <v>0</v>
      </c>
      <c r="AL84" s="1" t="str">
        <f t="shared" si="30"/>
        <v>0</v>
      </c>
      <c r="AM84" s="1">
        <f t="shared" si="31"/>
        <v>543</v>
      </c>
      <c r="AN84" s="1" t="str">
        <f t="shared" si="32"/>
        <v>/0/543</v>
      </c>
      <c r="AP84" s="1">
        <f>IF([1]TIM!O84=[1]TIM!O84,[1]TIM!O84,"")</f>
        <v>0</v>
      </c>
      <c r="AQ84" s="1" t="str">
        <f t="shared" si="33"/>
        <v/>
      </c>
      <c r="AR84" s="1" t="str">
        <f t="shared" si="34"/>
        <v>0</v>
      </c>
      <c r="AS84" s="1" t="str">
        <f t="shared" si="35"/>
        <v>0</v>
      </c>
      <c r="AT84" s="1">
        <f t="shared" si="36"/>
        <v>543</v>
      </c>
      <c r="AU84" s="1" t="str">
        <f t="shared" si="37"/>
        <v>/0/543</v>
      </c>
    </row>
    <row r="85" spans="2:47" x14ac:dyDescent="0.3">
      <c r="B85" s="5">
        <v>83</v>
      </c>
      <c r="C85" s="6" t="s">
        <v>352</v>
      </c>
      <c r="D85" s="6" t="s">
        <v>353</v>
      </c>
      <c r="E85" s="2"/>
      <c r="F85" s="5">
        <v>105</v>
      </c>
      <c r="G85" s="7" t="s">
        <v>354</v>
      </c>
      <c r="H85" s="7" t="s">
        <v>355</v>
      </c>
      <c r="J85" s="1" t="s">
        <v>356</v>
      </c>
      <c r="K85" s="1" t="str">
        <f t="shared" si="19"/>
        <v xml:space="preserve"> </v>
      </c>
      <c r="L85" s="1">
        <f t="shared" si="20"/>
        <v>88</v>
      </c>
      <c r="M85" s="1">
        <f t="shared" si="38"/>
        <v>172</v>
      </c>
      <c r="N85" s="1">
        <v>172</v>
      </c>
      <c r="P85" s="1" t="str">
        <f t="shared" si="22"/>
        <v>Antigua and Barbuda</v>
      </c>
      <c r="Q85" s="1" t="str">
        <f t="shared" si="23"/>
        <v>STATE OF QATAR</v>
      </c>
      <c r="R85" s="1">
        <f t="shared" si="24"/>
        <v>108</v>
      </c>
      <c r="S85" s="1">
        <f t="shared" si="25"/>
        <v>172</v>
      </c>
      <c r="T85" s="1">
        <v>172</v>
      </c>
      <c r="V85" s="1" t="str">
        <f>IF([1]TIM!F85="","",[1]TIM!F85)</f>
        <v/>
      </c>
      <c r="W85" s="1" t="str">
        <f t="shared" si="26"/>
        <v/>
      </c>
      <c r="X85" s="1">
        <f t="shared" si="27"/>
        <v>0</v>
      </c>
      <c r="AI85" s="1">
        <f>IF([1]TIM!P85=[1]TIM!P85,[1]TIM!P85,"")</f>
        <v>0</v>
      </c>
      <c r="AJ85" s="1" t="str">
        <f t="shared" si="28"/>
        <v/>
      </c>
      <c r="AK85" s="1" t="str">
        <f t="shared" si="29"/>
        <v>0</v>
      </c>
      <c r="AL85" s="1" t="str">
        <f t="shared" si="30"/>
        <v>0</v>
      </c>
      <c r="AM85" s="1">
        <f t="shared" si="31"/>
        <v>543</v>
      </c>
      <c r="AN85" s="1" t="str">
        <f t="shared" si="32"/>
        <v>/0/543</v>
      </c>
      <c r="AP85" s="1">
        <f>IF([1]TIM!O85=[1]TIM!O85,[1]TIM!O85,"")</f>
        <v>0</v>
      </c>
      <c r="AQ85" s="1" t="str">
        <f t="shared" si="33"/>
        <v/>
      </c>
      <c r="AR85" s="1" t="str">
        <f t="shared" si="34"/>
        <v>0</v>
      </c>
      <c r="AS85" s="1" t="str">
        <f t="shared" si="35"/>
        <v>0</v>
      </c>
      <c r="AT85" s="1">
        <f t="shared" si="36"/>
        <v>543</v>
      </c>
      <c r="AU85" s="1" t="str">
        <f t="shared" si="37"/>
        <v>/0/543</v>
      </c>
    </row>
    <row r="86" spans="2:47" x14ac:dyDescent="0.3">
      <c r="B86" s="5">
        <v>86</v>
      </c>
      <c r="C86" s="6" t="s">
        <v>357</v>
      </c>
      <c r="D86" s="6" t="s">
        <v>358</v>
      </c>
      <c r="E86" s="2"/>
      <c r="F86" s="5">
        <v>106</v>
      </c>
      <c r="G86" s="7" t="s">
        <v>359</v>
      </c>
      <c r="H86" s="7" t="s">
        <v>360</v>
      </c>
      <c r="J86" s="1" t="s">
        <v>361</v>
      </c>
      <c r="K86" s="1" t="str">
        <f t="shared" si="19"/>
        <v xml:space="preserve"> </v>
      </c>
      <c r="L86" s="1">
        <f t="shared" si="20"/>
        <v>89</v>
      </c>
      <c r="M86" s="1">
        <f t="shared" si="38"/>
        <v>68</v>
      </c>
      <c r="N86" s="1">
        <v>68</v>
      </c>
      <c r="P86" s="1" t="str">
        <f t="shared" si="22"/>
        <v>Kuwait</v>
      </c>
      <c r="Q86" s="1" t="str">
        <f t="shared" si="23"/>
        <v>REPUBLIC OF YEMEN</v>
      </c>
      <c r="R86" s="1">
        <f t="shared" si="24"/>
        <v>109</v>
      </c>
      <c r="S86" s="1">
        <f t="shared" si="25"/>
        <v>68</v>
      </c>
      <c r="T86" s="1">
        <v>68</v>
      </c>
      <c r="V86" s="1" t="str">
        <f>IF([1]TIM!F86="","",[1]TIM!F86)</f>
        <v/>
      </c>
      <c r="W86" s="1" t="str">
        <f t="shared" si="26"/>
        <v/>
      </c>
      <c r="X86" s="1">
        <f t="shared" si="27"/>
        <v>0</v>
      </c>
      <c r="AI86" s="1">
        <f>IF([1]TIM!P86=[1]TIM!P86,[1]TIM!P86,"")</f>
        <v>0</v>
      </c>
      <c r="AJ86" s="1" t="str">
        <f t="shared" si="28"/>
        <v/>
      </c>
      <c r="AK86" s="1" t="str">
        <f t="shared" si="29"/>
        <v>0</v>
      </c>
      <c r="AL86" s="1" t="str">
        <f t="shared" si="30"/>
        <v>0</v>
      </c>
      <c r="AM86" s="1">
        <f t="shared" si="31"/>
        <v>543</v>
      </c>
      <c r="AN86" s="1" t="str">
        <f t="shared" si="32"/>
        <v>/0/543</v>
      </c>
      <c r="AP86" s="1">
        <f>IF([1]TIM!O86=[1]TIM!O86,[1]TIM!O86,"")</f>
        <v>0</v>
      </c>
      <c r="AQ86" s="1" t="str">
        <f t="shared" si="33"/>
        <v/>
      </c>
      <c r="AR86" s="1" t="str">
        <f t="shared" si="34"/>
        <v>0</v>
      </c>
      <c r="AS86" s="1" t="str">
        <f t="shared" si="35"/>
        <v>0</v>
      </c>
      <c r="AT86" s="1">
        <f t="shared" si="36"/>
        <v>543</v>
      </c>
      <c r="AU86" s="1" t="str">
        <f t="shared" si="37"/>
        <v>/0/543</v>
      </c>
    </row>
    <row r="87" spans="2:47" x14ac:dyDescent="0.3">
      <c r="B87" s="5">
        <v>87</v>
      </c>
      <c r="C87" s="6" t="s">
        <v>362</v>
      </c>
      <c r="D87" s="6" t="s">
        <v>279</v>
      </c>
      <c r="E87" s="2"/>
      <c r="F87" s="5">
        <v>107</v>
      </c>
      <c r="G87" s="7" t="s">
        <v>363</v>
      </c>
      <c r="H87" s="7" t="s">
        <v>364</v>
      </c>
      <c r="J87" s="1" t="s">
        <v>365</v>
      </c>
      <c r="K87" s="1" t="str">
        <f t="shared" si="19"/>
        <v xml:space="preserve"> </v>
      </c>
      <c r="L87" s="1">
        <f t="shared" si="20"/>
        <v>90</v>
      </c>
      <c r="M87" s="1">
        <f t="shared" si="38"/>
        <v>122</v>
      </c>
      <c r="N87" s="1">
        <v>122</v>
      </c>
      <c r="P87" s="1" t="str">
        <f t="shared" si="22"/>
        <v>Iceland</v>
      </c>
      <c r="Q87" s="1" t="str">
        <f t="shared" si="23"/>
        <v>REPUBLIC OF FIJI</v>
      </c>
      <c r="R87" s="1">
        <f t="shared" si="24"/>
        <v>111</v>
      </c>
      <c r="S87" s="1">
        <f t="shared" si="25"/>
        <v>122</v>
      </c>
      <c r="T87" s="1">
        <v>122</v>
      </c>
      <c r="V87" s="1" t="str">
        <f>IF([1]TIM!F87="","",[1]TIM!F87)</f>
        <v/>
      </c>
      <c r="W87" s="1" t="str">
        <f t="shared" si="26"/>
        <v/>
      </c>
      <c r="X87" s="1">
        <f t="shared" si="27"/>
        <v>0</v>
      </c>
      <c r="AI87" s="1">
        <f>IF([1]TIM!P87=[1]TIM!P87,[1]TIM!P87,"")</f>
        <v>0</v>
      </c>
      <c r="AJ87" s="1" t="str">
        <f t="shared" si="28"/>
        <v/>
      </c>
      <c r="AK87" s="1" t="str">
        <f t="shared" si="29"/>
        <v>0</v>
      </c>
      <c r="AL87" s="1" t="str">
        <f t="shared" si="30"/>
        <v>0</v>
      </c>
      <c r="AM87" s="1">
        <f t="shared" si="31"/>
        <v>543</v>
      </c>
      <c r="AN87" s="1" t="str">
        <f t="shared" si="32"/>
        <v>/0/543</v>
      </c>
      <c r="AP87" s="1">
        <f>IF([1]TIM!O87=[1]TIM!O87,[1]TIM!O87,"")</f>
        <v>0</v>
      </c>
      <c r="AQ87" s="1" t="str">
        <f t="shared" si="33"/>
        <v/>
      </c>
      <c r="AR87" s="1" t="str">
        <f t="shared" si="34"/>
        <v>0</v>
      </c>
      <c r="AS87" s="1" t="str">
        <f t="shared" si="35"/>
        <v>0</v>
      </c>
      <c r="AT87" s="1">
        <f t="shared" si="36"/>
        <v>543</v>
      </c>
      <c r="AU87" s="1" t="str">
        <f t="shared" si="37"/>
        <v>/0/543</v>
      </c>
    </row>
    <row r="88" spans="2:47" x14ac:dyDescent="0.3">
      <c r="B88" s="5">
        <v>88</v>
      </c>
      <c r="C88" s="6" t="s">
        <v>366</v>
      </c>
      <c r="D88" s="6" t="s">
        <v>279</v>
      </c>
      <c r="E88" s="2"/>
      <c r="F88" s="5">
        <v>108</v>
      </c>
      <c r="G88" s="7" t="s">
        <v>367</v>
      </c>
      <c r="H88" s="7" t="s">
        <v>368</v>
      </c>
      <c r="J88" s="1" t="s">
        <v>369</v>
      </c>
      <c r="K88" s="1" t="str">
        <f t="shared" si="19"/>
        <v xml:space="preserve"> </v>
      </c>
      <c r="L88" s="1">
        <f t="shared" si="20"/>
        <v>91</v>
      </c>
      <c r="M88" s="1">
        <f t="shared" si="38"/>
        <v>177</v>
      </c>
      <c r="N88" s="1">
        <v>177</v>
      </c>
      <c r="P88" s="1" t="str">
        <f t="shared" si="22"/>
        <v>Dominica</v>
      </c>
      <c r="Q88" s="1" t="str">
        <f t="shared" si="23"/>
        <v>REPUBLIC OF KIRIBATI</v>
      </c>
      <c r="R88" s="1">
        <f t="shared" si="24"/>
        <v>112</v>
      </c>
      <c r="S88" s="1">
        <f t="shared" si="25"/>
        <v>177</v>
      </c>
      <c r="T88" s="1">
        <v>177</v>
      </c>
      <c r="V88" s="1" t="str">
        <f>IF([1]TIM!F88="","",[1]TIM!F88)</f>
        <v/>
      </c>
      <c r="W88" s="1" t="str">
        <f t="shared" si="26"/>
        <v/>
      </c>
      <c r="X88" s="1">
        <f t="shared" si="27"/>
        <v>0</v>
      </c>
      <c r="AI88" s="1">
        <f>IF([1]TIM!P88=[1]TIM!P88,[1]TIM!P88,"")</f>
        <v>0</v>
      </c>
      <c r="AJ88" s="1" t="str">
        <f t="shared" si="28"/>
        <v/>
      </c>
      <c r="AK88" s="1" t="str">
        <f t="shared" si="29"/>
        <v>0</v>
      </c>
      <c r="AL88" s="1" t="str">
        <f t="shared" si="30"/>
        <v>0</v>
      </c>
      <c r="AM88" s="1">
        <f t="shared" si="31"/>
        <v>543</v>
      </c>
      <c r="AN88" s="1" t="str">
        <f t="shared" si="32"/>
        <v>/0/543</v>
      </c>
      <c r="AP88" s="1">
        <f>IF([1]TIM!O88=[1]TIM!O88,[1]TIM!O88,"")</f>
        <v>0</v>
      </c>
      <c r="AQ88" s="1" t="str">
        <f t="shared" si="33"/>
        <v/>
      </c>
      <c r="AR88" s="1" t="str">
        <f t="shared" si="34"/>
        <v>0</v>
      </c>
      <c r="AS88" s="1" t="str">
        <f t="shared" si="35"/>
        <v>0</v>
      </c>
      <c r="AT88" s="1">
        <f t="shared" si="36"/>
        <v>543</v>
      </c>
      <c r="AU88" s="1" t="str">
        <f t="shared" si="37"/>
        <v>/0/543</v>
      </c>
    </row>
    <row r="89" spans="2:47" x14ac:dyDescent="0.3">
      <c r="B89" s="5">
        <v>89</v>
      </c>
      <c r="C89" s="6" t="s">
        <v>370</v>
      </c>
      <c r="D89" s="6" t="s">
        <v>279</v>
      </c>
      <c r="E89" s="2"/>
      <c r="F89" s="5">
        <v>109</v>
      </c>
      <c r="G89" s="7" t="s">
        <v>371</v>
      </c>
      <c r="H89" s="7" t="s">
        <v>372</v>
      </c>
      <c r="J89" s="1" t="s">
        <v>373</v>
      </c>
      <c r="K89" s="1" t="str">
        <f t="shared" si="19"/>
        <v>Stateless</v>
      </c>
      <c r="L89" s="1">
        <f t="shared" si="20"/>
        <v>96</v>
      </c>
      <c r="M89" s="1" t="e">
        <f t="shared" si="38"/>
        <v>#N/A</v>
      </c>
      <c r="N89" s="1">
        <v>152</v>
      </c>
      <c r="P89" s="1" t="str">
        <f t="shared" si="22"/>
        <v>Mauritania</v>
      </c>
      <c r="Q89" s="1" t="str">
        <f t="shared" si="23"/>
        <v>REPUBLIC OF NAURU</v>
      </c>
      <c r="R89" s="1">
        <f t="shared" si="24"/>
        <v>113</v>
      </c>
      <c r="S89" s="1">
        <f t="shared" si="25"/>
        <v>152</v>
      </c>
      <c r="T89" s="1">
        <v>152</v>
      </c>
      <c r="V89" s="1" t="str">
        <f>IF([1]TIM!F89="","",[1]TIM!F89)</f>
        <v/>
      </c>
      <c r="W89" s="1" t="str">
        <f t="shared" si="26"/>
        <v/>
      </c>
      <c r="X89" s="1">
        <f t="shared" si="27"/>
        <v>0</v>
      </c>
      <c r="AI89" s="1">
        <f>IF([1]TIM!P89=[1]TIM!P89,[1]TIM!P89,"")</f>
        <v>0</v>
      </c>
      <c r="AJ89" s="1" t="str">
        <f t="shared" si="28"/>
        <v/>
      </c>
      <c r="AK89" s="1" t="str">
        <f t="shared" si="29"/>
        <v>0</v>
      </c>
      <c r="AL89" s="1" t="str">
        <f t="shared" si="30"/>
        <v>0</v>
      </c>
      <c r="AM89" s="1">
        <f t="shared" si="31"/>
        <v>543</v>
      </c>
      <c r="AN89" s="1" t="str">
        <f t="shared" si="32"/>
        <v>/0/543</v>
      </c>
      <c r="AP89" s="1">
        <f>IF([1]TIM!O89=[1]TIM!O89,[1]TIM!O89,"")</f>
        <v>0</v>
      </c>
      <c r="AQ89" s="1" t="str">
        <f t="shared" si="33"/>
        <v/>
      </c>
      <c r="AR89" s="1" t="str">
        <f t="shared" si="34"/>
        <v>0</v>
      </c>
      <c r="AS89" s="1" t="str">
        <f t="shared" si="35"/>
        <v>0</v>
      </c>
      <c r="AT89" s="1">
        <f t="shared" si="36"/>
        <v>543</v>
      </c>
      <c r="AU89" s="1" t="str">
        <f t="shared" si="37"/>
        <v>/0/543</v>
      </c>
    </row>
    <row r="90" spans="2:47" x14ac:dyDescent="0.3">
      <c r="B90" s="5">
        <v>90</v>
      </c>
      <c r="C90" s="6" t="s">
        <v>374</v>
      </c>
      <c r="D90" s="6" t="s">
        <v>279</v>
      </c>
      <c r="E90" s="2"/>
      <c r="F90" s="5">
        <v>111</v>
      </c>
      <c r="G90" s="7" t="s">
        <v>375</v>
      </c>
      <c r="H90" s="7" t="s">
        <v>376</v>
      </c>
      <c r="J90" s="1" t="s">
        <v>377</v>
      </c>
      <c r="K90" s="1" t="str">
        <f t="shared" si="19"/>
        <v>Other</v>
      </c>
      <c r="L90" s="1">
        <f t="shared" si="20"/>
        <v>97</v>
      </c>
      <c r="M90" s="1" t="e">
        <f t="shared" si="38"/>
        <v>#N/A</v>
      </c>
      <c r="N90" s="1">
        <v>102</v>
      </c>
      <c r="P90" s="1" t="str">
        <f t="shared" si="22"/>
        <v>Bhutan</v>
      </c>
      <c r="Q90" s="1" t="str">
        <f t="shared" si="23"/>
        <v>SOLOMON ISLANDS</v>
      </c>
      <c r="R90" s="1">
        <f t="shared" si="24"/>
        <v>114</v>
      </c>
      <c r="S90" s="1">
        <f t="shared" si="25"/>
        <v>102</v>
      </c>
      <c r="T90" s="1">
        <v>102</v>
      </c>
      <c r="V90" s="1" t="str">
        <f>IF([1]TIM!F90="","",[1]TIM!F90)</f>
        <v/>
      </c>
      <c r="W90" s="1" t="str">
        <f t="shared" si="26"/>
        <v/>
      </c>
      <c r="X90" s="1">
        <f t="shared" si="27"/>
        <v>0</v>
      </c>
      <c r="AI90" s="1">
        <f>IF([1]TIM!P90=[1]TIM!P90,[1]TIM!P90,"")</f>
        <v>0</v>
      </c>
      <c r="AJ90" s="1" t="str">
        <f t="shared" si="28"/>
        <v/>
      </c>
      <c r="AK90" s="1" t="str">
        <f t="shared" si="29"/>
        <v>0</v>
      </c>
      <c r="AL90" s="1" t="str">
        <f t="shared" si="30"/>
        <v>0</v>
      </c>
      <c r="AM90" s="1">
        <f t="shared" si="31"/>
        <v>543</v>
      </c>
      <c r="AN90" s="1" t="str">
        <f t="shared" si="32"/>
        <v>/0/543</v>
      </c>
      <c r="AP90" s="1">
        <f>IF([1]TIM!O90=[1]TIM!O90,[1]TIM!O90,"")</f>
        <v>0</v>
      </c>
      <c r="AQ90" s="1" t="str">
        <f t="shared" si="33"/>
        <v/>
      </c>
      <c r="AR90" s="1" t="str">
        <f t="shared" si="34"/>
        <v>0</v>
      </c>
      <c r="AS90" s="1" t="str">
        <f t="shared" si="35"/>
        <v>0</v>
      </c>
      <c r="AT90" s="1">
        <f t="shared" si="36"/>
        <v>543</v>
      </c>
      <c r="AU90" s="1" t="str">
        <f t="shared" si="37"/>
        <v>/0/543</v>
      </c>
    </row>
    <row r="91" spans="2:47" x14ac:dyDescent="0.3">
      <c r="B91" s="5">
        <v>91</v>
      </c>
      <c r="C91" s="6" t="s">
        <v>378</v>
      </c>
      <c r="D91" s="6" t="s">
        <v>279</v>
      </c>
      <c r="E91" s="2"/>
      <c r="F91" s="5">
        <v>112</v>
      </c>
      <c r="G91" s="7" t="s">
        <v>379</v>
      </c>
      <c r="H91" s="7" t="s">
        <v>380</v>
      </c>
      <c r="J91" s="1" t="s">
        <v>381</v>
      </c>
      <c r="K91" s="1" t="str">
        <f t="shared" si="19"/>
        <v>Non-Thai</v>
      </c>
      <c r="L91" s="1">
        <f t="shared" si="20"/>
        <v>98</v>
      </c>
      <c r="M91" s="1" t="e">
        <f t="shared" si="38"/>
        <v>#N/A</v>
      </c>
      <c r="N91" s="1">
        <v>31</v>
      </c>
      <c r="P91" s="1" t="str">
        <f t="shared" si="22"/>
        <v>Mexico</v>
      </c>
      <c r="Q91" s="1" t="str">
        <f t="shared" si="23"/>
        <v>KINGDOM OF TONGA</v>
      </c>
      <c r="R91" s="1">
        <f t="shared" si="24"/>
        <v>115</v>
      </c>
      <c r="S91" s="1" t="e">
        <f t="shared" si="25"/>
        <v>#N/A</v>
      </c>
      <c r="T91" s="1">
        <v>31</v>
      </c>
      <c r="V91" s="1" t="str">
        <f>IF([1]TIM!F91="","",[1]TIM!F91)</f>
        <v/>
      </c>
      <c r="W91" s="1" t="str">
        <f t="shared" si="26"/>
        <v/>
      </c>
      <c r="X91" s="1">
        <f t="shared" si="27"/>
        <v>0</v>
      </c>
      <c r="AI91" s="1">
        <f>IF([1]TIM!P91=[1]TIM!P91,[1]TIM!P91,"")</f>
        <v>0</v>
      </c>
      <c r="AJ91" s="1" t="str">
        <f t="shared" si="28"/>
        <v/>
      </c>
      <c r="AK91" s="1" t="str">
        <f t="shared" si="29"/>
        <v>0</v>
      </c>
      <c r="AL91" s="1" t="str">
        <f t="shared" si="30"/>
        <v>0</v>
      </c>
      <c r="AM91" s="1">
        <f t="shared" si="31"/>
        <v>543</v>
      </c>
      <c r="AN91" s="1" t="str">
        <f t="shared" si="32"/>
        <v>/0/543</v>
      </c>
      <c r="AP91" s="1">
        <f>IF([1]TIM!O91=[1]TIM!O91,[1]TIM!O91,"")</f>
        <v>0</v>
      </c>
      <c r="AQ91" s="1" t="str">
        <f t="shared" si="33"/>
        <v/>
      </c>
      <c r="AR91" s="1" t="str">
        <f t="shared" si="34"/>
        <v>0</v>
      </c>
      <c r="AS91" s="1" t="str">
        <f t="shared" si="35"/>
        <v>0</v>
      </c>
      <c r="AT91" s="1">
        <f t="shared" si="36"/>
        <v>543</v>
      </c>
      <c r="AU91" s="1" t="str">
        <f t="shared" si="37"/>
        <v>/0/543</v>
      </c>
    </row>
    <row r="92" spans="2:47" x14ac:dyDescent="0.3">
      <c r="B92" s="5">
        <v>96</v>
      </c>
      <c r="C92" s="6" t="s">
        <v>382</v>
      </c>
      <c r="D92" s="6" t="s">
        <v>383</v>
      </c>
      <c r="E92" s="2"/>
      <c r="F92" s="5">
        <v>113</v>
      </c>
      <c r="G92" s="7" t="s">
        <v>384</v>
      </c>
      <c r="H92" s="7" t="s">
        <v>385</v>
      </c>
      <c r="J92" s="1" t="s">
        <v>386</v>
      </c>
      <c r="K92" s="1" t="str">
        <f t="shared" si="19"/>
        <v>THAI</v>
      </c>
      <c r="L92" s="1">
        <f t="shared" si="20"/>
        <v>99</v>
      </c>
      <c r="M92" s="1">
        <f t="shared" si="38"/>
        <v>127</v>
      </c>
      <c r="N92" s="1">
        <v>127</v>
      </c>
      <c r="P92" s="1" t="str">
        <f t="shared" si="22"/>
        <v>Algeria</v>
      </c>
      <c r="Q92" s="1" t="str">
        <f t="shared" si="23"/>
        <v>TUVALU</v>
      </c>
      <c r="R92" s="1">
        <f t="shared" si="24"/>
        <v>116</v>
      </c>
      <c r="S92" s="1">
        <f t="shared" si="25"/>
        <v>127</v>
      </c>
      <c r="T92" s="1">
        <v>127</v>
      </c>
      <c r="V92" s="1" t="str">
        <f>IF([1]TIM!F92="","",[1]TIM!F92)</f>
        <v/>
      </c>
      <c r="W92" s="1" t="str">
        <f t="shared" si="26"/>
        <v/>
      </c>
      <c r="X92" s="1">
        <f t="shared" si="27"/>
        <v>0</v>
      </c>
      <c r="AI92" s="1">
        <f>IF([1]TIM!P92=[1]TIM!P92,[1]TIM!P92,"")</f>
        <v>0</v>
      </c>
      <c r="AJ92" s="1" t="str">
        <f t="shared" si="28"/>
        <v/>
      </c>
      <c r="AK92" s="1" t="str">
        <f t="shared" si="29"/>
        <v>0</v>
      </c>
      <c r="AL92" s="1" t="str">
        <f t="shared" si="30"/>
        <v>0</v>
      </c>
      <c r="AM92" s="1">
        <f t="shared" si="31"/>
        <v>543</v>
      </c>
      <c r="AN92" s="1" t="str">
        <f t="shared" si="32"/>
        <v>/0/543</v>
      </c>
      <c r="AP92" s="1">
        <f>IF([1]TIM!O92=[1]TIM!O92,[1]TIM!O92,"")</f>
        <v>0</v>
      </c>
      <c r="AQ92" s="1" t="str">
        <f t="shared" si="33"/>
        <v/>
      </c>
      <c r="AR92" s="1" t="str">
        <f t="shared" si="34"/>
        <v>0</v>
      </c>
      <c r="AS92" s="1" t="str">
        <f t="shared" si="35"/>
        <v>0</v>
      </c>
      <c r="AT92" s="1">
        <f t="shared" si="36"/>
        <v>543</v>
      </c>
      <c r="AU92" s="1" t="str">
        <f t="shared" si="37"/>
        <v>/0/543</v>
      </c>
    </row>
    <row r="93" spans="2:47" x14ac:dyDescent="0.3">
      <c r="B93" s="5">
        <v>97</v>
      </c>
      <c r="C93" s="6" t="s">
        <v>387</v>
      </c>
      <c r="D93" s="6" t="s">
        <v>388</v>
      </c>
      <c r="E93" s="2"/>
      <c r="F93" s="5">
        <v>114</v>
      </c>
      <c r="G93" s="7" t="s">
        <v>389</v>
      </c>
      <c r="H93" s="7" t="s">
        <v>390</v>
      </c>
      <c r="J93" s="1" t="s">
        <v>391</v>
      </c>
      <c r="K93" s="1" t="str">
        <f t="shared" si="19"/>
        <v>AFGHAN</v>
      </c>
      <c r="L93" s="1">
        <f t="shared" si="20"/>
        <v>100</v>
      </c>
      <c r="M93" s="1">
        <f t="shared" si="38"/>
        <v>237</v>
      </c>
      <c r="N93" s="1">
        <v>237</v>
      </c>
      <c r="P93" s="1" t="str">
        <f t="shared" si="22"/>
        <v>Latvia</v>
      </c>
      <c r="Q93" s="1" t="str">
        <f t="shared" si="23"/>
        <v>REPUBLIC OF VANUATU</v>
      </c>
      <c r="R93" s="1">
        <f t="shared" si="24"/>
        <v>117</v>
      </c>
      <c r="S93" s="1">
        <f t="shared" si="25"/>
        <v>237</v>
      </c>
      <c r="T93" s="1">
        <v>237</v>
      </c>
      <c r="V93" s="1" t="str">
        <f>IF([1]TIM!F93="","",[1]TIM!F93)</f>
        <v/>
      </c>
      <c r="W93" s="1" t="str">
        <f t="shared" si="26"/>
        <v/>
      </c>
      <c r="X93" s="1">
        <f t="shared" si="27"/>
        <v>0</v>
      </c>
      <c r="AI93" s="1">
        <f>IF([1]TIM!P93=[1]TIM!P93,[1]TIM!P93,"")</f>
        <v>0</v>
      </c>
      <c r="AJ93" s="1" t="str">
        <f t="shared" si="28"/>
        <v/>
      </c>
      <c r="AK93" s="1" t="str">
        <f t="shared" si="29"/>
        <v>0</v>
      </c>
      <c r="AL93" s="1" t="str">
        <f t="shared" si="30"/>
        <v>0</v>
      </c>
      <c r="AM93" s="1">
        <f t="shared" si="31"/>
        <v>543</v>
      </c>
      <c r="AN93" s="1" t="str">
        <f t="shared" si="32"/>
        <v>/0/543</v>
      </c>
      <c r="AP93" s="1">
        <f>IF([1]TIM!O93=[1]TIM!O93,[1]TIM!O93,"")</f>
        <v>0</v>
      </c>
      <c r="AQ93" s="1" t="str">
        <f t="shared" si="33"/>
        <v/>
      </c>
      <c r="AR93" s="1" t="str">
        <f t="shared" si="34"/>
        <v>0</v>
      </c>
      <c r="AS93" s="1" t="str">
        <f t="shared" si="35"/>
        <v>0</v>
      </c>
      <c r="AT93" s="1">
        <f t="shared" si="36"/>
        <v>543</v>
      </c>
      <c r="AU93" s="1" t="str">
        <f t="shared" si="37"/>
        <v>/0/543</v>
      </c>
    </row>
    <row r="94" spans="2:47" x14ac:dyDescent="0.3">
      <c r="B94" s="5">
        <v>98</v>
      </c>
      <c r="C94" s="6" t="s">
        <v>392</v>
      </c>
      <c r="D94" s="6" t="s">
        <v>393</v>
      </c>
      <c r="E94" s="2"/>
      <c r="F94" s="5">
        <v>115</v>
      </c>
      <c r="G94" s="7" t="s">
        <v>394</v>
      </c>
      <c r="H94" s="7" t="s">
        <v>395</v>
      </c>
      <c r="J94" s="1" t="s">
        <v>396</v>
      </c>
      <c r="K94" s="1" t="str">
        <f t="shared" si="19"/>
        <v>BAHRAINI</v>
      </c>
      <c r="L94" s="1">
        <f t="shared" si="20"/>
        <v>101</v>
      </c>
      <c r="M94" s="1">
        <f t="shared" si="38"/>
        <v>62</v>
      </c>
      <c r="N94" s="1">
        <v>62</v>
      </c>
      <c r="P94" s="1" t="str">
        <f t="shared" si="22"/>
        <v>Iran</v>
      </c>
      <c r="Q94" s="1" t="str">
        <f t="shared" si="23"/>
        <v>INDEPENDENT STATE OF SAMOA</v>
      </c>
      <c r="R94" s="1">
        <f t="shared" si="24"/>
        <v>118</v>
      </c>
      <c r="S94" s="1">
        <f t="shared" si="25"/>
        <v>62</v>
      </c>
      <c r="T94" s="1">
        <v>62</v>
      </c>
      <c r="V94" s="1" t="str">
        <f>IF([1]TIM!F94="","",[1]TIM!F94)</f>
        <v/>
      </c>
      <c r="W94" s="1" t="str">
        <f t="shared" si="26"/>
        <v/>
      </c>
      <c r="X94" s="1">
        <f t="shared" si="27"/>
        <v>0</v>
      </c>
      <c r="AI94" s="1">
        <f>IF([1]TIM!P94=[1]TIM!P94,[1]TIM!P94,"")</f>
        <v>0</v>
      </c>
      <c r="AJ94" s="1" t="str">
        <f t="shared" si="28"/>
        <v/>
      </c>
      <c r="AK94" s="1" t="str">
        <f t="shared" si="29"/>
        <v>0</v>
      </c>
      <c r="AL94" s="1" t="str">
        <f t="shared" si="30"/>
        <v>0</v>
      </c>
      <c r="AM94" s="1">
        <f t="shared" si="31"/>
        <v>543</v>
      </c>
      <c r="AN94" s="1" t="str">
        <f t="shared" si="32"/>
        <v>/0/543</v>
      </c>
      <c r="AP94" s="1">
        <f>IF([1]TIM!O94=[1]TIM!O94,[1]TIM!O94,"")</f>
        <v>0</v>
      </c>
      <c r="AQ94" s="1" t="str">
        <f t="shared" si="33"/>
        <v/>
      </c>
      <c r="AR94" s="1" t="str">
        <f t="shared" si="34"/>
        <v>0</v>
      </c>
      <c r="AS94" s="1" t="str">
        <f t="shared" si="35"/>
        <v>0</v>
      </c>
      <c r="AT94" s="1">
        <f t="shared" si="36"/>
        <v>543</v>
      </c>
      <c r="AU94" s="1" t="str">
        <f t="shared" si="37"/>
        <v>/0/543</v>
      </c>
    </row>
    <row r="95" spans="2:47" x14ac:dyDescent="0.3">
      <c r="B95" s="5">
        <v>99</v>
      </c>
      <c r="C95" s="6" t="s">
        <v>330</v>
      </c>
      <c r="D95" s="6" t="s">
        <v>397</v>
      </c>
      <c r="E95" s="2"/>
      <c r="F95" s="5">
        <v>116</v>
      </c>
      <c r="G95" s="7" t="s">
        <v>398</v>
      </c>
      <c r="H95" s="7" t="s">
        <v>399</v>
      </c>
      <c r="J95" s="1" t="s">
        <v>400</v>
      </c>
      <c r="K95" s="1" t="str">
        <f t="shared" si="19"/>
        <v>BAHRAIN</v>
      </c>
      <c r="L95" s="1">
        <f t="shared" si="20"/>
        <v>102</v>
      </c>
      <c r="M95" s="1" t="e">
        <f t="shared" si="38"/>
        <v>#N/A</v>
      </c>
      <c r="N95" s="1">
        <v>154</v>
      </c>
      <c r="P95" s="1" t="str">
        <f t="shared" si="22"/>
        <v>Morocco</v>
      </c>
      <c r="Q95" s="1" t="str">
        <f t="shared" si="23"/>
        <v>REPUBLIC OF ALBANIA</v>
      </c>
      <c r="R95" s="1">
        <f t="shared" si="24"/>
        <v>119</v>
      </c>
      <c r="S95" s="1">
        <f t="shared" si="25"/>
        <v>154</v>
      </c>
      <c r="T95" s="1">
        <v>154</v>
      </c>
      <c r="V95" s="1" t="str">
        <f>IF([1]TIM!F95="","",[1]TIM!F95)</f>
        <v/>
      </c>
      <c r="W95" s="1" t="str">
        <f t="shared" si="26"/>
        <v/>
      </c>
      <c r="X95" s="1">
        <f t="shared" si="27"/>
        <v>0</v>
      </c>
      <c r="AI95" s="1">
        <f>IF([1]TIM!P95=[1]TIM!P95,[1]TIM!P95,"")</f>
        <v>0</v>
      </c>
      <c r="AJ95" s="1" t="str">
        <f t="shared" si="28"/>
        <v/>
      </c>
      <c r="AK95" s="1" t="str">
        <f t="shared" si="29"/>
        <v>0</v>
      </c>
      <c r="AL95" s="1" t="str">
        <f t="shared" si="30"/>
        <v>0</v>
      </c>
      <c r="AM95" s="1">
        <f t="shared" si="31"/>
        <v>543</v>
      </c>
      <c r="AN95" s="1" t="str">
        <f t="shared" si="32"/>
        <v>/0/543</v>
      </c>
      <c r="AP95" s="1">
        <f>IF([1]TIM!O95=[1]TIM!O95,[1]TIM!O95,"")</f>
        <v>0</v>
      </c>
      <c r="AQ95" s="1" t="str">
        <f t="shared" si="33"/>
        <v/>
      </c>
      <c r="AR95" s="1" t="str">
        <f t="shared" si="34"/>
        <v>0</v>
      </c>
      <c r="AS95" s="1" t="str">
        <f t="shared" si="35"/>
        <v>0</v>
      </c>
      <c r="AT95" s="1">
        <f t="shared" si="36"/>
        <v>543</v>
      </c>
      <c r="AU95" s="1" t="str">
        <f t="shared" si="37"/>
        <v>/0/543</v>
      </c>
    </row>
    <row r="96" spans="2:47" x14ac:dyDescent="0.3">
      <c r="B96" s="5">
        <v>100</v>
      </c>
      <c r="C96" s="6" t="s">
        <v>401</v>
      </c>
      <c r="D96" s="6" t="s">
        <v>402</v>
      </c>
      <c r="E96" s="2"/>
      <c r="F96" s="5">
        <v>117</v>
      </c>
      <c r="G96" s="7" t="s">
        <v>403</v>
      </c>
      <c r="H96" s="7" t="s">
        <v>404</v>
      </c>
      <c r="J96" s="1" t="s">
        <v>405</v>
      </c>
      <c r="K96" s="1" t="str">
        <f t="shared" si="19"/>
        <v>JORDAN</v>
      </c>
      <c r="L96" s="1">
        <f t="shared" si="20"/>
        <v>103</v>
      </c>
      <c r="M96" s="1">
        <f t="shared" si="38"/>
        <v>263</v>
      </c>
      <c r="N96" s="1">
        <v>263</v>
      </c>
      <c r="P96" s="1" t="str">
        <f t="shared" si="22"/>
        <v>Montenegro</v>
      </c>
      <c r="Q96" s="1" t="str">
        <f t="shared" si="23"/>
        <v>PRINCIPALITY OF ANDORRA</v>
      </c>
      <c r="R96" s="1">
        <f t="shared" si="24"/>
        <v>120</v>
      </c>
      <c r="S96" s="1">
        <f t="shared" si="25"/>
        <v>263</v>
      </c>
      <c r="T96" s="1">
        <v>263</v>
      </c>
      <c r="V96" s="1" t="str">
        <f>IF([1]TIM!F96="","",[1]TIM!F96)</f>
        <v/>
      </c>
      <c r="W96" s="1" t="str">
        <f t="shared" si="26"/>
        <v/>
      </c>
      <c r="X96" s="1">
        <f t="shared" si="27"/>
        <v>0</v>
      </c>
      <c r="AI96" s="1">
        <f>IF([1]TIM!P96=[1]TIM!P96,[1]TIM!P96,"")</f>
        <v>0</v>
      </c>
      <c r="AJ96" s="1" t="str">
        <f t="shared" si="28"/>
        <v/>
      </c>
      <c r="AK96" s="1" t="str">
        <f t="shared" si="29"/>
        <v>0</v>
      </c>
      <c r="AL96" s="1" t="str">
        <f t="shared" si="30"/>
        <v>0</v>
      </c>
      <c r="AM96" s="1">
        <f t="shared" si="31"/>
        <v>543</v>
      </c>
      <c r="AN96" s="1" t="str">
        <f t="shared" si="32"/>
        <v>/0/543</v>
      </c>
      <c r="AP96" s="1">
        <f>IF([1]TIM!O96=[1]TIM!O96,[1]TIM!O96,"")</f>
        <v>0</v>
      </c>
      <c r="AQ96" s="1" t="str">
        <f t="shared" si="33"/>
        <v/>
      </c>
      <c r="AR96" s="1" t="str">
        <f t="shared" si="34"/>
        <v>0</v>
      </c>
      <c r="AS96" s="1" t="str">
        <f t="shared" si="35"/>
        <v>0</v>
      </c>
      <c r="AT96" s="1">
        <f t="shared" si="36"/>
        <v>543</v>
      </c>
      <c r="AU96" s="1" t="str">
        <f t="shared" si="37"/>
        <v>/0/543</v>
      </c>
    </row>
    <row r="97" spans="2:47" x14ac:dyDescent="0.3">
      <c r="B97" s="5">
        <v>101</v>
      </c>
      <c r="C97" s="6" t="s">
        <v>338</v>
      </c>
      <c r="D97" s="6" t="s">
        <v>406</v>
      </c>
      <c r="E97" s="2"/>
      <c r="F97" s="5">
        <v>118</v>
      </c>
      <c r="G97" s="7" t="s">
        <v>407</v>
      </c>
      <c r="H97" s="7" t="s">
        <v>408</v>
      </c>
      <c r="J97" s="1" t="s">
        <v>409</v>
      </c>
      <c r="K97" s="1" t="str">
        <f t="shared" si="19"/>
        <v>THE DEMOCRATIC OF KOREA</v>
      </c>
      <c r="L97" s="1">
        <f t="shared" si="20"/>
        <v>104</v>
      </c>
      <c r="M97" s="1">
        <f t="shared" si="38"/>
        <v>221</v>
      </c>
      <c r="N97" s="1">
        <v>221</v>
      </c>
      <c r="P97" s="1" t="str">
        <f t="shared" si="22"/>
        <v>Croatia</v>
      </c>
      <c r="Q97" s="1" t="str">
        <f t="shared" si="23"/>
        <v>REPUBLIC OF ICELAND</v>
      </c>
      <c r="R97" s="1">
        <f t="shared" si="24"/>
        <v>122</v>
      </c>
      <c r="S97" s="1">
        <f t="shared" si="25"/>
        <v>221</v>
      </c>
      <c r="T97" s="1">
        <v>221</v>
      </c>
      <c r="V97" s="1" t="str">
        <f>IF([1]TIM!F97="","",[1]TIM!F97)</f>
        <v/>
      </c>
      <c r="W97" s="1" t="str">
        <f t="shared" si="26"/>
        <v/>
      </c>
      <c r="X97" s="1">
        <f t="shared" si="27"/>
        <v>0</v>
      </c>
      <c r="AI97" s="1">
        <f>IF([1]TIM!P97=[1]TIM!P97,[1]TIM!P97,"")</f>
        <v>0</v>
      </c>
      <c r="AJ97" s="1" t="str">
        <f t="shared" si="28"/>
        <v/>
      </c>
      <c r="AK97" s="1" t="str">
        <f t="shared" si="29"/>
        <v>0</v>
      </c>
      <c r="AL97" s="1" t="str">
        <f t="shared" si="30"/>
        <v>0</v>
      </c>
      <c r="AM97" s="1">
        <f t="shared" si="31"/>
        <v>543</v>
      </c>
      <c r="AN97" s="1" t="str">
        <f t="shared" si="32"/>
        <v>/0/543</v>
      </c>
      <c r="AP97" s="1">
        <f>IF([1]TIM!O97=[1]TIM!O97,[1]TIM!O97,"")</f>
        <v>0</v>
      </c>
      <c r="AQ97" s="1" t="str">
        <f t="shared" si="33"/>
        <v/>
      </c>
      <c r="AR97" s="1" t="str">
        <f t="shared" si="34"/>
        <v>0</v>
      </c>
      <c r="AS97" s="1" t="str">
        <f t="shared" si="35"/>
        <v>0</v>
      </c>
      <c r="AT97" s="1">
        <f t="shared" si="36"/>
        <v>543</v>
      </c>
      <c r="AU97" s="1" t="str">
        <f t="shared" si="37"/>
        <v>/0/543</v>
      </c>
    </row>
    <row r="98" spans="2:47" x14ac:dyDescent="0.3">
      <c r="B98" s="5">
        <v>102</v>
      </c>
      <c r="C98" s="6" t="s">
        <v>341</v>
      </c>
      <c r="D98" s="6" t="s">
        <v>410</v>
      </c>
      <c r="E98" s="2"/>
      <c r="F98" s="5">
        <v>119</v>
      </c>
      <c r="G98" s="7" t="s">
        <v>411</v>
      </c>
      <c r="H98" s="7" t="s">
        <v>412</v>
      </c>
      <c r="J98" s="1" t="s">
        <v>413</v>
      </c>
      <c r="K98" s="1" t="str">
        <f t="shared" si="19"/>
        <v>MALDIVIAN</v>
      </c>
      <c r="L98" s="1">
        <f t="shared" si="20"/>
        <v>105</v>
      </c>
      <c r="M98" s="1" t="e">
        <f t="shared" si="38"/>
        <v>#N/A</v>
      </c>
      <c r="N98" s="1">
        <v>234</v>
      </c>
      <c r="P98" s="1" t="str">
        <f t="shared" si="22"/>
        <v>Bosnia and Herzegovina</v>
      </c>
      <c r="Q98" s="1" t="str">
        <f t="shared" si="23"/>
        <v>PRINCIPALITY OF LIECHTENSTEIN</v>
      </c>
      <c r="R98" s="1">
        <f t="shared" si="24"/>
        <v>123</v>
      </c>
      <c r="S98" s="1">
        <f t="shared" si="25"/>
        <v>234</v>
      </c>
      <c r="T98" s="1">
        <v>234</v>
      </c>
      <c r="V98" s="1" t="str">
        <f>IF([1]TIM!F98="","",[1]TIM!F98)</f>
        <v/>
      </c>
      <c r="W98" s="1" t="str">
        <f t="shared" si="26"/>
        <v/>
      </c>
      <c r="X98" s="1">
        <f t="shared" si="27"/>
        <v>0</v>
      </c>
      <c r="AI98" s="1">
        <f>IF([1]TIM!P98=[1]TIM!P98,[1]TIM!P98,"")</f>
        <v>0</v>
      </c>
      <c r="AJ98" s="1" t="str">
        <f t="shared" si="28"/>
        <v/>
      </c>
      <c r="AK98" s="1" t="str">
        <f t="shared" si="29"/>
        <v>0</v>
      </c>
      <c r="AL98" s="1" t="str">
        <f t="shared" si="30"/>
        <v>0</v>
      </c>
      <c r="AM98" s="1">
        <f t="shared" si="31"/>
        <v>543</v>
      </c>
      <c r="AN98" s="1" t="str">
        <f t="shared" si="32"/>
        <v>/0/543</v>
      </c>
      <c r="AP98" s="1">
        <f>IF([1]TIM!O98=[1]TIM!O98,[1]TIM!O98,"")</f>
        <v>0</v>
      </c>
      <c r="AQ98" s="1" t="str">
        <f t="shared" si="33"/>
        <v/>
      </c>
      <c r="AR98" s="1" t="str">
        <f t="shared" si="34"/>
        <v>0</v>
      </c>
      <c r="AS98" s="1" t="str">
        <f t="shared" si="35"/>
        <v>0</v>
      </c>
      <c r="AT98" s="1">
        <f t="shared" si="36"/>
        <v>543</v>
      </c>
      <c r="AU98" s="1" t="str">
        <f t="shared" si="37"/>
        <v>/0/543</v>
      </c>
    </row>
    <row r="99" spans="2:47" x14ac:dyDescent="0.3">
      <c r="B99" s="5">
        <v>103</v>
      </c>
      <c r="C99" s="6" t="s">
        <v>344</v>
      </c>
      <c r="D99" s="6" t="s">
        <v>414</v>
      </c>
      <c r="E99" s="2"/>
      <c r="F99" s="5">
        <v>120</v>
      </c>
      <c r="G99" s="7" t="s">
        <v>415</v>
      </c>
      <c r="H99" s="7" t="s">
        <v>416</v>
      </c>
      <c r="J99" s="1" t="s">
        <v>417</v>
      </c>
      <c r="K99" s="1" t="str">
        <f t="shared" si="19"/>
        <v>MONGOLIA</v>
      </c>
      <c r="L99" s="1">
        <f t="shared" si="20"/>
        <v>106</v>
      </c>
      <c r="M99" s="1" t="e">
        <f t="shared" si="38"/>
        <v>#N/A</v>
      </c>
      <c r="N99" s="1">
        <v>80</v>
      </c>
      <c r="P99" s="1" t="str">
        <f t="shared" si="22"/>
        <v>Tokelau</v>
      </c>
      <c r="Q99" s="1" t="str">
        <f t="shared" si="23"/>
        <v>PRINCIPALITY OF MONACO</v>
      </c>
      <c r="R99" s="1">
        <f t="shared" si="24"/>
        <v>124</v>
      </c>
      <c r="S99" s="1" t="e">
        <f t="shared" si="25"/>
        <v>#N/A</v>
      </c>
      <c r="T99" s="1">
        <v>80</v>
      </c>
      <c r="V99" s="1" t="str">
        <f>IF([1]TIM!F99="","",[1]TIM!F99)</f>
        <v/>
      </c>
      <c r="W99" s="1" t="str">
        <f t="shared" si="26"/>
        <v/>
      </c>
      <c r="X99" s="1">
        <f t="shared" si="27"/>
        <v>0</v>
      </c>
      <c r="AI99" s="1">
        <f>IF([1]TIM!P99=[1]TIM!P99,[1]TIM!P99,"")</f>
        <v>0</v>
      </c>
      <c r="AJ99" s="1" t="str">
        <f t="shared" si="28"/>
        <v/>
      </c>
      <c r="AK99" s="1" t="str">
        <f t="shared" si="29"/>
        <v>0</v>
      </c>
      <c r="AL99" s="1" t="str">
        <f t="shared" si="30"/>
        <v>0</v>
      </c>
      <c r="AM99" s="1">
        <f t="shared" si="31"/>
        <v>543</v>
      </c>
      <c r="AN99" s="1" t="str">
        <f t="shared" si="32"/>
        <v>/0/543</v>
      </c>
      <c r="AP99" s="1">
        <f>IF([1]TIM!O99=[1]TIM!O99,[1]TIM!O99,"")</f>
        <v>0</v>
      </c>
      <c r="AQ99" s="1" t="str">
        <f t="shared" si="33"/>
        <v/>
      </c>
      <c r="AR99" s="1" t="str">
        <f t="shared" si="34"/>
        <v>0</v>
      </c>
      <c r="AS99" s="1" t="str">
        <f t="shared" si="35"/>
        <v>0</v>
      </c>
      <c r="AT99" s="1">
        <f t="shared" si="36"/>
        <v>543</v>
      </c>
      <c r="AU99" s="1" t="str">
        <f t="shared" si="37"/>
        <v>/0/543</v>
      </c>
    </row>
    <row r="100" spans="2:47" x14ac:dyDescent="0.3">
      <c r="B100" s="5">
        <v>104</v>
      </c>
      <c r="C100" s="6" t="s">
        <v>349</v>
      </c>
      <c r="D100" s="6" t="s">
        <v>418</v>
      </c>
      <c r="E100" s="2"/>
      <c r="F100" s="5">
        <v>122</v>
      </c>
      <c r="G100" s="7" t="s">
        <v>419</v>
      </c>
      <c r="H100" s="7" t="s">
        <v>420</v>
      </c>
      <c r="J100" s="1" t="s">
        <v>421</v>
      </c>
      <c r="K100" s="1" t="str">
        <f t="shared" si="19"/>
        <v>OMAN</v>
      </c>
      <c r="L100" s="1">
        <f t="shared" si="20"/>
        <v>107</v>
      </c>
      <c r="M100" s="1">
        <f t="shared" si="38"/>
        <v>170</v>
      </c>
      <c r="N100" s="1">
        <v>170</v>
      </c>
      <c r="P100" s="1" t="str">
        <f t="shared" si="22"/>
        <v>Zambia</v>
      </c>
      <c r="Q100" s="1" t="str">
        <f t="shared" si="23"/>
        <v>REPUBLIC OF SAN MARINO</v>
      </c>
      <c r="R100" s="1">
        <f t="shared" si="24"/>
        <v>125</v>
      </c>
      <c r="S100" s="1">
        <f t="shared" si="25"/>
        <v>170</v>
      </c>
      <c r="T100" s="1">
        <v>170</v>
      </c>
      <c r="V100" s="1" t="str">
        <f>IF([1]TIM!F100="","",[1]TIM!F100)</f>
        <v/>
      </c>
      <c r="W100" s="1" t="str">
        <f t="shared" si="26"/>
        <v/>
      </c>
      <c r="X100" s="1">
        <f t="shared" si="27"/>
        <v>0</v>
      </c>
      <c r="AI100" s="1">
        <f>IF([1]TIM!P100=[1]TIM!P100,[1]TIM!P100,"")</f>
        <v>0</v>
      </c>
      <c r="AJ100" s="1" t="str">
        <f t="shared" si="28"/>
        <v/>
      </c>
      <c r="AK100" s="1" t="str">
        <f t="shared" si="29"/>
        <v>0</v>
      </c>
      <c r="AL100" s="1" t="str">
        <f t="shared" si="30"/>
        <v>0</v>
      </c>
      <c r="AM100" s="1">
        <f t="shared" si="31"/>
        <v>543</v>
      </c>
      <c r="AN100" s="1" t="str">
        <f t="shared" si="32"/>
        <v>/0/543</v>
      </c>
      <c r="AP100" s="1">
        <f>IF([1]TIM!O100=[1]TIM!O100,[1]TIM!O100,"")</f>
        <v>0</v>
      </c>
      <c r="AQ100" s="1" t="str">
        <f t="shared" si="33"/>
        <v/>
      </c>
      <c r="AR100" s="1" t="str">
        <f t="shared" si="34"/>
        <v>0</v>
      </c>
      <c r="AS100" s="1" t="str">
        <f t="shared" si="35"/>
        <v>0</v>
      </c>
      <c r="AT100" s="1">
        <f t="shared" si="36"/>
        <v>543</v>
      </c>
      <c r="AU100" s="1" t="str">
        <f t="shared" si="37"/>
        <v>/0/543</v>
      </c>
    </row>
    <row r="101" spans="2:47" x14ac:dyDescent="0.3">
      <c r="B101" s="5">
        <v>105</v>
      </c>
      <c r="C101" s="6" t="s">
        <v>422</v>
      </c>
      <c r="D101" s="6" t="s">
        <v>423</v>
      </c>
      <c r="E101" s="2"/>
      <c r="F101" s="5">
        <v>123</v>
      </c>
      <c r="G101" s="7" t="s">
        <v>424</v>
      </c>
      <c r="H101" s="7" t="s">
        <v>425</v>
      </c>
      <c r="J101" s="1" t="s">
        <v>426</v>
      </c>
      <c r="K101" s="1" t="str">
        <f t="shared" si="19"/>
        <v>QATAR</v>
      </c>
      <c r="L101" s="1">
        <f t="shared" si="20"/>
        <v>108</v>
      </c>
      <c r="M101" s="1">
        <f t="shared" si="38"/>
        <v>64</v>
      </c>
      <c r="N101" s="1">
        <v>64</v>
      </c>
      <c r="P101" s="1" t="str">
        <f t="shared" si="22"/>
        <v>Bangladesh</v>
      </c>
      <c r="Q101" s="1" t="str">
        <f t="shared" si="23"/>
        <v>UNITED KINGDOM OF GREAT BRITAIN AND NORTHERN IRELAND</v>
      </c>
      <c r="R101" s="1">
        <f t="shared" si="24"/>
        <v>126</v>
      </c>
      <c r="S101" s="1">
        <f t="shared" si="25"/>
        <v>64</v>
      </c>
      <c r="T101" s="1">
        <v>64</v>
      </c>
      <c r="V101" s="1" t="str">
        <f>IF([1]TIM!F101="","",[1]TIM!F101)</f>
        <v/>
      </c>
      <c r="W101" s="1" t="str">
        <f t="shared" si="26"/>
        <v/>
      </c>
      <c r="X101" s="1">
        <f t="shared" si="27"/>
        <v>0</v>
      </c>
      <c r="AI101" s="1">
        <f>IF([1]TIM!P101=[1]TIM!P101,[1]TIM!P101,"")</f>
        <v>0</v>
      </c>
      <c r="AJ101" s="1" t="str">
        <f t="shared" si="28"/>
        <v/>
      </c>
      <c r="AK101" s="1" t="str">
        <f t="shared" si="29"/>
        <v>0</v>
      </c>
      <c r="AL101" s="1" t="str">
        <f t="shared" si="30"/>
        <v>0</v>
      </c>
      <c r="AM101" s="1">
        <f t="shared" si="31"/>
        <v>543</v>
      </c>
      <c r="AN101" s="1" t="str">
        <f t="shared" si="32"/>
        <v>/0/543</v>
      </c>
      <c r="AP101" s="1">
        <f>IF([1]TIM!O101=[1]TIM!O101,[1]TIM!O101,"")</f>
        <v>0</v>
      </c>
      <c r="AQ101" s="1" t="str">
        <f t="shared" si="33"/>
        <v/>
      </c>
      <c r="AR101" s="1" t="str">
        <f t="shared" si="34"/>
        <v>0</v>
      </c>
      <c r="AS101" s="1" t="str">
        <f t="shared" si="35"/>
        <v>0</v>
      </c>
      <c r="AT101" s="1">
        <f t="shared" si="36"/>
        <v>543</v>
      </c>
      <c r="AU101" s="1" t="str">
        <f t="shared" si="37"/>
        <v>/0/543</v>
      </c>
    </row>
    <row r="102" spans="2:47" x14ac:dyDescent="0.3">
      <c r="B102" s="5">
        <v>106</v>
      </c>
      <c r="C102" s="6" t="s">
        <v>359</v>
      </c>
      <c r="D102" s="6" t="s">
        <v>360</v>
      </c>
      <c r="E102" s="2"/>
      <c r="F102" s="5">
        <v>124</v>
      </c>
      <c r="G102" s="7" t="s">
        <v>427</v>
      </c>
      <c r="H102" s="7" t="s">
        <v>428</v>
      </c>
      <c r="J102" s="1" t="s">
        <v>429</v>
      </c>
      <c r="K102" s="1" t="str">
        <f t="shared" si="19"/>
        <v>YEMEN</v>
      </c>
      <c r="L102" s="1">
        <f t="shared" si="20"/>
        <v>109</v>
      </c>
      <c r="M102" s="1">
        <f t="shared" si="38"/>
        <v>150</v>
      </c>
      <c r="N102" s="1">
        <v>150</v>
      </c>
      <c r="P102" s="1" t="str">
        <f t="shared" si="22"/>
        <v>Malawi</v>
      </c>
      <c r="Q102" s="1" t="str">
        <f t="shared" si="23"/>
        <v>DEMOCRATIC AND POPULAR REPUBLIC OF ALGERIA</v>
      </c>
      <c r="R102" s="1">
        <f t="shared" si="24"/>
        <v>127</v>
      </c>
      <c r="S102" s="1">
        <f t="shared" si="25"/>
        <v>150</v>
      </c>
      <c r="T102" s="1">
        <v>150</v>
      </c>
      <c r="V102" s="1" t="str">
        <f>IF([1]TIM!F102="","",[1]TIM!F102)</f>
        <v/>
      </c>
      <c r="W102" s="1" t="str">
        <f t="shared" si="26"/>
        <v/>
      </c>
      <c r="X102" s="1">
        <f t="shared" si="27"/>
        <v>0</v>
      </c>
      <c r="AI102" s="1">
        <f>IF([1]TIM!P102=[1]TIM!P102,[1]TIM!P102,"")</f>
        <v>0</v>
      </c>
      <c r="AJ102" s="1" t="str">
        <f t="shared" si="28"/>
        <v/>
      </c>
      <c r="AK102" s="1" t="str">
        <f t="shared" si="29"/>
        <v>0</v>
      </c>
      <c r="AL102" s="1" t="str">
        <f t="shared" si="30"/>
        <v>0</v>
      </c>
      <c r="AM102" s="1">
        <f t="shared" si="31"/>
        <v>543</v>
      </c>
      <c r="AN102" s="1" t="str">
        <f t="shared" si="32"/>
        <v>/0/543</v>
      </c>
      <c r="AP102" s="1">
        <f>IF([1]TIM!O102=[1]TIM!O102,[1]TIM!O102,"")</f>
        <v>0</v>
      </c>
      <c r="AQ102" s="1" t="str">
        <f t="shared" si="33"/>
        <v/>
      </c>
      <c r="AR102" s="1" t="str">
        <f t="shared" si="34"/>
        <v>0</v>
      </c>
      <c r="AS102" s="1" t="str">
        <f t="shared" si="35"/>
        <v>0</v>
      </c>
      <c r="AT102" s="1">
        <f t="shared" si="36"/>
        <v>543</v>
      </c>
      <c r="AU102" s="1" t="str">
        <f t="shared" si="37"/>
        <v>/0/543</v>
      </c>
    </row>
    <row r="103" spans="2:47" x14ac:dyDescent="0.3">
      <c r="B103" s="5">
        <v>107</v>
      </c>
      <c r="C103" s="6" t="s">
        <v>363</v>
      </c>
      <c r="D103" s="6" t="s">
        <v>430</v>
      </c>
      <c r="E103" s="2"/>
      <c r="F103" s="5">
        <v>125</v>
      </c>
      <c r="G103" s="7" t="s">
        <v>431</v>
      </c>
      <c r="H103" s="7" t="s">
        <v>432</v>
      </c>
      <c r="J103" s="1" t="s">
        <v>433</v>
      </c>
      <c r="K103" s="1" t="str">
        <f t="shared" si="19"/>
        <v>FIJI</v>
      </c>
      <c r="L103" s="1">
        <f t="shared" si="20"/>
        <v>111</v>
      </c>
      <c r="M103" s="1">
        <f t="shared" si="38"/>
        <v>40</v>
      </c>
      <c r="N103" s="1">
        <v>40</v>
      </c>
      <c r="P103" s="1" t="str">
        <f t="shared" si="22"/>
        <v>Panama</v>
      </c>
      <c r="Q103" s="1" t="str">
        <f t="shared" si="23"/>
        <v>REPUBLIC OF ANGOLA</v>
      </c>
      <c r="R103" s="1">
        <f t="shared" si="24"/>
        <v>128</v>
      </c>
      <c r="S103" s="1">
        <f t="shared" si="25"/>
        <v>40</v>
      </c>
      <c r="T103" s="1">
        <v>40</v>
      </c>
      <c r="V103" s="1" t="str">
        <f>IF([1]TIM!F103="","",[1]TIM!F103)</f>
        <v/>
      </c>
      <c r="W103" s="1" t="str">
        <f t="shared" si="26"/>
        <v/>
      </c>
      <c r="X103" s="1">
        <f t="shared" si="27"/>
        <v>0</v>
      </c>
      <c r="AI103" s="1">
        <f>IF([1]TIM!P103=[1]TIM!P103,[1]TIM!P103,"")</f>
        <v>0</v>
      </c>
      <c r="AJ103" s="1" t="str">
        <f t="shared" si="28"/>
        <v/>
      </c>
      <c r="AK103" s="1" t="str">
        <f t="shared" si="29"/>
        <v>0</v>
      </c>
      <c r="AL103" s="1" t="str">
        <f t="shared" si="30"/>
        <v>0</v>
      </c>
      <c r="AM103" s="1">
        <f t="shared" si="31"/>
        <v>543</v>
      </c>
      <c r="AN103" s="1" t="str">
        <f t="shared" si="32"/>
        <v>/0/543</v>
      </c>
      <c r="AP103" s="1">
        <f>IF([1]TIM!O103=[1]TIM!O103,[1]TIM!O103,"")</f>
        <v>0</v>
      </c>
      <c r="AQ103" s="1" t="str">
        <f t="shared" si="33"/>
        <v/>
      </c>
      <c r="AR103" s="1" t="str">
        <f t="shared" si="34"/>
        <v>0</v>
      </c>
      <c r="AS103" s="1" t="str">
        <f t="shared" si="35"/>
        <v>0</v>
      </c>
      <c r="AT103" s="1">
        <f t="shared" si="36"/>
        <v>543</v>
      </c>
      <c r="AU103" s="1" t="str">
        <f t="shared" si="37"/>
        <v>/0/543</v>
      </c>
    </row>
    <row r="104" spans="2:47" x14ac:dyDescent="0.3">
      <c r="B104" s="5">
        <v>108</v>
      </c>
      <c r="C104" s="6" t="s">
        <v>367</v>
      </c>
      <c r="D104" s="6" t="s">
        <v>434</v>
      </c>
      <c r="E104" s="2"/>
      <c r="F104" s="5">
        <v>126</v>
      </c>
      <c r="G104" s="7" t="s">
        <v>435</v>
      </c>
      <c r="H104" s="7" t="s">
        <v>436</v>
      </c>
      <c r="J104" s="1" t="s">
        <v>437</v>
      </c>
      <c r="K104" s="1" t="str">
        <f t="shared" si="19"/>
        <v>KIRIBATI</v>
      </c>
      <c r="L104" s="1">
        <f t="shared" si="20"/>
        <v>112</v>
      </c>
      <c r="M104" s="1">
        <f t="shared" si="38"/>
        <v>42</v>
      </c>
      <c r="N104" s="1">
        <v>42</v>
      </c>
      <c r="P104" s="1" t="str">
        <f t="shared" si="22"/>
        <v>Venezuela</v>
      </c>
      <c r="Q104" s="1" t="str">
        <f t="shared" si="23"/>
        <v>REPUBLIC OF BENIN</v>
      </c>
      <c r="R104" s="1">
        <f t="shared" si="24"/>
        <v>129</v>
      </c>
      <c r="S104" s="1">
        <f t="shared" si="25"/>
        <v>42</v>
      </c>
      <c r="T104" s="1">
        <v>42</v>
      </c>
      <c r="V104" s="1" t="str">
        <f>IF([1]TIM!F104="","",[1]TIM!F104)</f>
        <v/>
      </c>
      <c r="W104" s="1" t="str">
        <f t="shared" si="26"/>
        <v/>
      </c>
      <c r="X104" s="1">
        <f t="shared" si="27"/>
        <v>0</v>
      </c>
      <c r="AI104" s="1">
        <f>IF([1]TIM!P104=[1]TIM!P104,[1]TIM!P104,"")</f>
        <v>0</v>
      </c>
      <c r="AJ104" s="1" t="str">
        <f t="shared" si="28"/>
        <v/>
      </c>
      <c r="AK104" s="1" t="str">
        <f t="shared" si="29"/>
        <v>0</v>
      </c>
      <c r="AL104" s="1" t="str">
        <f t="shared" si="30"/>
        <v>0</v>
      </c>
      <c r="AM104" s="1">
        <f t="shared" si="31"/>
        <v>543</v>
      </c>
      <c r="AN104" s="1" t="str">
        <f t="shared" si="32"/>
        <v>/0/543</v>
      </c>
      <c r="AP104" s="1">
        <f>IF([1]TIM!O104=[1]TIM!O104,[1]TIM!O104,"")</f>
        <v>0</v>
      </c>
      <c r="AQ104" s="1" t="str">
        <f t="shared" si="33"/>
        <v/>
      </c>
      <c r="AR104" s="1" t="str">
        <f t="shared" si="34"/>
        <v>0</v>
      </c>
      <c r="AS104" s="1" t="str">
        <f t="shared" si="35"/>
        <v>0</v>
      </c>
      <c r="AT104" s="1">
        <f t="shared" si="36"/>
        <v>543</v>
      </c>
      <c r="AU104" s="1" t="str">
        <f t="shared" si="37"/>
        <v>/0/543</v>
      </c>
    </row>
    <row r="105" spans="2:47" x14ac:dyDescent="0.3">
      <c r="B105" s="5">
        <v>109</v>
      </c>
      <c r="C105" s="6" t="s">
        <v>371</v>
      </c>
      <c r="D105" s="6" t="s">
        <v>438</v>
      </c>
      <c r="E105" s="2"/>
      <c r="F105" s="5">
        <v>127</v>
      </c>
      <c r="G105" s="7" t="s">
        <v>439</v>
      </c>
      <c r="H105" s="7" t="s">
        <v>440</v>
      </c>
      <c r="J105" s="1" t="s">
        <v>441</v>
      </c>
      <c r="K105" s="1" t="str">
        <f t="shared" si="19"/>
        <v>NAURU</v>
      </c>
      <c r="L105" s="1">
        <f t="shared" si="20"/>
        <v>113</v>
      </c>
      <c r="M105" s="1">
        <f t="shared" si="38"/>
        <v>32</v>
      </c>
      <c r="N105" s="1">
        <v>32</v>
      </c>
      <c r="P105" s="1" t="str">
        <f t="shared" si="22"/>
        <v>Cuba</v>
      </c>
      <c r="Q105" s="1" t="str">
        <f t="shared" si="23"/>
        <v>REPUBLIC OF BOTSWANA</v>
      </c>
      <c r="R105" s="1">
        <f t="shared" si="24"/>
        <v>130</v>
      </c>
      <c r="S105" s="1">
        <f t="shared" si="25"/>
        <v>32</v>
      </c>
      <c r="T105" s="1">
        <v>32</v>
      </c>
      <c r="V105" s="1" t="str">
        <f>IF([1]TIM!F105="","",[1]TIM!F105)</f>
        <v/>
      </c>
      <c r="W105" s="1" t="str">
        <f t="shared" si="26"/>
        <v/>
      </c>
      <c r="X105" s="1">
        <f t="shared" si="27"/>
        <v>0</v>
      </c>
      <c r="AI105" s="1">
        <f>IF([1]TIM!P105=[1]TIM!P105,[1]TIM!P105,"")</f>
        <v>0</v>
      </c>
      <c r="AJ105" s="1" t="str">
        <f t="shared" si="28"/>
        <v/>
      </c>
      <c r="AK105" s="1" t="str">
        <f t="shared" si="29"/>
        <v>0</v>
      </c>
      <c r="AL105" s="1" t="str">
        <f t="shared" si="30"/>
        <v>0</v>
      </c>
      <c r="AM105" s="1">
        <f t="shared" si="31"/>
        <v>543</v>
      </c>
      <c r="AN105" s="1" t="str">
        <f t="shared" si="32"/>
        <v>/0/543</v>
      </c>
      <c r="AP105" s="1">
        <f>IF([1]TIM!O105=[1]TIM!O105,[1]TIM!O105,"")</f>
        <v>0</v>
      </c>
      <c r="AQ105" s="1" t="str">
        <f t="shared" si="33"/>
        <v/>
      </c>
      <c r="AR105" s="1" t="str">
        <f t="shared" si="34"/>
        <v>0</v>
      </c>
      <c r="AS105" s="1" t="str">
        <f t="shared" si="35"/>
        <v>0</v>
      </c>
      <c r="AT105" s="1">
        <f t="shared" si="36"/>
        <v>543</v>
      </c>
      <c r="AU105" s="1" t="str">
        <f t="shared" si="37"/>
        <v>/0/543</v>
      </c>
    </row>
    <row r="106" spans="2:47" x14ac:dyDescent="0.3">
      <c r="B106" s="5">
        <v>111</v>
      </c>
      <c r="C106" s="6" t="s">
        <v>442</v>
      </c>
      <c r="D106" s="6" t="s">
        <v>443</v>
      </c>
      <c r="E106" s="2"/>
      <c r="F106" s="5">
        <v>128</v>
      </c>
      <c r="G106" s="7" t="s">
        <v>444</v>
      </c>
      <c r="H106" s="7" t="s">
        <v>445</v>
      </c>
      <c r="J106" s="1" t="s">
        <v>446</v>
      </c>
      <c r="K106" s="1" t="str">
        <f t="shared" si="19"/>
        <v>SOLOMON ISLANDS</v>
      </c>
      <c r="L106" s="1">
        <f t="shared" si="20"/>
        <v>114</v>
      </c>
      <c r="M106" s="1">
        <f t="shared" si="38"/>
        <v>240</v>
      </c>
      <c r="N106" s="1">
        <v>240</v>
      </c>
      <c r="P106" s="1" t="str">
        <f t="shared" si="22"/>
        <v>Moldova</v>
      </c>
      <c r="Q106" s="1" t="str">
        <f t="shared" si="23"/>
        <v>BURKINA FASO</v>
      </c>
      <c r="R106" s="1">
        <f t="shared" si="24"/>
        <v>131</v>
      </c>
      <c r="S106" s="1">
        <f t="shared" si="25"/>
        <v>240</v>
      </c>
      <c r="T106" s="1">
        <v>240</v>
      </c>
      <c r="V106" s="1" t="str">
        <f>IF([1]TIM!F106="","",[1]TIM!F106)</f>
        <v/>
      </c>
      <c r="W106" s="1" t="str">
        <f t="shared" si="26"/>
        <v/>
      </c>
      <c r="X106" s="1">
        <f t="shared" si="27"/>
        <v>0</v>
      </c>
      <c r="AI106" s="1">
        <f>IF([1]TIM!P106=[1]TIM!P106,[1]TIM!P106,"")</f>
        <v>0</v>
      </c>
      <c r="AJ106" s="1" t="str">
        <f t="shared" si="28"/>
        <v/>
      </c>
      <c r="AK106" s="1" t="str">
        <f t="shared" si="29"/>
        <v>0</v>
      </c>
      <c r="AL106" s="1" t="str">
        <f t="shared" si="30"/>
        <v>0</v>
      </c>
      <c r="AM106" s="1">
        <f t="shared" si="31"/>
        <v>543</v>
      </c>
      <c r="AN106" s="1" t="str">
        <f t="shared" si="32"/>
        <v>/0/543</v>
      </c>
      <c r="AP106" s="1">
        <f>IF([1]TIM!O106=[1]TIM!O106,[1]TIM!O106,"")</f>
        <v>0</v>
      </c>
      <c r="AQ106" s="1" t="str">
        <f t="shared" si="33"/>
        <v/>
      </c>
      <c r="AR106" s="1" t="str">
        <f t="shared" si="34"/>
        <v>0</v>
      </c>
      <c r="AS106" s="1" t="str">
        <f t="shared" si="35"/>
        <v>0</v>
      </c>
      <c r="AT106" s="1">
        <f t="shared" si="36"/>
        <v>543</v>
      </c>
      <c r="AU106" s="1" t="str">
        <f t="shared" si="37"/>
        <v>/0/543</v>
      </c>
    </row>
    <row r="107" spans="2:47" x14ac:dyDescent="0.3">
      <c r="B107" s="5">
        <v>112</v>
      </c>
      <c r="C107" s="6" t="s">
        <v>379</v>
      </c>
      <c r="D107" s="6" t="s">
        <v>447</v>
      </c>
      <c r="E107" s="2"/>
      <c r="F107" s="5">
        <v>129</v>
      </c>
      <c r="G107" s="7" t="s">
        <v>448</v>
      </c>
      <c r="H107" s="7" t="s">
        <v>449</v>
      </c>
      <c r="J107" s="1" t="s">
        <v>450</v>
      </c>
      <c r="K107" s="1" t="str">
        <f t="shared" si="19"/>
        <v>TONGA</v>
      </c>
      <c r="L107" s="1">
        <f t="shared" si="20"/>
        <v>115</v>
      </c>
      <c r="M107" s="1">
        <f t="shared" si="38"/>
        <v>167</v>
      </c>
      <c r="N107" s="1">
        <v>167</v>
      </c>
      <c r="P107" s="1" t="str">
        <f t="shared" si="22"/>
        <v>Tunisia</v>
      </c>
      <c r="Q107" s="1" t="str">
        <f t="shared" si="23"/>
        <v>REPUBLIC OF BURUNDI</v>
      </c>
      <c r="R107" s="1">
        <f t="shared" si="24"/>
        <v>132</v>
      </c>
      <c r="S107" s="1">
        <f t="shared" si="25"/>
        <v>167</v>
      </c>
      <c r="T107" s="1">
        <v>167</v>
      </c>
      <c r="V107" s="1" t="str">
        <f>IF([1]TIM!F107="","",[1]TIM!F107)</f>
        <v/>
      </c>
      <c r="W107" s="1" t="str">
        <f t="shared" si="26"/>
        <v/>
      </c>
      <c r="X107" s="1">
        <f t="shared" si="27"/>
        <v>0</v>
      </c>
      <c r="AI107" s="1">
        <f>IF([1]TIM!P107=[1]TIM!P107,[1]TIM!P107,"")</f>
        <v>0</v>
      </c>
      <c r="AJ107" s="1" t="str">
        <f t="shared" si="28"/>
        <v/>
      </c>
      <c r="AK107" s="1" t="str">
        <f t="shared" si="29"/>
        <v>0</v>
      </c>
      <c r="AL107" s="1" t="str">
        <f t="shared" si="30"/>
        <v>0</v>
      </c>
      <c r="AM107" s="1">
        <f t="shared" si="31"/>
        <v>543</v>
      </c>
      <c r="AN107" s="1" t="str">
        <f t="shared" si="32"/>
        <v>/0/543</v>
      </c>
      <c r="AP107" s="1">
        <f>IF([1]TIM!O107=[1]TIM!O107,[1]TIM!O107,"")</f>
        <v>0</v>
      </c>
      <c r="AQ107" s="1" t="str">
        <f t="shared" si="33"/>
        <v/>
      </c>
      <c r="AR107" s="1" t="str">
        <f t="shared" si="34"/>
        <v>0</v>
      </c>
      <c r="AS107" s="1" t="str">
        <f t="shared" si="35"/>
        <v>0</v>
      </c>
      <c r="AT107" s="1">
        <f t="shared" si="36"/>
        <v>543</v>
      </c>
      <c r="AU107" s="1" t="str">
        <f t="shared" si="37"/>
        <v>/0/543</v>
      </c>
    </row>
    <row r="108" spans="2:47" x14ac:dyDescent="0.3">
      <c r="B108" s="5">
        <v>113</v>
      </c>
      <c r="C108" s="6" t="s">
        <v>384</v>
      </c>
      <c r="D108" s="6" t="s">
        <v>451</v>
      </c>
      <c r="E108" s="2"/>
      <c r="F108" s="5">
        <v>130</v>
      </c>
      <c r="G108" s="7" t="s">
        <v>452</v>
      </c>
      <c r="H108" s="7" t="s">
        <v>453</v>
      </c>
      <c r="J108" s="1" t="s">
        <v>454</v>
      </c>
      <c r="K108" s="1" t="str">
        <f t="shared" si="19"/>
        <v>TUVALU</v>
      </c>
      <c r="L108" s="1">
        <f t="shared" si="20"/>
        <v>116</v>
      </c>
      <c r="M108" s="1">
        <f t="shared" si="38"/>
        <v>194</v>
      </c>
      <c r="N108" s="1">
        <v>194</v>
      </c>
      <c r="P108" s="1" t="str">
        <f t="shared" si="22"/>
        <v>Suriname</v>
      </c>
      <c r="Q108" s="1" t="str">
        <f t="shared" si="23"/>
        <v>REPUBLIC OF CAMEROON</v>
      </c>
      <c r="R108" s="1">
        <f t="shared" si="24"/>
        <v>133</v>
      </c>
      <c r="S108" s="1">
        <f t="shared" si="25"/>
        <v>194</v>
      </c>
      <c r="T108" s="1">
        <v>194</v>
      </c>
      <c r="V108" s="1" t="str">
        <f>IF([1]TIM!F108="","",[1]TIM!F108)</f>
        <v/>
      </c>
      <c r="W108" s="1" t="str">
        <f t="shared" si="26"/>
        <v/>
      </c>
      <c r="X108" s="1">
        <f t="shared" si="27"/>
        <v>0</v>
      </c>
      <c r="AI108" s="1">
        <f>IF([1]TIM!P108=[1]TIM!P108,[1]TIM!P108,"")</f>
        <v>0</v>
      </c>
      <c r="AJ108" s="1" t="str">
        <f t="shared" si="28"/>
        <v/>
      </c>
      <c r="AK108" s="1" t="str">
        <f t="shared" si="29"/>
        <v>0</v>
      </c>
      <c r="AL108" s="1" t="str">
        <f t="shared" si="30"/>
        <v>0</v>
      </c>
      <c r="AM108" s="1">
        <f t="shared" si="31"/>
        <v>543</v>
      </c>
      <c r="AN108" s="1" t="str">
        <f t="shared" si="32"/>
        <v>/0/543</v>
      </c>
      <c r="AP108" s="1">
        <f>IF([1]TIM!O108=[1]TIM!O108,[1]TIM!O108,"")</f>
        <v>0</v>
      </c>
      <c r="AQ108" s="1" t="str">
        <f t="shared" si="33"/>
        <v/>
      </c>
      <c r="AR108" s="1" t="str">
        <f t="shared" si="34"/>
        <v>0</v>
      </c>
      <c r="AS108" s="1" t="str">
        <f t="shared" si="35"/>
        <v>0</v>
      </c>
      <c r="AT108" s="1">
        <f t="shared" si="36"/>
        <v>543</v>
      </c>
      <c r="AU108" s="1" t="str">
        <f t="shared" si="37"/>
        <v>/0/543</v>
      </c>
    </row>
    <row r="109" spans="2:47" x14ac:dyDescent="0.3">
      <c r="B109" s="5">
        <v>114</v>
      </c>
      <c r="C109" s="6" t="s">
        <v>389</v>
      </c>
      <c r="D109" s="6" t="s">
        <v>390</v>
      </c>
      <c r="E109" s="2"/>
      <c r="F109" s="5">
        <v>131</v>
      </c>
      <c r="G109" s="7" t="s">
        <v>455</v>
      </c>
      <c r="H109" s="7" t="s">
        <v>456</v>
      </c>
      <c r="J109" s="1" t="s">
        <v>457</v>
      </c>
      <c r="K109" s="1" t="str">
        <f t="shared" si="19"/>
        <v>VANUATU</v>
      </c>
      <c r="L109" s="1">
        <f t="shared" si="20"/>
        <v>117</v>
      </c>
      <c r="M109" s="1">
        <f t="shared" si="38"/>
        <v>57</v>
      </c>
      <c r="N109" s="1">
        <v>57</v>
      </c>
      <c r="P109" s="1" t="str">
        <f t="shared" si="22"/>
        <v>Cambodia</v>
      </c>
      <c r="Q109" s="1" t="str">
        <f t="shared" si="23"/>
        <v>REPUBLIC OF CAPE VERDE</v>
      </c>
      <c r="R109" s="1">
        <f t="shared" si="24"/>
        <v>134</v>
      </c>
      <c r="S109" s="1">
        <f t="shared" si="25"/>
        <v>57</v>
      </c>
      <c r="T109" s="1">
        <v>57</v>
      </c>
      <c r="V109" s="1" t="str">
        <f>IF([1]TIM!F109="","",[1]TIM!F109)</f>
        <v/>
      </c>
      <c r="W109" s="1" t="str">
        <f t="shared" si="26"/>
        <v/>
      </c>
      <c r="X109" s="1">
        <f t="shared" si="27"/>
        <v>0</v>
      </c>
      <c r="AI109" s="1">
        <f>IF([1]TIM!P109=[1]TIM!P109,[1]TIM!P109,"")</f>
        <v>0</v>
      </c>
      <c r="AJ109" s="1" t="str">
        <f t="shared" si="28"/>
        <v/>
      </c>
      <c r="AK109" s="1" t="str">
        <f t="shared" si="29"/>
        <v>0</v>
      </c>
      <c r="AL109" s="1" t="str">
        <f t="shared" si="30"/>
        <v>0</v>
      </c>
      <c r="AM109" s="1">
        <f t="shared" si="31"/>
        <v>543</v>
      </c>
      <c r="AN109" s="1" t="str">
        <f t="shared" si="32"/>
        <v>/0/543</v>
      </c>
      <c r="AP109" s="1">
        <f>IF([1]TIM!O109=[1]TIM!O109,[1]TIM!O109,"")</f>
        <v>0</v>
      </c>
      <c r="AQ109" s="1" t="str">
        <f t="shared" si="33"/>
        <v/>
      </c>
      <c r="AR109" s="1" t="str">
        <f t="shared" si="34"/>
        <v>0</v>
      </c>
      <c r="AS109" s="1" t="str">
        <f t="shared" si="35"/>
        <v>0</v>
      </c>
      <c r="AT109" s="1">
        <f t="shared" si="36"/>
        <v>543</v>
      </c>
      <c r="AU109" s="1" t="str">
        <f t="shared" si="37"/>
        <v>/0/543</v>
      </c>
    </row>
    <row r="110" spans="2:47" x14ac:dyDescent="0.3">
      <c r="B110" s="5">
        <v>115</v>
      </c>
      <c r="C110" s="6" t="s">
        <v>458</v>
      </c>
      <c r="D110" s="6" t="s">
        <v>459</v>
      </c>
      <c r="E110" s="2"/>
      <c r="F110" s="5">
        <v>132</v>
      </c>
      <c r="G110" s="7" t="s">
        <v>460</v>
      </c>
      <c r="H110" s="7" t="s">
        <v>461</v>
      </c>
      <c r="J110" s="1" t="s">
        <v>462</v>
      </c>
      <c r="K110" s="1" t="str">
        <f t="shared" si="19"/>
        <v>SAMOAN</v>
      </c>
      <c r="L110" s="1">
        <f t="shared" si="20"/>
        <v>118</v>
      </c>
      <c r="M110" s="1">
        <f t="shared" si="38"/>
        <v>184</v>
      </c>
      <c r="N110" s="1">
        <v>184</v>
      </c>
      <c r="P110" s="1" t="str">
        <f t="shared" si="22"/>
        <v>Jamaica</v>
      </c>
      <c r="Q110" s="1" t="str">
        <f t="shared" si="23"/>
        <v>CENTRAL AFRICAN REPUBLIC</v>
      </c>
      <c r="R110" s="1">
        <f t="shared" si="24"/>
        <v>135</v>
      </c>
      <c r="S110" s="1">
        <f t="shared" si="25"/>
        <v>184</v>
      </c>
      <c r="T110" s="1">
        <v>184</v>
      </c>
      <c r="V110" s="1" t="str">
        <f>IF([1]TIM!F110="","",[1]TIM!F110)</f>
        <v/>
      </c>
      <c r="W110" s="1" t="str">
        <f t="shared" si="26"/>
        <v/>
      </c>
      <c r="X110" s="1">
        <f t="shared" si="27"/>
        <v>0</v>
      </c>
      <c r="AI110" s="1">
        <f>IF([1]TIM!P110=[1]TIM!P110,[1]TIM!P110,"")</f>
        <v>0</v>
      </c>
      <c r="AJ110" s="1" t="str">
        <f t="shared" si="28"/>
        <v/>
      </c>
      <c r="AK110" s="1" t="str">
        <f t="shared" si="29"/>
        <v>0</v>
      </c>
      <c r="AL110" s="1" t="str">
        <f t="shared" si="30"/>
        <v>0</v>
      </c>
      <c r="AM110" s="1">
        <f t="shared" si="31"/>
        <v>543</v>
      </c>
      <c r="AN110" s="1" t="str">
        <f t="shared" si="32"/>
        <v>/0/543</v>
      </c>
      <c r="AP110" s="1">
        <f>IF([1]TIM!O110=[1]TIM!O110,[1]TIM!O110,"")</f>
        <v>0</v>
      </c>
      <c r="AQ110" s="1" t="str">
        <f t="shared" si="33"/>
        <v/>
      </c>
      <c r="AR110" s="1" t="str">
        <f t="shared" si="34"/>
        <v>0</v>
      </c>
      <c r="AS110" s="1" t="str">
        <f t="shared" si="35"/>
        <v>0</v>
      </c>
      <c r="AT110" s="1">
        <f t="shared" si="36"/>
        <v>543</v>
      </c>
      <c r="AU110" s="1" t="str">
        <f t="shared" si="37"/>
        <v>/0/543</v>
      </c>
    </row>
    <row r="111" spans="2:47" x14ac:dyDescent="0.3">
      <c r="B111" s="5">
        <v>116</v>
      </c>
      <c r="C111" s="6" t="s">
        <v>398</v>
      </c>
      <c r="D111" s="6" t="s">
        <v>399</v>
      </c>
      <c r="E111" s="2"/>
      <c r="F111" s="5">
        <v>133</v>
      </c>
      <c r="G111" s="7" t="s">
        <v>463</v>
      </c>
      <c r="H111" s="7" t="s">
        <v>464</v>
      </c>
      <c r="J111" s="1" t="s">
        <v>465</v>
      </c>
      <c r="K111" s="1" t="str">
        <f t="shared" si="19"/>
        <v>ALBANIA</v>
      </c>
      <c r="L111" s="1">
        <f>B114</f>
        <v>119</v>
      </c>
      <c r="M111" s="1">
        <f>VLOOKUP("*"&amp;J111&amp;"*",$K$2:$L$258,2,FALSE)</f>
        <v>109</v>
      </c>
      <c r="N111" s="1">
        <v>109</v>
      </c>
      <c r="P111" s="1" t="str">
        <f t="shared" si="22"/>
        <v>Yemen</v>
      </c>
      <c r="Q111" s="1" t="str">
        <f t="shared" si="23"/>
        <v>REPUBLIC OF CHAD</v>
      </c>
      <c r="R111" s="1">
        <f t="shared" si="24"/>
        <v>136</v>
      </c>
      <c r="S111" s="1">
        <f t="shared" si="25"/>
        <v>109</v>
      </c>
      <c r="T111" s="1">
        <v>109</v>
      </c>
      <c r="V111" s="1" t="str">
        <f>IF([1]TIM!F111="","",[1]TIM!F111)</f>
        <v/>
      </c>
      <c r="W111" s="1" t="str">
        <f t="shared" si="26"/>
        <v/>
      </c>
      <c r="X111" s="1">
        <f t="shared" si="27"/>
        <v>0</v>
      </c>
      <c r="AI111" s="1">
        <f>IF([1]TIM!P111=[1]TIM!P111,[1]TIM!P111,"")</f>
        <v>0</v>
      </c>
      <c r="AJ111" s="1" t="str">
        <f t="shared" si="28"/>
        <v/>
      </c>
      <c r="AK111" s="1" t="str">
        <f t="shared" si="29"/>
        <v>0</v>
      </c>
      <c r="AL111" s="1" t="str">
        <f t="shared" si="30"/>
        <v>0</v>
      </c>
      <c r="AM111" s="1">
        <f t="shared" si="31"/>
        <v>543</v>
      </c>
      <c r="AN111" s="1" t="str">
        <f t="shared" si="32"/>
        <v>/0/543</v>
      </c>
      <c r="AP111" s="1">
        <f>IF([1]TIM!O111=[1]TIM!O111,[1]TIM!O111,"")</f>
        <v>0</v>
      </c>
      <c r="AQ111" s="1" t="str">
        <f t="shared" si="33"/>
        <v/>
      </c>
      <c r="AR111" s="1" t="str">
        <f t="shared" si="34"/>
        <v>0</v>
      </c>
      <c r="AS111" s="1" t="str">
        <f t="shared" si="35"/>
        <v>0</v>
      </c>
      <c r="AT111" s="1">
        <f t="shared" si="36"/>
        <v>543</v>
      </c>
      <c r="AU111" s="1" t="str">
        <f t="shared" si="37"/>
        <v>/0/543</v>
      </c>
    </row>
    <row r="112" spans="2:47" x14ac:dyDescent="0.3">
      <c r="B112" s="5">
        <v>117</v>
      </c>
      <c r="C112" s="6" t="s">
        <v>403</v>
      </c>
      <c r="D112" s="6" t="s">
        <v>466</v>
      </c>
      <c r="E112" s="2"/>
      <c r="F112" s="5">
        <v>134</v>
      </c>
      <c r="G112" s="7" t="s">
        <v>467</v>
      </c>
      <c r="H112" s="7" t="s">
        <v>468</v>
      </c>
      <c r="K112" s="1" t="str">
        <f>D115</f>
        <v>ANDORRA</v>
      </c>
      <c r="L112" s="1">
        <f t="shared" si="20"/>
        <v>120</v>
      </c>
      <c r="P112" s="1" t="str">
        <f t="shared" si="22"/>
        <v/>
      </c>
      <c r="Q112" s="1" t="str">
        <f t="shared" si="23"/>
        <v>FEDERAL ISLAMIC REPUBLIC OF THE COMOROS</v>
      </c>
      <c r="R112" s="1">
        <f t="shared" si="24"/>
        <v>137</v>
      </c>
      <c r="V112" s="1" t="str">
        <f>IF([1]TIM!F112="","",[1]TIM!F112)</f>
        <v/>
      </c>
      <c r="W112" s="1" t="str">
        <f t="shared" si="26"/>
        <v/>
      </c>
      <c r="X112" s="1">
        <f t="shared" si="27"/>
        <v>0</v>
      </c>
      <c r="AI112" s="1">
        <f>IF([1]TIM!P112=[1]TIM!P112,[1]TIM!P112,"")</f>
        <v>0</v>
      </c>
      <c r="AJ112" s="1" t="str">
        <f t="shared" si="28"/>
        <v/>
      </c>
      <c r="AK112" s="1" t="str">
        <f t="shared" si="29"/>
        <v>0</v>
      </c>
      <c r="AL112" s="1" t="str">
        <f t="shared" si="30"/>
        <v>0</v>
      </c>
      <c r="AM112" s="1">
        <f t="shared" si="31"/>
        <v>543</v>
      </c>
      <c r="AN112" s="1" t="str">
        <f t="shared" si="32"/>
        <v>/0/543</v>
      </c>
      <c r="AP112" s="1">
        <f>IF([1]TIM!O112=[1]TIM!O112,[1]TIM!O112,"")</f>
        <v>0</v>
      </c>
      <c r="AQ112" s="1" t="str">
        <f t="shared" si="33"/>
        <v/>
      </c>
      <c r="AR112" s="1" t="str">
        <f t="shared" si="34"/>
        <v>0</v>
      </c>
      <c r="AS112" s="1" t="str">
        <f t="shared" si="35"/>
        <v>0</v>
      </c>
      <c r="AT112" s="1">
        <f t="shared" si="36"/>
        <v>543</v>
      </c>
      <c r="AU112" s="1" t="str">
        <f t="shared" si="37"/>
        <v>/0/543</v>
      </c>
    </row>
    <row r="113" spans="2:47" x14ac:dyDescent="0.3">
      <c r="B113" s="5">
        <v>118</v>
      </c>
      <c r="C113" s="6" t="s">
        <v>407</v>
      </c>
      <c r="D113" s="6" t="s">
        <v>469</v>
      </c>
      <c r="E113" s="2"/>
      <c r="F113" s="5">
        <v>135</v>
      </c>
      <c r="G113" s="7" t="s">
        <v>470</v>
      </c>
      <c r="H113" s="7" t="s">
        <v>471</v>
      </c>
      <c r="K113" s="1" t="str">
        <f t="shared" si="19"/>
        <v>ICELAND</v>
      </c>
      <c r="L113" s="1">
        <f t="shared" si="20"/>
        <v>122</v>
      </c>
      <c r="P113" s="1" t="str">
        <f t="shared" si="22"/>
        <v/>
      </c>
      <c r="Q113" s="1" t="str">
        <f t="shared" si="23"/>
        <v>REPUBLIC OF THE CONGO</v>
      </c>
      <c r="R113" s="1">
        <f t="shared" si="24"/>
        <v>138</v>
      </c>
      <c r="V113" s="1" t="str">
        <f>IF([1]TIM!F113="","",[1]TIM!F113)</f>
        <v/>
      </c>
      <c r="W113" s="1" t="str">
        <f t="shared" si="26"/>
        <v/>
      </c>
      <c r="X113" s="1">
        <f t="shared" si="27"/>
        <v>0</v>
      </c>
      <c r="AI113" s="1">
        <f>IF([1]TIM!P113=[1]TIM!P113,[1]TIM!P113,"")</f>
        <v>0</v>
      </c>
      <c r="AJ113" s="1" t="str">
        <f t="shared" si="28"/>
        <v/>
      </c>
      <c r="AK113" s="1" t="str">
        <f t="shared" si="29"/>
        <v>0</v>
      </c>
      <c r="AL113" s="1" t="str">
        <f t="shared" si="30"/>
        <v>0</v>
      </c>
      <c r="AM113" s="1">
        <f t="shared" si="31"/>
        <v>543</v>
      </c>
      <c r="AN113" s="1" t="str">
        <f t="shared" si="32"/>
        <v>/0/543</v>
      </c>
      <c r="AP113" s="1">
        <f>IF([1]TIM!O113=[1]TIM!O113,[1]TIM!O113,"")</f>
        <v>0</v>
      </c>
      <c r="AQ113" s="1" t="str">
        <f t="shared" si="33"/>
        <v/>
      </c>
      <c r="AR113" s="1" t="str">
        <f t="shared" si="34"/>
        <v>0</v>
      </c>
      <c r="AS113" s="1" t="str">
        <f t="shared" si="35"/>
        <v>0</v>
      </c>
      <c r="AT113" s="1">
        <f t="shared" si="36"/>
        <v>543</v>
      </c>
      <c r="AU113" s="1" t="str">
        <f t="shared" si="37"/>
        <v>/0/543</v>
      </c>
    </row>
    <row r="114" spans="2:47" x14ac:dyDescent="0.3">
      <c r="B114" s="5">
        <v>119</v>
      </c>
      <c r="C114" s="6" t="s">
        <v>411</v>
      </c>
      <c r="D114" s="6" t="s">
        <v>472</v>
      </c>
      <c r="E114" s="2"/>
      <c r="F114" s="5">
        <v>136</v>
      </c>
      <c r="G114" s="7" t="s">
        <v>473</v>
      </c>
      <c r="H114" s="7" t="s">
        <v>474</v>
      </c>
      <c r="K114" s="1" t="str">
        <f>D117</f>
        <v>LIECHTENSTEIN</v>
      </c>
      <c r="L114" s="1">
        <f t="shared" si="20"/>
        <v>123</v>
      </c>
      <c r="P114" s="1" t="str">
        <f t="shared" si="22"/>
        <v/>
      </c>
      <c r="Q114" s="1" t="str">
        <f t="shared" si="23"/>
        <v>REPUBLIC OF COTE D'IVOIRE</v>
      </c>
      <c r="R114" s="1">
        <f t="shared" si="24"/>
        <v>139</v>
      </c>
      <c r="V114" s="1" t="str">
        <f>IF([1]TIM!F114="","",[1]TIM!F114)</f>
        <v/>
      </c>
      <c r="W114" s="1" t="str">
        <f t="shared" si="26"/>
        <v/>
      </c>
      <c r="X114" s="1">
        <f t="shared" si="27"/>
        <v>0</v>
      </c>
      <c r="AI114" s="1">
        <f>IF([1]TIM!P114=[1]TIM!P114,[1]TIM!P114,"")</f>
        <v>0</v>
      </c>
      <c r="AJ114" s="1" t="str">
        <f t="shared" si="28"/>
        <v/>
      </c>
      <c r="AK114" s="1" t="str">
        <f t="shared" si="29"/>
        <v>0</v>
      </c>
      <c r="AL114" s="1" t="str">
        <f t="shared" si="30"/>
        <v>0</v>
      </c>
      <c r="AM114" s="1">
        <f t="shared" si="31"/>
        <v>543</v>
      </c>
      <c r="AN114" s="1" t="str">
        <f t="shared" si="32"/>
        <v>/0/543</v>
      </c>
      <c r="AP114" s="1">
        <f>IF([1]TIM!O114=[1]TIM!O114,[1]TIM!O114,"")</f>
        <v>0</v>
      </c>
      <c r="AQ114" s="1" t="str">
        <f t="shared" si="33"/>
        <v/>
      </c>
      <c r="AR114" s="1" t="str">
        <f t="shared" si="34"/>
        <v>0</v>
      </c>
      <c r="AS114" s="1" t="str">
        <f t="shared" si="35"/>
        <v>0</v>
      </c>
      <c r="AT114" s="1">
        <f t="shared" si="36"/>
        <v>543</v>
      </c>
      <c r="AU114" s="1" t="str">
        <f t="shared" si="37"/>
        <v>/0/543</v>
      </c>
    </row>
    <row r="115" spans="2:47" x14ac:dyDescent="0.3">
      <c r="B115" s="5">
        <v>120</v>
      </c>
      <c r="C115" s="6" t="s">
        <v>415</v>
      </c>
      <c r="D115" s="6" t="s">
        <v>475</v>
      </c>
      <c r="E115" s="2"/>
      <c r="F115" s="5">
        <v>137</v>
      </c>
      <c r="G115" s="7" t="s">
        <v>476</v>
      </c>
      <c r="H115" s="7" t="s">
        <v>477</v>
      </c>
      <c r="K115" s="1" t="str">
        <f t="shared" si="19"/>
        <v>MONACO</v>
      </c>
      <c r="L115" s="1">
        <f t="shared" si="20"/>
        <v>124</v>
      </c>
      <c r="P115" s="1" t="str">
        <f t="shared" si="22"/>
        <v/>
      </c>
      <c r="Q115" s="1" t="str">
        <f t="shared" si="23"/>
        <v>REPUBLIC OF DJIBOUTI</v>
      </c>
      <c r="R115" s="1">
        <f t="shared" si="24"/>
        <v>140</v>
      </c>
      <c r="V115" s="1" t="str">
        <f>IF([1]TIM!F115="","",[1]TIM!F115)</f>
        <v/>
      </c>
      <c r="W115" s="1" t="str">
        <f t="shared" si="26"/>
        <v/>
      </c>
      <c r="X115" s="1">
        <f t="shared" si="27"/>
        <v>0</v>
      </c>
      <c r="AI115" s="1">
        <f>IF([1]TIM!P115=[1]TIM!P115,[1]TIM!P115,"")</f>
        <v>0</v>
      </c>
      <c r="AJ115" s="1" t="str">
        <f t="shared" si="28"/>
        <v/>
      </c>
      <c r="AK115" s="1" t="str">
        <f t="shared" si="29"/>
        <v>0</v>
      </c>
      <c r="AL115" s="1" t="str">
        <f t="shared" si="30"/>
        <v>0</v>
      </c>
      <c r="AM115" s="1">
        <f t="shared" si="31"/>
        <v>543</v>
      </c>
      <c r="AN115" s="1" t="str">
        <f t="shared" si="32"/>
        <v>/0/543</v>
      </c>
      <c r="AP115" s="1">
        <f>IF([1]TIM!O115=[1]TIM!O115,[1]TIM!O115,"")</f>
        <v>0</v>
      </c>
      <c r="AQ115" s="1" t="str">
        <f t="shared" si="33"/>
        <v/>
      </c>
      <c r="AR115" s="1" t="str">
        <f t="shared" si="34"/>
        <v>0</v>
      </c>
      <c r="AS115" s="1" t="str">
        <f t="shared" si="35"/>
        <v>0</v>
      </c>
      <c r="AT115" s="1">
        <f t="shared" si="36"/>
        <v>543</v>
      </c>
      <c r="AU115" s="1" t="str">
        <f t="shared" si="37"/>
        <v>/0/543</v>
      </c>
    </row>
    <row r="116" spans="2:47" x14ac:dyDescent="0.3">
      <c r="B116" s="5">
        <v>122</v>
      </c>
      <c r="C116" s="6" t="s">
        <v>419</v>
      </c>
      <c r="D116" s="6" t="s">
        <v>478</v>
      </c>
      <c r="E116" s="2"/>
      <c r="F116" s="5">
        <v>138</v>
      </c>
      <c r="G116" s="7" t="s">
        <v>479</v>
      </c>
      <c r="H116" s="7" t="s">
        <v>480</v>
      </c>
      <c r="K116" s="1" t="str">
        <f>D119</f>
        <v>SAN MARINO</v>
      </c>
      <c r="L116" s="1">
        <f t="shared" si="20"/>
        <v>125</v>
      </c>
      <c r="P116" s="1" t="str">
        <f t="shared" si="22"/>
        <v/>
      </c>
      <c r="Q116" s="1" t="str">
        <f t="shared" si="23"/>
        <v>REPUBLIC OF EQUATORIAL GUINEA</v>
      </c>
      <c r="R116" s="1">
        <f t="shared" si="24"/>
        <v>141</v>
      </c>
      <c r="V116" s="1" t="str">
        <f>IF([1]TIM!F116="","",[1]TIM!F116)</f>
        <v/>
      </c>
      <c r="W116" s="1" t="str">
        <f t="shared" si="26"/>
        <v/>
      </c>
      <c r="X116" s="1">
        <f t="shared" si="27"/>
        <v>0</v>
      </c>
      <c r="AI116" s="1">
        <f>IF([1]TIM!P116=[1]TIM!P116,[1]TIM!P116,"")</f>
        <v>0</v>
      </c>
      <c r="AJ116" s="1" t="str">
        <f t="shared" si="28"/>
        <v/>
      </c>
      <c r="AK116" s="1" t="str">
        <f t="shared" si="29"/>
        <v>0</v>
      </c>
      <c r="AL116" s="1" t="str">
        <f t="shared" si="30"/>
        <v>0</v>
      </c>
      <c r="AM116" s="1">
        <f t="shared" si="31"/>
        <v>543</v>
      </c>
      <c r="AN116" s="1" t="str">
        <f t="shared" si="32"/>
        <v>/0/543</v>
      </c>
      <c r="AP116" s="1">
        <f>IF([1]TIM!O116=[1]TIM!O116,[1]TIM!O116,"")</f>
        <v>0</v>
      </c>
      <c r="AQ116" s="1" t="str">
        <f t="shared" si="33"/>
        <v/>
      </c>
      <c r="AR116" s="1" t="str">
        <f t="shared" si="34"/>
        <v>0</v>
      </c>
      <c r="AS116" s="1" t="str">
        <f t="shared" si="35"/>
        <v>0</v>
      </c>
      <c r="AT116" s="1">
        <f t="shared" si="36"/>
        <v>543</v>
      </c>
      <c r="AU116" s="1" t="str">
        <f t="shared" si="37"/>
        <v>/0/543</v>
      </c>
    </row>
    <row r="117" spans="2:47" x14ac:dyDescent="0.3">
      <c r="B117" s="5">
        <v>123</v>
      </c>
      <c r="C117" s="6" t="s">
        <v>424</v>
      </c>
      <c r="D117" s="6" t="s">
        <v>481</v>
      </c>
      <c r="E117" s="2"/>
      <c r="F117" s="5">
        <v>139</v>
      </c>
      <c r="G117" s="7" t="s">
        <v>482</v>
      </c>
      <c r="H117" s="7" t="s">
        <v>483</v>
      </c>
      <c r="K117" s="1" t="str">
        <f t="shared" si="19"/>
        <v>British</v>
      </c>
      <c r="L117" s="1">
        <f t="shared" si="20"/>
        <v>126</v>
      </c>
      <c r="P117" s="1" t="str">
        <f t="shared" si="22"/>
        <v/>
      </c>
      <c r="Q117" s="1" t="str">
        <f t="shared" si="23"/>
        <v>GABONESE REPUBLIC</v>
      </c>
      <c r="R117" s="1">
        <f t="shared" si="24"/>
        <v>142</v>
      </c>
      <c r="V117" s="1" t="str">
        <f>IF([1]TIM!F117="","",[1]TIM!F117)</f>
        <v/>
      </c>
      <c r="W117" s="1" t="str">
        <f t="shared" si="26"/>
        <v/>
      </c>
      <c r="X117" s="1">
        <f t="shared" si="27"/>
        <v>0</v>
      </c>
      <c r="AI117" s="1">
        <f>IF([1]TIM!P117=[1]TIM!P117,[1]TIM!P117,"")</f>
        <v>0</v>
      </c>
      <c r="AJ117" s="1" t="str">
        <f t="shared" si="28"/>
        <v/>
      </c>
      <c r="AK117" s="1" t="str">
        <f t="shared" si="29"/>
        <v>0</v>
      </c>
      <c r="AL117" s="1" t="str">
        <f t="shared" si="30"/>
        <v>0</v>
      </c>
      <c r="AM117" s="1">
        <f t="shared" si="31"/>
        <v>543</v>
      </c>
      <c r="AN117" s="1" t="str">
        <f t="shared" si="32"/>
        <v>/0/543</v>
      </c>
      <c r="AP117" s="1">
        <f>IF([1]TIM!O117=[1]TIM!O117,[1]TIM!O117,"")</f>
        <v>0</v>
      </c>
      <c r="AQ117" s="1" t="str">
        <f t="shared" si="33"/>
        <v/>
      </c>
      <c r="AR117" s="1" t="str">
        <f t="shared" si="34"/>
        <v>0</v>
      </c>
      <c r="AS117" s="1" t="str">
        <f t="shared" si="35"/>
        <v>0</v>
      </c>
      <c r="AT117" s="1">
        <f t="shared" si="36"/>
        <v>543</v>
      </c>
      <c r="AU117" s="1" t="str">
        <f t="shared" si="37"/>
        <v>/0/543</v>
      </c>
    </row>
    <row r="118" spans="2:47" x14ac:dyDescent="0.3">
      <c r="B118" s="5">
        <v>124</v>
      </c>
      <c r="C118" s="6" t="s">
        <v>427</v>
      </c>
      <c r="D118" s="6" t="s">
        <v>484</v>
      </c>
      <c r="E118" s="2"/>
      <c r="F118" s="5">
        <v>140</v>
      </c>
      <c r="G118" s="7" t="s">
        <v>485</v>
      </c>
      <c r="H118" s="7" t="s">
        <v>486</v>
      </c>
      <c r="K118" s="1" t="str">
        <f t="shared" si="19"/>
        <v>ALGERIA</v>
      </c>
      <c r="L118" s="1">
        <f t="shared" si="20"/>
        <v>127</v>
      </c>
      <c r="P118" s="1" t="str">
        <f t="shared" si="22"/>
        <v/>
      </c>
      <c r="Q118" s="1" t="str">
        <f t="shared" si="23"/>
        <v>REPUBLIC OF THE GAMBIA</v>
      </c>
      <c r="R118" s="1">
        <f t="shared" si="24"/>
        <v>143</v>
      </c>
      <c r="V118" s="1" t="str">
        <f>IF([1]TIM!F118="","",[1]TIM!F118)</f>
        <v/>
      </c>
      <c r="W118" s="1" t="str">
        <f t="shared" si="26"/>
        <v/>
      </c>
      <c r="X118" s="1">
        <f t="shared" si="27"/>
        <v>0</v>
      </c>
      <c r="AI118" s="1">
        <f>IF([1]TIM!P118=[1]TIM!P118,[1]TIM!P118,"")</f>
        <v>0</v>
      </c>
      <c r="AJ118" s="1" t="str">
        <f t="shared" si="28"/>
        <v/>
      </c>
      <c r="AK118" s="1" t="str">
        <f t="shared" si="29"/>
        <v>0</v>
      </c>
      <c r="AL118" s="1" t="str">
        <f t="shared" si="30"/>
        <v>0</v>
      </c>
      <c r="AM118" s="1">
        <f t="shared" si="31"/>
        <v>543</v>
      </c>
      <c r="AN118" s="1" t="str">
        <f t="shared" si="32"/>
        <v>/0/543</v>
      </c>
      <c r="AP118" s="1">
        <f>IF([1]TIM!O118=[1]TIM!O118,[1]TIM!O118,"")</f>
        <v>0</v>
      </c>
      <c r="AQ118" s="1" t="str">
        <f t="shared" si="33"/>
        <v/>
      </c>
      <c r="AR118" s="1" t="str">
        <f t="shared" si="34"/>
        <v>0</v>
      </c>
      <c r="AS118" s="1" t="str">
        <f t="shared" si="35"/>
        <v>0</v>
      </c>
      <c r="AT118" s="1">
        <f t="shared" si="36"/>
        <v>543</v>
      </c>
      <c r="AU118" s="1" t="str">
        <f t="shared" si="37"/>
        <v>/0/543</v>
      </c>
    </row>
    <row r="119" spans="2:47" x14ac:dyDescent="0.3">
      <c r="B119" s="5">
        <v>125</v>
      </c>
      <c r="C119" s="6" t="s">
        <v>431</v>
      </c>
      <c r="D119" s="6" t="s">
        <v>487</v>
      </c>
      <c r="E119" s="2"/>
      <c r="F119" s="5">
        <v>141</v>
      </c>
      <c r="G119" s="7" t="s">
        <v>488</v>
      </c>
      <c r="H119" s="7" t="s">
        <v>489</v>
      </c>
      <c r="K119" s="1" t="str">
        <f t="shared" si="19"/>
        <v>ANGOLAN</v>
      </c>
      <c r="L119" s="1">
        <f t="shared" si="20"/>
        <v>128</v>
      </c>
      <c r="P119" s="1" t="str">
        <f t="shared" si="22"/>
        <v/>
      </c>
      <c r="Q119" s="1" t="str">
        <f t="shared" si="23"/>
        <v>REPUBLIC OF GHANA</v>
      </c>
      <c r="R119" s="1">
        <f t="shared" si="24"/>
        <v>144</v>
      </c>
      <c r="V119" s="1" t="str">
        <f>IF([1]TIM!F119="","",[1]TIM!F119)</f>
        <v/>
      </c>
      <c r="W119" s="1" t="str">
        <f t="shared" si="26"/>
        <v/>
      </c>
      <c r="X119" s="1">
        <f t="shared" si="27"/>
        <v>0</v>
      </c>
      <c r="AI119" s="1">
        <f>IF([1]TIM!P119=[1]TIM!P119,[1]TIM!P119,"")</f>
        <v>0</v>
      </c>
      <c r="AJ119" s="1" t="str">
        <f t="shared" si="28"/>
        <v/>
      </c>
      <c r="AK119" s="1" t="str">
        <f t="shared" si="29"/>
        <v>0</v>
      </c>
      <c r="AL119" s="1" t="str">
        <f t="shared" si="30"/>
        <v>0</v>
      </c>
      <c r="AM119" s="1">
        <f t="shared" si="31"/>
        <v>543</v>
      </c>
      <c r="AN119" s="1" t="str">
        <f t="shared" si="32"/>
        <v>/0/543</v>
      </c>
      <c r="AP119" s="1">
        <f>IF([1]TIM!O119=[1]TIM!O119,[1]TIM!O119,"")</f>
        <v>0</v>
      </c>
      <c r="AQ119" s="1" t="str">
        <f t="shared" si="33"/>
        <v/>
      </c>
      <c r="AR119" s="1" t="str">
        <f t="shared" si="34"/>
        <v>0</v>
      </c>
      <c r="AS119" s="1" t="str">
        <f t="shared" si="35"/>
        <v>0</v>
      </c>
      <c r="AT119" s="1">
        <f t="shared" si="36"/>
        <v>543</v>
      </c>
      <c r="AU119" s="1" t="str">
        <f t="shared" si="37"/>
        <v>/0/543</v>
      </c>
    </row>
    <row r="120" spans="2:47" x14ac:dyDescent="0.3">
      <c r="B120" s="5">
        <v>126</v>
      </c>
      <c r="C120" s="6" t="s">
        <v>490</v>
      </c>
      <c r="D120" s="6" t="s">
        <v>491</v>
      </c>
      <c r="E120" s="2"/>
      <c r="F120" s="5">
        <v>142</v>
      </c>
      <c r="G120" s="7" t="s">
        <v>492</v>
      </c>
      <c r="H120" s="7" t="s">
        <v>493</v>
      </c>
      <c r="K120" s="1" t="str">
        <f t="shared" si="19"/>
        <v>BENIN</v>
      </c>
      <c r="L120" s="1">
        <f t="shared" si="20"/>
        <v>129</v>
      </c>
      <c r="P120" s="1" t="str">
        <f t="shared" si="22"/>
        <v/>
      </c>
      <c r="Q120" s="1" t="str">
        <f t="shared" si="23"/>
        <v>REPUBLIC OF GUINEA BISSAU</v>
      </c>
      <c r="R120" s="1">
        <f t="shared" si="24"/>
        <v>145</v>
      </c>
      <c r="V120" s="1" t="str">
        <f>IF([1]TIM!F120="","",[1]TIM!F120)</f>
        <v/>
      </c>
      <c r="W120" s="1" t="str">
        <f t="shared" si="26"/>
        <v/>
      </c>
      <c r="X120" s="1">
        <f t="shared" si="27"/>
        <v>0</v>
      </c>
      <c r="AI120" s="1">
        <f>IF([1]TIM!P120=[1]TIM!P120,[1]TIM!P120,"")</f>
        <v>0</v>
      </c>
      <c r="AJ120" s="1" t="str">
        <f t="shared" si="28"/>
        <v/>
      </c>
      <c r="AK120" s="1" t="str">
        <f t="shared" si="29"/>
        <v>0</v>
      </c>
      <c r="AL120" s="1" t="str">
        <f t="shared" si="30"/>
        <v>0</v>
      </c>
      <c r="AM120" s="1">
        <f t="shared" si="31"/>
        <v>543</v>
      </c>
      <c r="AN120" s="1" t="str">
        <f t="shared" si="32"/>
        <v>/0/543</v>
      </c>
      <c r="AP120" s="1">
        <f>IF([1]TIM!O120=[1]TIM!O120,[1]TIM!O120,"")</f>
        <v>0</v>
      </c>
      <c r="AQ120" s="1" t="str">
        <f t="shared" si="33"/>
        <v/>
      </c>
      <c r="AR120" s="1" t="str">
        <f t="shared" si="34"/>
        <v>0</v>
      </c>
      <c r="AS120" s="1" t="str">
        <f t="shared" si="35"/>
        <v>0</v>
      </c>
      <c r="AT120" s="1">
        <f t="shared" si="36"/>
        <v>543</v>
      </c>
      <c r="AU120" s="1" t="str">
        <f t="shared" si="37"/>
        <v>/0/543</v>
      </c>
    </row>
    <row r="121" spans="2:47" x14ac:dyDescent="0.3">
      <c r="B121" s="5">
        <v>127</v>
      </c>
      <c r="C121" s="6" t="s">
        <v>439</v>
      </c>
      <c r="D121" s="6" t="s">
        <v>494</v>
      </c>
      <c r="E121" s="2"/>
      <c r="F121" s="5">
        <v>143</v>
      </c>
      <c r="G121" s="7" t="s">
        <v>495</v>
      </c>
      <c r="H121" s="7" t="s">
        <v>496</v>
      </c>
      <c r="K121" s="1" t="str">
        <f t="shared" si="19"/>
        <v>BOTSWANA</v>
      </c>
      <c r="L121" s="1">
        <f t="shared" si="20"/>
        <v>130</v>
      </c>
      <c r="P121" s="1" t="str">
        <f t="shared" si="22"/>
        <v/>
      </c>
      <c r="Q121" s="1" t="str">
        <f t="shared" si="23"/>
        <v>KINGDOM OF LESOTHO</v>
      </c>
      <c r="R121" s="1">
        <f t="shared" si="24"/>
        <v>146</v>
      </c>
      <c r="V121" s="1" t="str">
        <f>IF([1]TIM!F121="","",[1]TIM!F121)</f>
        <v/>
      </c>
      <c r="W121" s="1" t="str">
        <f t="shared" si="26"/>
        <v/>
      </c>
      <c r="X121" s="1">
        <f t="shared" si="27"/>
        <v>0</v>
      </c>
      <c r="AI121" s="1">
        <f>IF([1]TIM!P121=[1]TIM!P121,[1]TIM!P121,"")</f>
        <v>0</v>
      </c>
      <c r="AJ121" s="1" t="str">
        <f t="shared" si="28"/>
        <v/>
      </c>
      <c r="AK121" s="1" t="str">
        <f t="shared" si="29"/>
        <v>0</v>
      </c>
      <c r="AL121" s="1" t="str">
        <f t="shared" si="30"/>
        <v>0</v>
      </c>
      <c r="AM121" s="1">
        <f t="shared" si="31"/>
        <v>543</v>
      </c>
      <c r="AN121" s="1" t="str">
        <f t="shared" si="32"/>
        <v>/0/543</v>
      </c>
      <c r="AP121" s="1">
        <f>IF([1]TIM!O121=[1]TIM!O121,[1]TIM!O121,"")</f>
        <v>0</v>
      </c>
      <c r="AQ121" s="1" t="str">
        <f t="shared" si="33"/>
        <v/>
      </c>
      <c r="AR121" s="1" t="str">
        <f t="shared" si="34"/>
        <v>0</v>
      </c>
      <c r="AS121" s="1" t="str">
        <f t="shared" si="35"/>
        <v>0</v>
      </c>
      <c r="AT121" s="1">
        <f t="shared" si="36"/>
        <v>543</v>
      </c>
      <c r="AU121" s="1" t="str">
        <f t="shared" si="37"/>
        <v>/0/543</v>
      </c>
    </row>
    <row r="122" spans="2:47" x14ac:dyDescent="0.3">
      <c r="B122" s="5">
        <v>128</v>
      </c>
      <c r="C122" s="6" t="s">
        <v>444</v>
      </c>
      <c r="D122" s="6" t="s">
        <v>497</v>
      </c>
      <c r="E122" s="2"/>
      <c r="F122" s="5">
        <v>144</v>
      </c>
      <c r="G122" s="7" t="s">
        <v>498</v>
      </c>
      <c r="H122" s="7" t="s">
        <v>499</v>
      </c>
      <c r="K122" s="1" t="str">
        <f t="shared" si="19"/>
        <v>BURKINA FASO</v>
      </c>
      <c r="L122" s="1">
        <f t="shared" si="20"/>
        <v>131</v>
      </c>
      <c r="P122" s="1" t="str">
        <f t="shared" si="22"/>
        <v/>
      </c>
      <c r="Q122" s="1" t="str">
        <f t="shared" si="23"/>
        <v>REPUBLIC OF LIBERIA</v>
      </c>
      <c r="R122" s="1">
        <f t="shared" si="24"/>
        <v>147</v>
      </c>
      <c r="V122" s="1" t="str">
        <f>IF([1]TIM!F122="","",[1]TIM!F122)</f>
        <v/>
      </c>
      <c r="W122" s="1" t="str">
        <f t="shared" si="26"/>
        <v/>
      </c>
      <c r="X122" s="1">
        <f t="shared" si="27"/>
        <v>0</v>
      </c>
      <c r="AI122" s="1">
        <f>IF([1]TIM!P122=[1]TIM!P122,[1]TIM!P122,"")</f>
        <v>0</v>
      </c>
      <c r="AJ122" s="1" t="str">
        <f t="shared" si="28"/>
        <v/>
      </c>
      <c r="AK122" s="1" t="str">
        <f t="shared" si="29"/>
        <v>0</v>
      </c>
      <c r="AL122" s="1" t="str">
        <f t="shared" si="30"/>
        <v>0</v>
      </c>
      <c r="AM122" s="1">
        <f t="shared" si="31"/>
        <v>543</v>
      </c>
      <c r="AN122" s="1" t="str">
        <f t="shared" si="32"/>
        <v>/0/543</v>
      </c>
      <c r="AP122" s="1">
        <f>IF([1]TIM!O122=[1]TIM!O122,[1]TIM!O122,"")</f>
        <v>0</v>
      </c>
      <c r="AQ122" s="1" t="str">
        <f t="shared" si="33"/>
        <v/>
      </c>
      <c r="AR122" s="1" t="str">
        <f t="shared" si="34"/>
        <v>0</v>
      </c>
      <c r="AS122" s="1" t="str">
        <f t="shared" si="35"/>
        <v>0</v>
      </c>
      <c r="AT122" s="1">
        <f t="shared" si="36"/>
        <v>543</v>
      </c>
      <c r="AU122" s="1" t="str">
        <f t="shared" si="37"/>
        <v>/0/543</v>
      </c>
    </row>
    <row r="123" spans="2:47" x14ac:dyDescent="0.3">
      <c r="B123" s="5">
        <v>129</v>
      </c>
      <c r="C123" s="6" t="s">
        <v>448</v>
      </c>
      <c r="D123" s="6" t="s">
        <v>500</v>
      </c>
      <c r="E123" s="2"/>
      <c r="F123" s="5">
        <v>145</v>
      </c>
      <c r="G123" s="7" t="s">
        <v>501</v>
      </c>
      <c r="H123" s="7" t="s">
        <v>502</v>
      </c>
      <c r="K123" s="1" t="str">
        <f t="shared" si="19"/>
        <v>BURUNDI</v>
      </c>
      <c r="L123" s="1">
        <f t="shared" si="20"/>
        <v>132</v>
      </c>
      <c r="P123" s="1" t="str">
        <f t="shared" si="22"/>
        <v/>
      </c>
      <c r="Q123" s="1" t="str">
        <f t="shared" si="23"/>
        <v>THE GREAT SOCIALIST PEOPLE'S LIBYAN ARAB JAMAHIR</v>
      </c>
      <c r="R123" s="1">
        <f t="shared" si="24"/>
        <v>148</v>
      </c>
      <c r="V123" s="1" t="str">
        <f>IF([1]TIM!F123="","",[1]TIM!F123)</f>
        <v/>
      </c>
      <c r="W123" s="1" t="str">
        <f t="shared" si="26"/>
        <v/>
      </c>
      <c r="X123" s="1">
        <f t="shared" si="27"/>
        <v>0</v>
      </c>
      <c r="AI123" s="1">
        <f>IF([1]TIM!P123=[1]TIM!P123,[1]TIM!P123,"")</f>
        <v>0</v>
      </c>
      <c r="AJ123" s="1" t="str">
        <f t="shared" si="28"/>
        <v/>
      </c>
      <c r="AK123" s="1" t="str">
        <f t="shared" si="29"/>
        <v>0</v>
      </c>
      <c r="AL123" s="1" t="str">
        <f t="shared" si="30"/>
        <v>0</v>
      </c>
      <c r="AM123" s="1">
        <f t="shared" si="31"/>
        <v>543</v>
      </c>
      <c r="AN123" s="1" t="str">
        <f t="shared" si="32"/>
        <v>/0/543</v>
      </c>
      <c r="AP123" s="1">
        <f>IF([1]TIM!O123=[1]TIM!O123,[1]TIM!O123,"")</f>
        <v>0</v>
      </c>
      <c r="AQ123" s="1" t="str">
        <f t="shared" si="33"/>
        <v/>
      </c>
      <c r="AR123" s="1" t="str">
        <f t="shared" si="34"/>
        <v>0</v>
      </c>
      <c r="AS123" s="1" t="str">
        <f t="shared" si="35"/>
        <v>0</v>
      </c>
      <c r="AT123" s="1">
        <f t="shared" si="36"/>
        <v>543</v>
      </c>
      <c r="AU123" s="1" t="str">
        <f t="shared" si="37"/>
        <v>/0/543</v>
      </c>
    </row>
    <row r="124" spans="2:47" x14ac:dyDescent="0.3">
      <c r="B124" s="5">
        <v>130</v>
      </c>
      <c r="C124" s="6" t="s">
        <v>452</v>
      </c>
      <c r="D124" s="6" t="s">
        <v>503</v>
      </c>
      <c r="E124" s="2"/>
      <c r="F124" s="5">
        <v>146</v>
      </c>
      <c r="G124" s="7" t="s">
        <v>504</v>
      </c>
      <c r="H124" s="7" t="s">
        <v>505</v>
      </c>
      <c r="K124" s="1" t="str">
        <f t="shared" si="19"/>
        <v>CAMEROON</v>
      </c>
      <c r="L124" s="1">
        <f t="shared" si="20"/>
        <v>133</v>
      </c>
      <c r="P124" s="1" t="str">
        <f t="shared" si="22"/>
        <v/>
      </c>
      <c r="Q124" s="1" t="str">
        <f t="shared" si="23"/>
        <v>REPUBLIC OF MADAGASCAR</v>
      </c>
      <c r="R124" s="1">
        <f t="shared" si="24"/>
        <v>149</v>
      </c>
      <c r="V124" s="1" t="str">
        <f>IF([1]TIM!F124="","",[1]TIM!F124)</f>
        <v/>
      </c>
      <c r="W124" s="1" t="str">
        <f t="shared" si="26"/>
        <v/>
      </c>
      <c r="X124" s="1">
        <f t="shared" si="27"/>
        <v>0</v>
      </c>
      <c r="AI124" s="1">
        <f>IF([1]TIM!P124=[1]TIM!P124,[1]TIM!P124,"")</f>
        <v>0</v>
      </c>
      <c r="AJ124" s="1" t="str">
        <f t="shared" si="28"/>
        <v/>
      </c>
      <c r="AK124" s="1" t="str">
        <f t="shared" si="29"/>
        <v>0</v>
      </c>
      <c r="AL124" s="1" t="str">
        <f t="shared" si="30"/>
        <v>0</v>
      </c>
      <c r="AM124" s="1">
        <f t="shared" si="31"/>
        <v>543</v>
      </c>
      <c r="AN124" s="1" t="str">
        <f t="shared" si="32"/>
        <v>/0/543</v>
      </c>
      <c r="AP124" s="1">
        <f>IF([1]TIM!O124=[1]TIM!O124,[1]TIM!O124,"")</f>
        <v>0</v>
      </c>
      <c r="AQ124" s="1" t="str">
        <f t="shared" si="33"/>
        <v/>
      </c>
      <c r="AR124" s="1" t="str">
        <f t="shared" si="34"/>
        <v>0</v>
      </c>
      <c r="AS124" s="1" t="str">
        <f t="shared" si="35"/>
        <v>0</v>
      </c>
      <c r="AT124" s="1">
        <f t="shared" si="36"/>
        <v>543</v>
      </c>
      <c r="AU124" s="1" t="str">
        <f t="shared" si="37"/>
        <v>/0/543</v>
      </c>
    </row>
    <row r="125" spans="2:47" x14ac:dyDescent="0.3">
      <c r="B125" s="5">
        <v>131</v>
      </c>
      <c r="C125" s="6" t="s">
        <v>455</v>
      </c>
      <c r="D125" s="6" t="s">
        <v>456</v>
      </c>
      <c r="E125" s="2"/>
      <c r="F125" s="5">
        <v>147</v>
      </c>
      <c r="G125" s="7" t="s">
        <v>506</v>
      </c>
      <c r="H125" s="7" t="s">
        <v>507</v>
      </c>
      <c r="K125" s="1" t="str">
        <f t="shared" si="19"/>
        <v>CAPE VERDE</v>
      </c>
      <c r="L125" s="1">
        <f t="shared" si="20"/>
        <v>134</v>
      </c>
      <c r="P125" s="1" t="str">
        <f t="shared" si="22"/>
        <v/>
      </c>
      <c r="Q125" s="1" t="str">
        <f t="shared" si="23"/>
        <v>REPUBLIC OF MALAWI</v>
      </c>
      <c r="R125" s="1">
        <f t="shared" si="24"/>
        <v>150</v>
      </c>
      <c r="V125" s="1" t="str">
        <f>IF([1]TIM!F125="","",[1]TIM!F125)</f>
        <v/>
      </c>
      <c r="W125" s="1" t="str">
        <f t="shared" si="26"/>
        <v/>
      </c>
      <c r="X125" s="1">
        <f t="shared" si="27"/>
        <v>0</v>
      </c>
      <c r="AI125" s="1">
        <f>IF([1]TIM!P125=[1]TIM!P125,[1]TIM!P125,"")</f>
        <v>0</v>
      </c>
      <c r="AJ125" s="1" t="str">
        <f t="shared" si="28"/>
        <v/>
      </c>
      <c r="AK125" s="1" t="str">
        <f t="shared" si="29"/>
        <v>0</v>
      </c>
      <c r="AL125" s="1" t="str">
        <f t="shared" si="30"/>
        <v>0</v>
      </c>
      <c r="AM125" s="1">
        <f t="shared" si="31"/>
        <v>543</v>
      </c>
      <c r="AN125" s="1" t="str">
        <f t="shared" si="32"/>
        <v>/0/543</v>
      </c>
      <c r="AP125" s="1">
        <f>IF([1]TIM!O125=[1]TIM!O125,[1]TIM!O125,"")</f>
        <v>0</v>
      </c>
      <c r="AQ125" s="1" t="str">
        <f t="shared" si="33"/>
        <v/>
      </c>
      <c r="AR125" s="1" t="str">
        <f t="shared" si="34"/>
        <v>0</v>
      </c>
      <c r="AS125" s="1" t="str">
        <f t="shared" si="35"/>
        <v>0</v>
      </c>
      <c r="AT125" s="1">
        <f t="shared" si="36"/>
        <v>543</v>
      </c>
      <c r="AU125" s="1" t="str">
        <f t="shared" si="37"/>
        <v>/0/543</v>
      </c>
    </row>
    <row r="126" spans="2:47" x14ac:dyDescent="0.3">
      <c r="B126" s="5">
        <v>132</v>
      </c>
      <c r="C126" s="6" t="s">
        <v>460</v>
      </c>
      <c r="D126" s="6" t="s">
        <v>508</v>
      </c>
      <c r="E126" s="2"/>
      <c r="F126" s="5">
        <v>148</v>
      </c>
      <c r="G126" s="7" t="s">
        <v>509</v>
      </c>
      <c r="H126" s="7" t="s">
        <v>510</v>
      </c>
      <c r="K126" s="1" t="str">
        <f t="shared" si="19"/>
        <v>CENTRAL AFRICAN REPUBLIC</v>
      </c>
      <c r="L126" s="1">
        <f t="shared" si="20"/>
        <v>135</v>
      </c>
      <c r="P126" s="1" t="str">
        <f t="shared" si="22"/>
        <v/>
      </c>
      <c r="Q126" s="1" t="str">
        <f t="shared" si="23"/>
        <v>MALI</v>
      </c>
      <c r="R126" s="1">
        <f t="shared" si="24"/>
        <v>151</v>
      </c>
      <c r="V126" s="1" t="str">
        <f>IF([1]TIM!F126="","",[1]TIM!F126)</f>
        <v/>
      </c>
      <c r="W126" s="1" t="str">
        <f t="shared" si="26"/>
        <v/>
      </c>
      <c r="X126" s="1">
        <f t="shared" si="27"/>
        <v>0</v>
      </c>
      <c r="AI126" s="1">
        <f>IF([1]TIM!P126=[1]TIM!P126,[1]TIM!P126,"")</f>
        <v>0</v>
      </c>
      <c r="AJ126" s="1" t="str">
        <f t="shared" si="28"/>
        <v/>
      </c>
      <c r="AK126" s="1" t="str">
        <f t="shared" si="29"/>
        <v>0</v>
      </c>
      <c r="AL126" s="1" t="str">
        <f t="shared" si="30"/>
        <v>0</v>
      </c>
      <c r="AM126" s="1">
        <f t="shared" si="31"/>
        <v>543</v>
      </c>
      <c r="AN126" s="1" t="str">
        <f t="shared" si="32"/>
        <v>/0/543</v>
      </c>
      <c r="AP126" s="1">
        <f>IF([1]TIM!O126=[1]TIM!O126,[1]TIM!O126,"")</f>
        <v>0</v>
      </c>
      <c r="AQ126" s="1" t="str">
        <f t="shared" si="33"/>
        <v/>
      </c>
      <c r="AR126" s="1" t="str">
        <f t="shared" si="34"/>
        <v>0</v>
      </c>
      <c r="AS126" s="1" t="str">
        <f t="shared" si="35"/>
        <v>0</v>
      </c>
      <c r="AT126" s="1">
        <f t="shared" si="36"/>
        <v>543</v>
      </c>
      <c r="AU126" s="1" t="str">
        <f t="shared" si="37"/>
        <v>/0/543</v>
      </c>
    </row>
    <row r="127" spans="2:47" x14ac:dyDescent="0.3">
      <c r="B127" s="5">
        <v>133</v>
      </c>
      <c r="C127" s="6" t="s">
        <v>463</v>
      </c>
      <c r="D127" s="6" t="s">
        <v>511</v>
      </c>
      <c r="E127" s="2"/>
      <c r="F127" s="5">
        <v>149</v>
      </c>
      <c r="G127" s="7" t="s">
        <v>512</v>
      </c>
      <c r="H127" s="7" t="s">
        <v>513</v>
      </c>
      <c r="K127" s="1" t="str">
        <f t="shared" si="19"/>
        <v>CHAD</v>
      </c>
      <c r="L127" s="1">
        <f t="shared" si="20"/>
        <v>136</v>
      </c>
      <c r="P127" s="1" t="str">
        <f t="shared" si="22"/>
        <v/>
      </c>
      <c r="Q127" s="1" t="str">
        <f t="shared" si="23"/>
        <v>ISLAMIC REPUBLIC OF MAURITANIA</v>
      </c>
      <c r="R127" s="1">
        <f t="shared" si="24"/>
        <v>152</v>
      </c>
      <c r="V127" s="1" t="str">
        <f>IF([1]TIM!F127="","",[1]TIM!F127)</f>
        <v/>
      </c>
      <c r="W127" s="1" t="str">
        <f t="shared" si="26"/>
        <v/>
      </c>
      <c r="X127" s="1">
        <f t="shared" si="27"/>
        <v>0</v>
      </c>
      <c r="AI127" s="1">
        <f>IF([1]TIM!P127=[1]TIM!P127,[1]TIM!P127,"")</f>
        <v>0</v>
      </c>
      <c r="AJ127" s="1" t="str">
        <f t="shared" si="28"/>
        <v/>
      </c>
      <c r="AK127" s="1" t="str">
        <f t="shared" si="29"/>
        <v>0</v>
      </c>
      <c r="AL127" s="1" t="str">
        <f t="shared" si="30"/>
        <v>0</v>
      </c>
      <c r="AM127" s="1">
        <f t="shared" si="31"/>
        <v>543</v>
      </c>
      <c r="AN127" s="1" t="str">
        <f t="shared" si="32"/>
        <v>/0/543</v>
      </c>
      <c r="AP127" s="1">
        <f>IF([1]TIM!O127=[1]TIM!O127,[1]TIM!O127,"")</f>
        <v>0</v>
      </c>
      <c r="AQ127" s="1" t="str">
        <f t="shared" si="33"/>
        <v/>
      </c>
      <c r="AR127" s="1" t="str">
        <f t="shared" si="34"/>
        <v>0</v>
      </c>
      <c r="AS127" s="1" t="str">
        <f t="shared" si="35"/>
        <v>0</v>
      </c>
      <c r="AT127" s="1">
        <f t="shared" si="36"/>
        <v>543</v>
      </c>
      <c r="AU127" s="1" t="str">
        <f t="shared" si="37"/>
        <v>/0/543</v>
      </c>
    </row>
    <row r="128" spans="2:47" x14ac:dyDescent="0.3">
      <c r="B128" s="5">
        <v>134</v>
      </c>
      <c r="C128" s="6" t="s">
        <v>467</v>
      </c>
      <c r="D128" s="6" t="s">
        <v>514</v>
      </c>
      <c r="E128" s="2"/>
      <c r="F128" s="5">
        <v>150</v>
      </c>
      <c r="G128" s="7" t="s">
        <v>515</v>
      </c>
      <c r="H128" s="7" t="s">
        <v>516</v>
      </c>
      <c r="K128" s="1" t="str">
        <f t="shared" si="19"/>
        <v>COMOROS</v>
      </c>
      <c r="L128" s="1">
        <f t="shared" si="20"/>
        <v>137</v>
      </c>
      <c r="P128" s="1" t="str">
        <f t="shared" si="22"/>
        <v/>
      </c>
      <c r="Q128" s="1" t="str">
        <f t="shared" si="23"/>
        <v>MAURITIUS</v>
      </c>
      <c r="R128" s="1">
        <f t="shared" si="24"/>
        <v>153</v>
      </c>
      <c r="V128" s="1" t="str">
        <f>IF([1]TIM!F128="","",[1]TIM!F128)</f>
        <v/>
      </c>
      <c r="W128" s="1" t="str">
        <f t="shared" si="26"/>
        <v/>
      </c>
      <c r="X128" s="1">
        <f t="shared" si="27"/>
        <v>0</v>
      </c>
      <c r="AI128" s="1">
        <f>IF([1]TIM!P128=[1]TIM!P128,[1]TIM!P128,"")</f>
        <v>0</v>
      </c>
      <c r="AJ128" s="1" t="str">
        <f t="shared" si="28"/>
        <v/>
      </c>
      <c r="AK128" s="1" t="str">
        <f t="shared" si="29"/>
        <v>0</v>
      </c>
      <c r="AL128" s="1" t="str">
        <f t="shared" si="30"/>
        <v>0</v>
      </c>
      <c r="AM128" s="1">
        <f t="shared" si="31"/>
        <v>543</v>
      </c>
      <c r="AN128" s="1" t="str">
        <f t="shared" si="32"/>
        <v>/0/543</v>
      </c>
      <c r="AP128" s="1">
        <f>IF([1]TIM!O128=[1]TIM!O128,[1]TIM!O128,"")</f>
        <v>0</v>
      </c>
      <c r="AQ128" s="1" t="str">
        <f t="shared" si="33"/>
        <v/>
      </c>
      <c r="AR128" s="1" t="str">
        <f t="shared" si="34"/>
        <v>0</v>
      </c>
      <c r="AS128" s="1" t="str">
        <f t="shared" si="35"/>
        <v>0</v>
      </c>
      <c r="AT128" s="1">
        <f t="shared" si="36"/>
        <v>543</v>
      </c>
      <c r="AU128" s="1" t="str">
        <f t="shared" si="37"/>
        <v>/0/543</v>
      </c>
    </row>
    <row r="129" spans="2:47" x14ac:dyDescent="0.3">
      <c r="B129" s="5">
        <v>135</v>
      </c>
      <c r="C129" s="6" t="s">
        <v>517</v>
      </c>
      <c r="D129" s="6" t="s">
        <v>471</v>
      </c>
      <c r="E129" s="2"/>
      <c r="F129" s="5">
        <v>151</v>
      </c>
      <c r="G129" s="7" t="s">
        <v>518</v>
      </c>
      <c r="H129" s="7" t="s">
        <v>519</v>
      </c>
      <c r="K129" s="1" t="str">
        <f t="shared" si="19"/>
        <v>CONGO</v>
      </c>
      <c r="L129" s="1">
        <f t="shared" si="20"/>
        <v>138</v>
      </c>
      <c r="P129" s="1" t="str">
        <f t="shared" si="22"/>
        <v/>
      </c>
      <c r="Q129" s="1" t="str">
        <f t="shared" si="23"/>
        <v>KINGDOM OF MOROCCO</v>
      </c>
      <c r="R129" s="1">
        <f t="shared" si="24"/>
        <v>154</v>
      </c>
      <c r="V129" s="1" t="str">
        <f>IF([1]TIM!F129="","",[1]TIM!F129)</f>
        <v/>
      </c>
      <c r="W129" s="1" t="str">
        <f t="shared" si="26"/>
        <v/>
      </c>
      <c r="X129" s="1">
        <f t="shared" si="27"/>
        <v>0</v>
      </c>
      <c r="AI129" s="1">
        <f>IF([1]TIM!P129=[1]TIM!P129,[1]TIM!P129,"")</f>
        <v>0</v>
      </c>
      <c r="AJ129" s="1" t="str">
        <f t="shared" si="28"/>
        <v/>
      </c>
      <c r="AK129" s="1" t="str">
        <f t="shared" si="29"/>
        <v>0</v>
      </c>
      <c r="AL129" s="1" t="str">
        <f t="shared" si="30"/>
        <v>0</v>
      </c>
      <c r="AM129" s="1">
        <f t="shared" si="31"/>
        <v>543</v>
      </c>
      <c r="AN129" s="1" t="str">
        <f t="shared" si="32"/>
        <v>/0/543</v>
      </c>
      <c r="AP129" s="1">
        <f>IF([1]TIM!O129=[1]TIM!O129,[1]TIM!O129,"")</f>
        <v>0</v>
      </c>
      <c r="AQ129" s="1" t="str">
        <f t="shared" si="33"/>
        <v/>
      </c>
      <c r="AR129" s="1" t="str">
        <f t="shared" si="34"/>
        <v>0</v>
      </c>
      <c r="AS129" s="1" t="str">
        <f t="shared" si="35"/>
        <v>0</v>
      </c>
      <c r="AT129" s="1">
        <f t="shared" si="36"/>
        <v>543</v>
      </c>
      <c r="AU129" s="1" t="str">
        <f t="shared" si="37"/>
        <v>/0/543</v>
      </c>
    </row>
    <row r="130" spans="2:47" x14ac:dyDescent="0.3">
      <c r="B130" s="5">
        <v>136</v>
      </c>
      <c r="C130" s="6" t="s">
        <v>473</v>
      </c>
      <c r="D130" s="6" t="s">
        <v>520</v>
      </c>
      <c r="E130" s="2"/>
      <c r="F130" s="5">
        <v>152</v>
      </c>
      <c r="G130" s="7" t="s">
        <v>521</v>
      </c>
      <c r="H130" s="7" t="s">
        <v>522</v>
      </c>
      <c r="K130" s="1" t="str">
        <f t="shared" si="19"/>
        <v>IVOIRIENNE</v>
      </c>
      <c r="L130" s="1">
        <f t="shared" si="20"/>
        <v>139</v>
      </c>
      <c r="P130" s="1" t="str">
        <f t="shared" si="22"/>
        <v/>
      </c>
      <c r="Q130" s="1" t="str">
        <f t="shared" si="23"/>
        <v>REPUBLIC OF MOZAMBIQUE</v>
      </c>
      <c r="R130" s="1">
        <f t="shared" si="24"/>
        <v>155</v>
      </c>
      <c r="V130" s="1" t="str">
        <f>IF([1]TIM!F130="","",[1]TIM!F130)</f>
        <v/>
      </c>
      <c r="W130" s="1" t="str">
        <f t="shared" si="26"/>
        <v/>
      </c>
      <c r="X130" s="1">
        <f t="shared" si="27"/>
        <v>0</v>
      </c>
      <c r="AI130" s="1">
        <f>IF([1]TIM!P130=[1]TIM!P130,[1]TIM!P130,"")</f>
        <v>0</v>
      </c>
      <c r="AJ130" s="1" t="str">
        <f t="shared" si="28"/>
        <v/>
      </c>
      <c r="AK130" s="1" t="str">
        <f t="shared" si="29"/>
        <v>0</v>
      </c>
      <c r="AL130" s="1" t="str">
        <f t="shared" si="30"/>
        <v>0</v>
      </c>
      <c r="AM130" s="1">
        <f t="shared" si="31"/>
        <v>543</v>
      </c>
      <c r="AN130" s="1" t="str">
        <f t="shared" si="32"/>
        <v>/0/543</v>
      </c>
      <c r="AP130" s="1">
        <f>IF([1]TIM!O130=[1]TIM!O130,[1]TIM!O130,"")</f>
        <v>0</v>
      </c>
      <c r="AQ130" s="1" t="str">
        <f t="shared" si="33"/>
        <v/>
      </c>
      <c r="AR130" s="1" t="str">
        <f t="shared" si="34"/>
        <v>0</v>
      </c>
      <c r="AS130" s="1" t="str">
        <f t="shared" si="35"/>
        <v>0</v>
      </c>
      <c r="AT130" s="1">
        <f t="shared" si="36"/>
        <v>543</v>
      </c>
      <c r="AU130" s="1" t="str">
        <f t="shared" si="37"/>
        <v>/0/543</v>
      </c>
    </row>
    <row r="131" spans="2:47" x14ac:dyDescent="0.3">
      <c r="B131" s="5">
        <v>137</v>
      </c>
      <c r="C131" s="6" t="s">
        <v>476</v>
      </c>
      <c r="D131" s="6" t="s">
        <v>523</v>
      </c>
      <c r="E131" s="2"/>
      <c r="F131" s="5">
        <v>153</v>
      </c>
      <c r="G131" s="7" t="s">
        <v>524</v>
      </c>
      <c r="H131" s="7" t="s">
        <v>525</v>
      </c>
      <c r="K131" s="1" t="str">
        <f t="shared" ref="K131:K194" si="39">D134</f>
        <v>DJIBOUTI</v>
      </c>
      <c r="L131" s="1">
        <f t="shared" ref="L131:L194" si="40">B134</f>
        <v>140</v>
      </c>
      <c r="P131" s="1" t="str">
        <f t="shared" ref="P131:P194" si="41">IF(J131="","",J131)</f>
        <v/>
      </c>
      <c r="Q131" s="1" t="str">
        <f t="shared" ref="Q131:Q194" si="42">H134</f>
        <v>REPUBLIC OF NIGER</v>
      </c>
      <c r="R131" s="1">
        <f t="shared" ref="R131:R194" si="43">F134</f>
        <v>156</v>
      </c>
      <c r="V131" s="1" t="str">
        <f>IF([1]TIM!F131="","",[1]TIM!F131)</f>
        <v/>
      </c>
      <c r="W131" s="1" t="str">
        <f t="shared" ref="W131:W194" si="44">IFERROR(VLOOKUP(V131,$J$2:$N$258,5,FALSE),"")</f>
        <v/>
      </c>
      <c r="X131" s="1">
        <f t="shared" ref="X131:X194" si="45">IFERROR(VLOOKUP(V131,$P$2:$T$208,5,FALSE),"")</f>
        <v>0</v>
      </c>
      <c r="AI131" s="1">
        <f>IF([1]TIM!P131=[1]TIM!P131,[1]TIM!P131,"")</f>
        <v>0</v>
      </c>
      <c r="AJ131" s="1" t="str">
        <f t="shared" ref="AJ131:AJ194" si="46">MID(AI131,4,2)</f>
        <v/>
      </c>
      <c r="AK131" s="1" t="str">
        <f t="shared" ref="AK131:AK194" si="47">LEFT(AI131,2)</f>
        <v>0</v>
      </c>
      <c r="AL131" s="1" t="str">
        <f t="shared" ref="AL131:AL194" si="48">RIGHT(AI131,4)</f>
        <v>0</v>
      </c>
      <c r="AM131" s="1">
        <f t="shared" ref="AM131:AM194" si="49">AL131+543</f>
        <v>543</v>
      </c>
      <c r="AN131" s="1" t="str">
        <f t="shared" ref="AN131:AN194" si="50">AJ131&amp;"/"&amp;AK131&amp;"/"&amp;AM131</f>
        <v>/0/543</v>
      </c>
      <c r="AP131" s="1">
        <f>IF([1]TIM!O131=[1]TIM!O131,[1]TIM!O131,"")</f>
        <v>0</v>
      </c>
      <c r="AQ131" s="1" t="str">
        <f t="shared" ref="AQ131:AQ194" si="51">MID(AP131,4,2)</f>
        <v/>
      </c>
      <c r="AR131" s="1" t="str">
        <f t="shared" ref="AR131:AR194" si="52">LEFT(AP131,2)</f>
        <v>0</v>
      </c>
      <c r="AS131" s="1" t="str">
        <f t="shared" ref="AS131:AS194" si="53">RIGHT(AP131,4)</f>
        <v>0</v>
      </c>
      <c r="AT131" s="1">
        <f t="shared" ref="AT131:AT194" si="54">AS131+543</f>
        <v>543</v>
      </c>
      <c r="AU131" s="1" t="str">
        <f t="shared" ref="AU131:AU194" si="55">AQ131&amp;"/"&amp;AR131&amp;"/"&amp;AT131</f>
        <v>/0/543</v>
      </c>
    </row>
    <row r="132" spans="2:47" x14ac:dyDescent="0.3">
      <c r="B132" s="5">
        <v>138</v>
      </c>
      <c r="C132" s="6" t="s">
        <v>479</v>
      </c>
      <c r="D132" s="6" t="s">
        <v>526</v>
      </c>
      <c r="E132" s="2"/>
      <c r="F132" s="5">
        <v>154</v>
      </c>
      <c r="G132" s="7" t="s">
        <v>527</v>
      </c>
      <c r="H132" s="7" t="s">
        <v>528</v>
      </c>
      <c r="K132" s="1" t="str">
        <f t="shared" si="39"/>
        <v>EQUATORIAL GUINEA</v>
      </c>
      <c r="L132" s="1">
        <f t="shared" si="40"/>
        <v>141</v>
      </c>
      <c r="P132" s="1" t="str">
        <f t="shared" si="41"/>
        <v/>
      </c>
      <c r="Q132" s="1" t="str">
        <f t="shared" si="42"/>
        <v>REPUBLIC OF RWANDA</v>
      </c>
      <c r="R132" s="1">
        <f t="shared" si="43"/>
        <v>157</v>
      </c>
      <c r="V132" s="1" t="str">
        <f>IF([1]TIM!F132="","",[1]TIM!F132)</f>
        <v/>
      </c>
      <c r="W132" s="1" t="str">
        <f t="shared" si="44"/>
        <v/>
      </c>
      <c r="X132" s="1">
        <f t="shared" si="45"/>
        <v>0</v>
      </c>
      <c r="AI132" s="1">
        <f>IF([1]TIM!P132=[1]TIM!P132,[1]TIM!P132,"")</f>
        <v>0</v>
      </c>
      <c r="AJ132" s="1" t="str">
        <f t="shared" si="46"/>
        <v/>
      </c>
      <c r="AK132" s="1" t="str">
        <f t="shared" si="47"/>
        <v>0</v>
      </c>
      <c r="AL132" s="1" t="str">
        <f t="shared" si="48"/>
        <v>0</v>
      </c>
      <c r="AM132" s="1">
        <f t="shared" si="49"/>
        <v>543</v>
      </c>
      <c r="AN132" s="1" t="str">
        <f t="shared" si="50"/>
        <v>/0/543</v>
      </c>
      <c r="AP132" s="1">
        <f>IF([1]TIM!O132=[1]TIM!O132,[1]TIM!O132,"")</f>
        <v>0</v>
      </c>
      <c r="AQ132" s="1" t="str">
        <f t="shared" si="51"/>
        <v/>
      </c>
      <c r="AR132" s="1" t="str">
        <f t="shared" si="52"/>
        <v>0</v>
      </c>
      <c r="AS132" s="1" t="str">
        <f t="shared" si="53"/>
        <v>0</v>
      </c>
      <c r="AT132" s="1">
        <f t="shared" si="54"/>
        <v>543</v>
      </c>
      <c r="AU132" s="1" t="str">
        <f t="shared" si="55"/>
        <v>/0/543</v>
      </c>
    </row>
    <row r="133" spans="2:47" x14ac:dyDescent="0.3">
      <c r="B133" s="5">
        <v>139</v>
      </c>
      <c r="C133" s="6" t="s">
        <v>529</v>
      </c>
      <c r="D133" s="6" t="s">
        <v>530</v>
      </c>
      <c r="E133" s="2"/>
      <c r="F133" s="5">
        <v>155</v>
      </c>
      <c r="G133" s="7" t="s">
        <v>531</v>
      </c>
      <c r="H133" s="7" t="s">
        <v>532</v>
      </c>
      <c r="K133" s="1" t="str">
        <f t="shared" si="39"/>
        <v>GABON</v>
      </c>
      <c r="L133" s="1">
        <f t="shared" si="40"/>
        <v>142</v>
      </c>
      <c r="P133" s="1" t="str">
        <f t="shared" si="41"/>
        <v/>
      </c>
      <c r="Q133" s="1" t="str">
        <f t="shared" si="42"/>
        <v>DEMOCRATIC REPUBLIC OF SAO TOME AND PRINCIPE</v>
      </c>
      <c r="R133" s="1">
        <f t="shared" si="43"/>
        <v>158</v>
      </c>
      <c r="V133" s="1" t="str">
        <f>IF([1]TIM!F133="","",[1]TIM!F133)</f>
        <v/>
      </c>
      <c r="W133" s="1" t="str">
        <f t="shared" si="44"/>
        <v/>
      </c>
      <c r="X133" s="1">
        <f t="shared" si="45"/>
        <v>0</v>
      </c>
      <c r="AI133" s="1">
        <f>IF([1]TIM!P133=[1]TIM!P133,[1]TIM!P133,"")</f>
        <v>0</v>
      </c>
      <c r="AJ133" s="1" t="str">
        <f t="shared" si="46"/>
        <v/>
      </c>
      <c r="AK133" s="1" t="str">
        <f t="shared" si="47"/>
        <v>0</v>
      </c>
      <c r="AL133" s="1" t="str">
        <f t="shared" si="48"/>
        <v>0</v>
      </c>
      <c r="AM133" s="1">
        <f t="shared" si="49"/>
        <v>543</v>
      </c>
      <c r="AN133" s="1" t="str">
        <f t="shared" si="50"/>
        <v>/0/543</v>
      </c>
      <c r="AP133" s="1">
        <f>IF([1]TIM!O133=[1]TIM!O133,[1]TIM!O133,"")</f>
        <v>0</v>
      </c>
      <c r="AQ133" s="1" t="str">
        <f t="shared" si="51"/>
        <v/>
      </c>
      <c r="AR133" s="1" t="str">
        <f t="shared" si="52"/>
        <v>0</v>
      </c>
      <c r="AS133" s="1" t="str">
        <f t="shared" si="53"/>
        <v>0</v>
      </c>
      <c r="AT133" s="1">
        <f t="shared" si="54"/>
        <v>543</v>
      </c>
      <c r="AU133" s="1" t="str">
        <f t="shared" si="55"/>
        <v>/0/543</v>
      </c>
    </row>
    <row r="134" spans="2:47" x14ac:dyDescent="0.3">
      <c r="B134" s="5">
        <v>140</v>
      </c>
      <c r="C134" s="6" t="s">
        <v>485</v>
      </c>
      <c r="D134" s="6" t="s">
        <v>533</v>
      </c>
      <c r="E134" s="2"/>
      <c r="F134" s="5">
        <v>156</v>
      </c>
      <c r="G134" s="7" t="s">
        <v>534</v>
      </c>
      <c r="H134" s="7" t="s">
        <v>535</v>
      </c>
      <c r="K134" s="1" t="str">
        <f t="shared" si="39"/>
        <v>GAMBIA</v>
      </c>
      <c r="L134" s="1">
        <f t="shared" si="40"/>
        <v>143</v>
      </c>
      <c r="P134" s="1" t="str">
        <f t="shared" si="41"/>
        <v/>
      </c>
      <c r="Q134" s="1" t="str">
        <f t="shared" si="42"/>
        <v>REPUBLIC OF SENEGAL</v>
      </c>
      <c r="R134" s="1">
        <f t="shared" si="43"/>
        <v>159</v>
      </c>
      <c r="V134" s="1" t="str">
        <f>IF([1]TIM!F134="","",[1]TIM!F134)</f>
        <v/>
      </c>
      <c r="W134" s="1" t="str">
        <f t="shared" si="44"/>
        <v/>
      </c>
      <c r="X134" s="1">
        <f t="shared" si="45"/>
        <v>0</v>
      </c>
      <c r="AI134" s="1">
        <f>IF([1]TIM!P134=[1]TIM!P134,[1]TIM!P134,"")</f>
        <v>0</v>
      </c>
      <c r="AJ134" s="1" t="str">
        <f t="shared" si="46"/>
        <v/>
      </c>
      <c r="AK134" s="1" t="str">
        <f t="shared" si="47"/>
        <v>0</v>
      </c>
      <c r="AL134" s="1" t="str">
        <f t="shared" si="48"/>
        <v>0</v>
      </c>
      <c r="AM134" s="1">
        <f t="shared" si="49"/>
        <v>543</v>
      </c>
      <c r="AN134" s="1" t="str">
        <f t="shared" si="50"/>
        <v>/0/543</v>
      </c>
      <c r="AP134" s="1">
        <f>IF([1]TIM!O134=[1]TIM!O134,[1]TIM!O134,"")</f>
        <v>0</v>
      </c>
      <c r="AQ134" s="1" t="str">
        <f t="shared" si="51"/>
        <v/>
      </c>
      <c r="AR134" s="1" t="str">
        <f t="shared" si="52"/>
        <v>0</v>
      </c>
      <c r="AS134" s="1" t="str">
        <f t="shared" si="53"/>
        <v>0</v>
      </c>
      <c r="AT134" s="1">
        <f t="shared" si="54"/>
        <v>543</v>
      </c>
      <c r="AU134" s="1" t="str">
        <f t="shared" si="55"/>
        <v>/0/543</v>
      </c>
    </row>
    <row r="135" spans="2:47" x14ac:dyDescent="0.3">
      <c r="B135" s="5">
        <v>141</v>
      </c>
      <c r="C135" s="6" t="s">
        <v>488</v>
      </c>
      <c r="D135" s="6" t="s">
        <v>536</v>
      </c>
      <c r="E135" s="2"/>
      <c r="F135" s="5">
        <v>157</v>
      </c>
      <c r="G135" s="7" t="s">
        <v>537</v>
      </c>
      <c r="H135" s="7" t="s">
        <v>538</v>
      </c>
      <c r="K135" s="1" t="str">
        <f t="shared" si="39"/>
        <v>GHANA</v>
      </c>
      <c r="L135" s="1">
        <f t="shared" si="40"/>
        <v>144</v>
      </c>
      <c r="P135" s="1" t="str">
        <f t="shared" si="41"/>
        <v/>
      </c>
      <c r="Q135" s="1" t="str">
        <f t="shared" si="42"/>
        <v>REPUBLIC OF SEYCHELLES</v>
      </c>
      <c r="R135" s="1">
        <f t="shared" si="43"/>
        <v>160</v>
      </c>
      <c r="V135" s="1" t="str">
        <f>IF([1]TIM!F135="","",[1]TIM!F135)</f>
        <v/>
      </c>
      <c r="W135" s="1" t="str">
        <f t="shared" si="44"/>
        <v/>
      </c>
      <c r="X135" s="1">
        <f t="shared" si="45"/>
        <v>0</v>
      </c>
      <c r="AI135" s="1">
        <f>IF([1]TIM!P135=[1]TIM!P135,[1]TIM!P135,"")</f>
        <v>0</v>
      </c>
      <c r="AJ135" s="1" t="str">
        <f t="shared" si="46"/>
        <v/>
      </c>
      <c r="AK135" s="1" t="str">
        <f t="shared" si="47"/>
        <v>0</v>
      </c>
      <c r="AL135" s="1" t="str">
        <f t="shared" si="48"/>
        <v>0</v>
      </c>
      <c r="AM135" s="1">
        <f t="shared" si="49"/>
        <v>543</v>
      </c>
      <c r="AN135" s="1" t="str">
        <f t="shared" si="50"/>
        <v>/0/543</v>
      </c>
      <c r="AP135" s="1">
        <f>IF([1]TIM!O135=[1]TIM!O135,[1]TIM!O135,"")</f>
        <v>0</v>
      </c>
      <c r="AQ135" s="1" t="str">
        <f t="shared" si="51"/>
        <v/>
      </c>
      <c r="AR135" s="1" t="str">
        <f t="shared" si="52"/>
        <v>0</v>
      </c>
      <c r="AS135" s="1" t="str">
        <f t="shared" si="53"/>
        <v>0</v>
      </c>
      <c r="AT135" s="1">
        <f t="shared" si="54"/>
        <v>543</v>
      </c>
      <c r="AU135" s="1" t="str">
        <f t="shared" si="55"/>
        <v>/0/543</v>
      </c>
    </row>
    <row r="136" spans="2:47" x14ac:dyDescent="0.3">
      <c r="B136" s="5">
        <v>142</v>
      </c>
      <c r="C136" s="6" t="s">
        <v>492</v>
      </c>
      <c r="D136" s="6" t="s">
        <v>539</v>
      </c>
      <c r="E136" s="2"/>
      <c r="F136" s="5">
        <v>158</v>
      </c>
      <c r="G136" s="7" t="s">
        <v>540</v>
      </c>
      <c r="H136" s="7" t="s">
        <v>541</v>
      </c>
      <c r="K136" s="1" t="str">
        <f t="shared" si="39"/>
        <v>GUINEA BISSAU</v>
      </c>
      <c r="L136" s="1">
        <f t="shared" si="40"/>
        <v>145</v>
      </c>
      <c r="P136" s="1" t="str">
        <f t="shared" si="41"/>
        <v/>
      </c>
      <c r="Q136" s="1" t="str">
        <f t="shared" si="42"/>
        <v>REPUBLIC OF SIERRA LEONE</v>
      </c>
      <c r="R136" s="1">
        <f t="shared" si="43"/>
        <v>161</v>
      </c>
      <c r="V136" s="1" t="str">
        <f>IF([1]TIM!F136="","",[1]TIM!F136)</f>
        <v/>
      </c>
      <c r="W136" s="1" t="str">
        <f t="shared" si="44"/>
        <v/>
      </c>
      <c r="X136" s="1">
        <f t="shared" si="45"/>
        <v>0</v>
      </c>
      <c r="AI136" s="1">
        <f>IF([1]TIM!P136=[1]TIM!P136,[1]TIM!P136,"")</f>
        <v>0</v>
      </c>
      <c r="AJ136" s="1" t="str">
        <f t="shared" si="46"/>
        <v/>
      </c>
      <c r="AK136" s="1" t="str">
        <f t="shared" si="47"/>
        <v>0</v>
      </c>
      <c r="AL136" s="1" t="str">
        <f t="shared" si="48"/>
        <v>0</v>
      </c>
      <c r="AM136" s="1">
        <f t="shared" si="49"/>
        <v>543</v>
      </c>
      <c r="AN136" s="1" t="str">
        <f t="shared" si="50"/>
        <v>/0/543</v>
      </c>
      <c r="AP136" s="1">
        <f>IF([1]TIM!O136=[1]TIM!O136,[1]TIM!O136,"")</f>
        <v>0</v>
      </c>
      <c r="AQ136" s="1" t="str">
        <f t="shared" si="51"/>
        <v/>
      </c>
      <c r="AR136" s="1" t="str">
        <f t="shared" si="52"/>
        <v>0</v>
      </c>
      <c r="AS136" s="1" t="str">
        <f t="shared" si="53"/>
        <v>0</v>
      </c>
      <c r="AT136" s="1">
        <f t="shared" si="54"/>
        <v>543</v>
      </c>
      <c r="AU136" s="1" t="str">
        <f t="shared" si="55"/>
        <v>/0/543</v>
      </c>
    </row>
    <row r="137" spans="2:47" x14ac:dyDescent="0.3">
      <c r="B137" s="5">
        <v>143</v>
      </c>
      <c r="C137" s="6" t="s">
        <v>495</v>
      </c>
      <c r="D137" s="6" t="s">
        <v>542</v>
      </c>
      <c r="E137" s="2"/>
      <c r="F137" s="5">
        <v>159</v>
      </c>
      <c r="G137" s="7" t="s">
        <v>543</v>
      </c>
      <c r="H137" s="7" t="s">
        <v>544</v>
      </c>
      <c r="K137" s="1" t="str">
        <f t="shared" si="39"/>
        <v>LESOTHO</v>
      </c>
      <c r="L137" s="1">
        <f t="shared" si="40"/>
        <v>146</v>
      </c>
      <c r="P137" s="1" t="str">
        <f t="shared" si="41"/>
        <v/>
      </c>
      <c r="Q137" s="1" t="str">
        <f t="shared" si="42"/>
        <v>SOMALI EDMOCRATIC REPUBLIC</v>
      </c>
      <c r="R137" s="1">
        <f t="shared" si="43"/>
        <v>162</v>
      </c>
      <c r="V137" s="1" t="str">
        <f>IF([1]TIM!F137="","",[1]TIM!F137)</f>
        <v/>
      </c>
      <c r="W137" s="1" t="str">
        <f t="shared" si="44"/>
        <v/>
      </c>
      <c r="X137" s="1">
        <f t="shared" si="45"/>
        <v>0</v>
      </c>
      <c r="AI137" s="1">
        <f>IF([1]TIM!P137=[1]TIM!P137,[1]TIM!P137,"")</f>
        <v>0</v>
      </c>
      <c r="AJ137" s="1" t="str">
        <f t="shared" si="46"/>
        <v/>
      </c>
      <c r="AK137" s="1" t="str">
        <f t="shared" si="47"/>
        <v>0</v>
      </c>
      <c r="AL137" s="1" t="str">
        <f t="shared" si="48"/>
        <v>0</v>
      </c>
      <c r="AM137" s="1">
        <f t="shared" si="49"/>
        <v>543</v>
      </c>
      <c r="AN137" s="1" t="str">
        <f t="shared" si="50"/>
        <v>/0/543</v>
      </c>
      <c r="AP137" s="1">
        <f>IF([1]TIM!O137=[1]TIM!O137,[1]TIM!O137,"")</f>
        <v>0</v>
      </c>
      <c r="AQ137" s="1" t="str">
        <f t="shared" si="51"/>
        <v/>
      </c>
      <c r="AR137" s="1" t="str">
        <f t="shared" si="52"/>
        <v>0</v>
      </c>
      <c r="AS137" s="1" t="str">
        <f t="shared" si="53"/>
        <v>0</v>
      </c>
      <c r="AT137" s="1">
        <f t="shared" si="54"/>
        <v>543</v>
      </c>
      <c r="AU137" s="1" t="str">
        <f t="shared" si="55"/>
        <v>/0/543</v>
      </c>
    </row>
    <row r="138" spans="2:47" x14ac:dyDescent="0.3">
      <c r="B138" s="5">
        <v>144</v>
      </c>
      <c r="C138" s="6" t="s">
        <v>498</v>
      </c>
      <c r="D138" s="6" t="s">
        <v>545</v>
      </c>
      <c r="E138" s="2"/>
      <c r="F138" s="5">
        <v>160</v>
      </c>
      <c r="G138" s="7" t="s">
        <v>546</v>
      </c>
      <c r="H138" s="7" t="s">
        <v>547</v>
      </c>
      <c r="K138" s="1" t="str">
        <f t="shared" si="39"/>
        <v>LIBERIA</v>
      </c>
      <c r="L138" s="1">
        <f t="shared" si="40"/>
        <v>147</v>
      </c>
      <c r="P138" s="1" t="str">
        <f t="shared" si="41"/>
        <v/>
      </c>
      <c r="Q138" s="1" t="str">
        <f t="shared" si="42"/>
        <v>REPUBLIC OF THE SUDAN</v>
      </c>
      <c r="R138" s="1">
        <f t="shared" si="43"/>
        <v>163</v>
      </c>
      <c r="V138" s="1" t="str">
        <f>IF([1]TIM!F138="","",[1]TIM!F138)</f>
        <v/>
      </c>
      <c r="W138" s="1" t="str">
        <f t="shared" si="44"/>
        <v/>
      </c>
      <c r="X138" s="1">
        <f t="shared" si="45"/>
        <v>0</v>
      </c>
      <c r="AI138" s="1">
        <f>IF([1]TIM!P138=[1]TIM!P138,[1]TIM!P138,"")</f>
        <v>0</v>
      </c>
      <c r="AJ138" s="1" t="str">
        <f t="shared" si="46"/>
        <v/>
      </c>
      <c r="AK138" s="1" t="str">
        <f t="shared" si="47"/>
        <v>0</v>
      </c>
      <c r="AL138" s="1" t="str">
        <f t="shared" si="48"/>
        <v>0</v>
      </c>
      <c r="AM138" s="1">
        <f t="shared" si="49"/>
        <v>543</v>
      </c>
      <c r="AN138" s="1" t="str">
        <f t="shared" si="50"/>
        <v>/0/543</v>
      </c>
      <c r="AP138" s="1">
        <f>IF([1]TIM!O138=[1]TIM!O138,[1]TIM!O138,"")</f>
        <v>0</v>
      </c>
      <c r="AQ138" s="1" t="str">
        <f t="shared" si="51"/>
        <v/>
      </c>
      <c r="AR138" s="1" t="str">
        <f t="shared" si="52"/>
        <v>0</v>
      </c>
      <c r="AS138" s="1" t="str">
        <f t="shared" si="53"/>
        <v>0</v>
      </c>
      <c r="AT138" s="1">
        <f t="shared" si="54"/>
        <v>543</v>
      </c>
      <c r="AU138" s="1" t="str">
        <f t="shared" si="55"/>
        <v>/0/543</v>
      </c>
    </row>
    <row r="139" spans="2:47" x14ac:dyDescent="0.3">
      <c r="B139" s="5">
        <v>145</v>
      </c>
      <c r="C139" s="6" t="s">
        <v>548</v>
      </c>
      <c r="D139" s="6" t="s">
        <v>549</v>
      </c>
      <c r="E139" s="2"/>
      <c r="F139" s="5">
        <v>161</v>
      </c>
      <c r="G139" s="7" t="s">
        <v>550</v>
      </c>
      <c r="H139" s="7" t="s">
        <v>551</v>
      </c>
      <c r="K139" s="1" t="str">
        <f t="shared" si="39"/>
        <v>Libya</v>
      </c>
      <c r="L139" s="1">
        <f t="shared" si="40"/>
        <v>148</v>
      </c>
      <c r="P139" s="1" t="str">
        <f t="shared" si="41"/>
        <v/>
      </c>
      <c r="Q139" s="1" t="str">
        <f t="shared" si="42"/>
        <v>KINGDOM OF SWAZILAND</v>
      </c>
      <c r="R139" s="1">
        <f t="shared" si="43"/>
        <v>164</v>
      </c>
      <c r="V139" s="1" t="str">
        <f>IF([1]TIM!F139="","",[1]TIM!F139)</f>
        <v/>
      </c>
      <c r="W139" s="1" t="str">
        <f t="shared" si="44"/>
        <v/>
      </c>
      <c r="X139" s="1">
        <f t="shared" si="45"/>
        <v>0</v>
      </c>
      <c r="AI139" s="1">
        <f>IF([1]TIM!P139=[1]TIM!P139,[1]TIM!P139,"")</f>
        <v>0</v>
      </c>
      <c r="AJ139" s="1" t="str">
        <f t="shared" si="46"/>
        <v/>
      </c>
      <c r="AK139" s="1" t="str">
        <f t="shared" si="47"/>
        <v>0</v>
      </c>
      <c r="AL139" s="1" t="str">
        <f t="shared" si="48"/>
        <v>0</v>
      </c>
      <c r="AM139" s="1">
        <f t="shared" si="49"/>
        <v>543</v>
      </c>
      <c r="AN139" s="1" t="str">
        <f t="shared" si="50"/>
        <v>/0/543</v>
      </c>
      <c r="AP139" s="1">
        <f>IF([1]TIM!O139=[1]TIM!O139,[1]TIM!O139,"")</f>
        <v>0</v>
      </c>
      <c r="AQ139" s="1" t="str">
        <f t="shared" si="51"/>
        <v/>
      </c>
      <c r="AR139" s="1" t="str">
        <f t="shared" si="52"/>
        <v>0</v>
      </c>
      <c r="AS139" s="1" t="str">
        <f t="shared" si="53"/>
        <v>0</v>
      </c>
      <c r="AT139" s="1">
        <f t="shared" si="54"/>
        <v>543</v>
      </c>
      <c r="AU139" s="1" t="str">
        <f t="shared" si="55"/>
        <v>/0/543</v>
      </c>
    </row>
    <row r="140" spans="2:47" x14ac:dyDescent="0.3">
      <c r="B140" s="5">
        <v>146</v>
      </c>
      <c r="C140" s="6" t="s">
        <v>504</v>
      </c>
      <c r="D140" s="6" t="s">
        <v>552</v>
      </c>
      <c r="E140" s="2"/>
      <c r="F140" s="5">
        <v>162</v>
      </c>
      <c r="G140" s="7" t="s">
        <v>553</v>
      </c>
      <c r="H140" s="7" t="s">
        <v>554</v>
      </c>
      <c r="K140" s="1" t="str">
        <f t="shared" si="39"/>
        <v>MALAGASY</v>
      </c>
      <c r="L140" s="1">
        <f t="shared" si="40"/>
        <v>149</v>
      </c>
      <c r="P140" s="1" t="str">
        <f t="shared" si="41"/>
        <v/>
      </c>
      <c r="Q140" s="1" t="str">
        <f t="shared" si="42"/>
        <v>UNITED REPUBLIC OF TANZANIA</v>
      </c>
      <c r="R140" s="1">
        <f t="shared" si="43"/>
        <v>165</v>
      </c>
      <c r="V140" s="1" t="str">
        <f>IF([1]TIM!F140="","",[1]TIM!F140)</f>
        <v/>
      </c>
      <c r="W140" s="1" t="str">
        <f t="shared" si="44"/>
        <v/>
      </c>
      <c r="X140" s="1">
        <f t="shared" si="45"/>
        <v>0</v>
      </c>
      <c r="AI140" s="1">
        <f>IF([1]TIM!P140=[1]TIM!P140,[1]TIM!P140,"")</f>
        <v>0</v>
      </c>
      <c r="AJ140" s="1" t="str">
        <f t="shared" si="46"/>
        <v/>
      </c>
      <c r="AK140" s="1" t="str">
        <f t="shared" si="47"/>
        <v>0</v>
      </c>
      <c r="AL140" s="1" t="str">
        <f t="shared" si="48"/>
        <v>0</v>
      </c>
      <c r="AM140" s="1">
        <f t="shared" si="49"/>
        <v>543</v>
      </c>
      <c r="AN140" s="1" t="str">
        <f t="shared" si="50"/>
        <v>/0/543</v>
      </c>
      <c r="AP140" s="1">
        <f>IF([1]TIM!O140=[1]TIM!O140,[1]TIM!O140,"")</f>
        <v>0</v>
      </c>
      <c r="AQ140" s="1" t="str">
        <f t="shared" si="51"/>
        <v/>
      </c>
      <c r="AR140" s="1" t="str">
        <f t="shared" si="52"/>
        <v>0</v>
      </c>
      <c r="AS140" s="1" t="str">
        <f t="shared" si="53"/>
        <v>0</v>
      </c>
      <c r="AT140" s="1">
        <f t="shared" si="54"/>
        <v>543</v>
      </c>
      <c r="AU140" s="1" t="str">
        <f t="shared" si="55"/>
        <v>/0/543</v>
      </c>
    </row>
    <row r="141" spans="2:47" x14ac:dyDescent="0.3">
      <c r="B141" s="5">
        <v>147</v>
      </c>
      <c r="C141" s="6" t="s">
        <v>506</v>
      </c>
      <c r="D141" s="6" t="s">
        <v>555</v>
      </c>
      <c r="E141" s="2"/>
      <c r="F141" s="5">
        <v>163</v>
      </c>
      <c r="G141" s="7" t="s">
        <v>556</v>
      </c>
      <c r="H141" s="7" t="s">
        <v>557</v>
      </c>
      <c r="K141" s="1" t="str">
        <f t="shared" si="39"/>
        <v>MALAWIAN</v>
      </c>
      <c r="L141" s="1">
        <f t="shared" si="40"/>
        <v>150</v>
      </c>
      <c r="P141" s="1" t="str">
        <f t="shared" si="41"/>
        <v/>
      </c>
      <c r="Q141" s="1" t="str">
        <f t="shared" si="42"/>
        <v>REPUBLIC OF TOGO</v>
      </c>
      <c r="R141" s="1">
        <f t="shared" si="43"/>
        <v>166</v>
      </c>
      <c r="V141" s="1" t="str">
        <f>IF([1]TIM!F141="","",[1]TIM!F141)</f>
        <v/>
      </c>
      <c r="W141" s="1" t="str">
        <f t="shared" si="44"/>
        <v/>
      </c>
      <c r="X141" s="1">
        <f t="shared" si="45"/>
        <v>0</v>
      </c>
      <c r="AI141" s="1">
        <f>IF([1]TIM!P141=[1]TIM!P141,[1]TIM!P141,"")</f>
        <v>0</v>
      </c>
      <c r="AJ141" s="1" t="str">
        <f t="shared" si="46"/>
        <v/>
      </c>
      <c r="AK141" s="1" t="str">
        <f t="shared" si="47"/>
        <v>0</v>
      </c>
      <c r="AL141" s="1" t="str">
        <f t="shared" si="48"/>
        <v>0</v>
      </c>
      <c r="AM141" s="1">
        <f t="shared" si="49"/>
        <v>543</v>
      </c>
      <c r="AN141" s="1" t="str">
        <f t="shared" si="50"/>
        <v>/0/543</v>
      </c>
      <c r="AP141" s="1">
        <f>IF([1]TIM!O141=[1]TIM!O141,[1]TIM!O141,"")</f>
        <v>0</v>
      </c>
      <c r="AQ141" s="1" t="str">
        <f t="shared" si="51"/>
        <v/>
      </c>
      <c r="AR141" s="1" t="str">
        <f t="shared" si="52"/>
        <v>0</v>
      </c>
      <c r="AS141" s="1" t="str">
        <f t="shared" si="53"/>
        <v>0</v>
      </c>
      <c r="AT141" s="1">
        <f t="shared" si="54"/>
        <v>543</v>
      </c>
      <c r="AU141" s="1" t="str">
        <f t="shared" si="55"/>
        <v>/0/543</v>
      </c>
    </row>
    <row r="142" spans="2:47" x14ac:dyDescent="0.3">
      <c r="B142" s="5">
        <v>148</v>
      </c>
      <c r="C142" s="6" t="s">
        <v>509</v>
      </c>
      <c r="D142" s="6" t="s">
        <v>558</v>
      </c>
      <c r="E142" s="2"/>
      <c r="F142" s="5">
        <v>164</v>
      </c>
      <c r="G142" s="7" t="s">
        <v>559</v>
      </c>
      <c r="H142" s="7" t="s">
        <v>560</v>
      </c>
      <c r="K142" s="1" t="str">
        <f t="shared" si="39"/>
        <v>MALI</v>
      </c>
      <c r="L142" s="1">
        <f t="shared" si="40"/>
        <v>151</v>
      </c>
      <c r="P142" s="1" t="str">
        <f t="shared" si="41"/>
        <v/>
      </c>
      <c r="Q142" s="1" t="str">
        <f t="shared" si="42"/>
        <v>REPUBLIC OF TUNISIA</v>
      </c>
      <c r="R142" s="1">
        <f t="shared" si="43"/>
        <v>167</v>
      </c>
      <c r="V142" s="1" t="str">
        <f>IF([1]TIM!F142="","",[1]TIM!F142)</f>
        <v/>
      </c>
      <c r="W142" s="1" t="str">
        <f t="shared" si="44"/>
        <v/>
      </c>
      <c r="X142" s="1">
        <f t="shared" si="45"/>
        <v>0</v>
      </c>
      <c r="AI142" s="1">
        <f>IF([1]TIM!P142=[1]TIM!P142,[1]TIM!P142,"")</f>
        <v>0</v>
      </c>
      <c r="AJ142" s="1" t="str">
        <f t="shared" si="46"/>
        <v/>
      </c>
      <c r="AK142" s="1" t="str">
        <f t="shared" si="47"/>
        <v>0</v>
      </c>
      <c r="AL142" s="1" t="str">
        <f t="shared" si="48"/>
        <v>0</v>
      </c>
      <c r="AM142" s="1">
        <f t="shared" si="49"/>
        <v>543</v>
      </c>
      <c r="AN142" s="1" t="str">
        <f t="shared" si="50"/>
        <v>/0/543</v>
      </c>
      <c r="AP142" s="1">
        <f>IF([1]TIM!O142=[1]TIM!O142,[1]TIM!O142,"")</f>
        <v>0</v>
      </c>
      <c r="AQ142" s="1" t="str">
        <f t="shared" si="51"/>
        <v/>
      </c>
      <c r="AR142" s="1" t="str">
        <f t="shared" si="52"/>
        <v>0</v>
      </c>
      <c r="AS142" s="1" t="str">
        <f t="shared" si="53"/>
        <v>0</v>
      </c>
      <c r="AT142" s="1">
        <f t="shared" si="54"/>
        <v>543</v>
      </c>
      <c r="AU142" s="1" t="str">
        <f t="shared" si="55"/>
        <v>/0/543</v>
      </c>
    </row>
    <row r="143" spans="2:47" x14ac:dyDescent="0.3">
      <c r="B143" s="5">
        <v>149</v>
      </c>
      <c r="C143" s="6" t="s">
        <v>561</v>
      </c>
      <c r="D143" s="6" t="s">
        <v>562</v>
      </c>
      <c r="E143" s="2"/>
      <c r="F143" s="5">
        <v>165</v>
      </c>
      <c r="G143" s="7" t="s">
        <v>563</v>
      </c>
      <c r="H143" s="7" t="s">
        <v>564</v>
      </c>
      <c r="K143" s="1" t="str">
        <f t="shared" si="39"/>
        <v>MAURITANTA</v>
      </c>
      <c r="L143" s="1">
        <f t="shared" si="40"/>
        <v>152</v>
      </c>
      <c r="P143" s="1" t="str">
        <f t="shared" si="41"/>
        <v/>
      </c>
      <c r="Q143" s="1" t="str">
        <f t="shared" si="42"/>
        <v>REPUBLIC OF UGANDA</v>
      </c>
      <c r="R143" s="1">
        <f t="shared" si="43"/>
        <v>168</v>
      </c>
      <c r="V143" s="1" t="str">
        <f>IF([1]TIM!F143="","",[1]TIM!F143)</f>
        <v/>
      </c>
      <c r="W143" s="1" t="str">
        <f t="shared" si="44"/>
        <v/>
      </c>
      <c r="X143" s="1">
        <f t="shared" si="45"/>
        <v>0</v>
      </c>
      <c r="AI143" s="1">
        <f>IF([1]TIM!P143=[1]TIM!P143,[1]TIM!P143,"")</f>
        <v>0</v>
      </c>
      <c r="AJ143" s="1" t="str">
        <f t="shared" si="46"/>
        <v/>
      </c>
      <c r="AK143" s="1" t="str">
        <f t="shared" si="47"/>
        <v>0</v>
      </c>
      <c r="AL143" s="1" t="str">
        <f t="shared" si="48"/>
        <v>0</v>
      </c>
      <c r="AM143" s="1">
        <f t="shared" si="49"/>
        <v>543</v>
      </c>
      <c r="AN143" s="1" t="str">
        <f t="shared" si="50"/>
        <v>/0/543</v>
      </c>
      <c r="AP143" s="1">
        <f>IF([1]TIM!O143=[1]TIM!O143,[1]TIM!O143,"")</f>
        <v>0</v>
      </c>
      <c r="AQ143" s="1" t="str">
        <f t="shared" si="51"/>
        <v/>
      </c>
      <c r="AR143" s="1" t="str">
        <f t="shared" si="52"/>
        <v>0</v>
      </c>
      <c r="AS143" s="1" t="str">
        <f t="shared" si="53"/>
        <v>0</v>
      </c>
      <c r="AT143" s="1">
        <f t="shared" si="54"/>
        <v>543</v>
      </c>
      <c r="AU143" s="1" t="str">
        <f t="shared" si="55"/>
        <v>/0/543</v>
      </c>
    </row>
    <row r="144" spans="2:47" x14ac:dyDescent="0.3">
      <c r="B144" s="5">
        <v>150</v>
      </c>
      <c r="C144" s="6" t="s">
        <v>515</v>
      </c>
      <c r="D144" s="6" t="s">
        <v>565</v>
      </c>
      <c r="E144" s="2"/>
      <c r="F144" s="5">
        <v>166</v>
      </c>
      <c r="G144" s="7" t="s">
        <v>566</v>
      </c>
      <c r="H144" s="7" t="s">
        <v>567</v>
      </c>
      <c r="K144" s="1" t="str">
        <f t="shared" si="39"/>
        <v>MAURITIUS</v>
      </c>
      <c r="L144" s="1">
        <f t="shared" si="40"/>
        <v>153</v>
      </c>
      <c r="P144" s="1" t="str">
        <f t="shared" si="41"/>
        <v/>
      </c>
      <c r="Q144" s="1" t="str">
        <f t="shared" si="42"/>
        <v>THE DEMOCATIC REPUBLIC OF THE CONGO</v>
      </c>
      <c r="R144" s="1">
        <f t="shared" si="43"/>
        <v>169</v>
      </c>
      <c r="V144" s="1" t="str">
        <f>IF([1]TIM!F144="","",[1]TIM!F144)</f>
        <v/>
      </c>
      <c r="W144" s="1" t="str">
        <f t="shared" si="44"/>
        <v/>
      </c>
      <c r="X144" s="1">
        <f t="shared" si="45"/>
        <v>0</v>
      </c>
      <c r="AI144" s="1">
        <f>IF([1]TIM!P144=[1]TIM!P144,[1]TIM!P144,"")</f>
        <v>0</v>
      </c>
      <c r="AJ144" s="1" t="str">
        <f t="shared" si="46"/>
        <v/>
      </c>
      <c r="AK144" s="1" t="str">
        <f t="shared" si="47"/>
        <v>0</v>
      </c>
      <c r="AL144" s="1" t="str">
        <f t="shared" si="48"/>
        <v>0</v>
      </c>
      <c r="AM144" s="1">
        <f t="shared" si="49"/>
        <v>543</v>
      </c>
      <c r="AN144" s="1" t="str">
        <f t="shared" si="50"/>
        <v>/0/543</v>
      </c>
      <c r="AP144" s="1">
        <f>IF([1]TIM!O144=[1]TIM!O144,[1]TIM!O144,"")</f>
        <v>0</v>
      </c>
      <c r="AQ144" s="1" t="str">
        <f t="shared" si="51"/>
        <v/>
      </c>
      <c r="AR144" s="1" t="str">
        <f t="shared" si="52"/>
        <v>0</v>
      </c>
      <c r="AS144" s="1" t="str">
        <f t="shared" si="53"/>
        <v>0</v>
      </c>
      <c r="AT144" s="1">
        <f t="shared" si="54"/>
        <v>543</v>
      </c>
      <c r="AU144" s="1" t="str">
        <f t="shared" si="55"/>
        <v>/0/543</v>
      </c>
    </row>
    <row r="145" spans="2:47" x14ac:dyDescent="0.3">
      <c r="B145" s="5">
        <v>151</v>
      </c>
      <c r="C145" s="6" t="s">
        <v>518</v>
      </c>
      <c r="D145" s="6" t="s">
        <v>519</v>
      </c>
      <c r="E145" s="2"/>
      <c r="F145" s="5">
        <v>167</v>
      </c>
      <c r="G145" s="7" t="s">
        <v>568</v>
      </c>
      <c r="H145" s="7" t="s">
        <v>569</v>
      </c>
      <c r="K145" s="1" t="str">
        <f t="shared" si="39"/>
        <v>MOROCCAN</v>
      </c>
      <c r="L145" s="1">
        <f t="shared" si="40"/>
        <v>154</v>
      </c>
      <c r="P145" s="1" t="str">
        <f t="shared" si="41"/>
        <v/>
      </c>
      <c r="Q145" s="1" t="str">
        <f t="shared" si="42"/>
        <v>REPUBLIC OF ZAMBIA</v>
      </c>
      <c r="R145" s="1">
        <f t="shared" si="43"/>
        <v>170</v>
      </c>
      <c r="V145" s="1" t="str">
        <f>IF([1]TIM!F145="","",[1]TIM!F145)</f>
        <v/>
      </c>
      <c r="W145" s="1" t="str">
        <f t="shared" si="44"/>
        <v/>
      </c>
      <c r="X145" s="1">
        <f t="shared" si="45"/>
        <v>0</v>
      </c>
      <c r="AI145" s="1">
        <f>IF([1]TIM!P145=[1]TIM!P145,[1]TIM!P145,"")</f>
        <v>0</v>
      </c>
      <c r="AJ145" s="1" t="str">
        <f t="shared" si="46"/>
        <v/>
      </c>
      <c r="AK145" s="1" t="str">
        <f t="shared" si="47"/>
        <v>0</v>
      </c>
      <c r="AL145" s="1" t="str">
        <f t="shared" si="48"/>
        <v>0</v>
      </c>
      <c r="AM145" s="1">
        <f t="shared" si="49"/>
        <v>543</v>
      </c>
      <c r="AN145" s="1" t="str">
        <f t="shared" si="50"/>
        <v>/0/543</v>
      </c>
      <c r="AP145" s="1">
        <f>IF([1]TIM!O145=[1]TIM!O145,[1]TIM!O145,"")</f>
        <v>0</v>
      </c>
      <c r="AQ145" s="1" t="str">
        <f t="shared" si="51"/>
        <v/>
      </c>
      <c r="AR145" s="1" t="str">
        <f t="shared" si="52"/>
        <v>0</v>
      </c>
      <c r="AS145" s="1" t="str">
        <f t="shared" si="53"/>
        <v>0</v>
      </c>
      <c r="AT145" s="1">
        <f t="shared" si="54"/>
        <v>543</v>
      </c>
      <c r="AU145" s="1" t="str">
        <f t="shared" si="55"/>
        <v>/0/543</v>
      </c>
    </row>
    <row r="146" spans="2:47" x14ac:dyDescent="0.3">
      <c r="B146" s="5">
        <v>152</v>
      </c>
      <c r="C146" s="6" t="s">
        <v>521</v>
      </c>
      <c r="D146" s="6" t="s">
        <v>570</v>
      </c>
      <c r="E146" s="2"/>
      <c r="F146" s="5">
        <v>168</v>
      </c>
      <c r="G146" s="7" t="s">
        <v>571</v>
      </c>
      <c r="H146" s="7" t="s">
        <v>572</v>
      </c>
      <c r="K146" s="1" t="str">
        <f t="shared" si="39"/>
        <v>MOZAMBIQUE</v>
      </c>
      <c r="L146" s="1">
        <f t="shared" si="40"/>
        <v>155</v>
      </c>
      <c r="P146" s="1" t="str">
        <f t="shared" si="41"/>
        <v/>
      </c>
      <c r="Q146" s="1" t="str">
        <f t="shared" si="42"/>
        <v>REPUBLIC OF ZIMBABWE</v>
      </c>
      <c r="R146" s="1">
        <f t="shared" si="43"/>
        <v>171</v>
      </c>
      <c r="V146" s="1" t="str">
        <f>IF([1]TIM!F146="","",[1]TIM!F146)</f>
        <v/>
      </c>
      <c r="W146" s="1" t="str">
        <f t="shared" si="44"/>
        <v/>
      </c>
      <c r="X146" s="1">
        <f t="shared" si="45"/>
        <v>0</v>
      </c>
      <c r="AI146" s="1">
        <f>IF([1]TIM!P146=[1]TIM!P146,[1]TIM!P146,"")</f>
        <v>0</v>
      </c>
      <c r="AJ146" s="1" t="str">
        <f t="shared" si="46"/>
        <v/>
      </c>
      <c r="AK146" s="1" t="str">
        <f t="shared" si="47"/>
        <v>0</v>
      </c>
      <c r="AL146" s="1" t="str">
        <f t="shared" si="48"/>
        <v>0</v>
      </c>
      <c r="AM146" s="1">
        <f t="shared" si="49"/>
        <v>543</v>
      </c>
      <c r="AN146" s="1" t="str">
        <f t="shared" si="50"/>
        <v>/0/543</v>
      </c>
      <c r="AP146" s="1">
        <f>IF([1]TIM!O146=[1]TIM!O146,[1]TIM!O146,"")</f>
        <v>0</v>
      </c>
      <c r="AQ146" s="1" t="str">
        <f t="shared" si="51"/>
        <v/>
      </c>
      <c r="AR146" s="1" t="str">
        <f t="shared" si="52"/>
        <v>0</v>
      </c>
      <c r="AS146" s="1" t="str">
        <f t="shared" si="53"/>
        <v>0</v>
      </c>
      <c r="AT146" s="1">
        <f t="shared" si="54"/>
        <v>543</v>
      </c>
      <c r="AU146" s="1" t="str">
        <f t="shared" si="55"/>
        <v>/0/543</v>
      </c>
    </row>
    <row r="147" spans="2:47" x14ac:dyDescent="0.3">
      <c r="B147" s="5">
        <v>153</v>
      </c>
      <c r="C147" s="6" t="s">
        <v>524</v>
      </c>
      <c r="D147" s="6" t="s">
        <v>525</v>
      </c>
      <c r="E147" s="2"/>
      <c r="F147" s="5">
        <v>169</v>
      </c>
      <c r="G147" s="7" t="s">
        <v>573</v>
      </c>
      <c r="H147" s="7" t="s">
        <v>574</v>
      </c>
      <c r="K147" s="1" t="str">
        <f t="shared" si="39"/>
        <v>NIGER</v>
      </c>
      <c r="L147" s="1">
        <f t="shared" si="40"/>
        <v>156</v>
      </c>
      <c r="P147" s="1" t="str">
        <f t="shared" si="41"/>
        <v/>
      </c>
      <c r="Q147" s="1" t="str">
        <f t="shared" si="42"/>
        <v>ANTIGUA AND BARBUDA</v>
      </c>
      <c r="R147" s="1">
        <f t="shared" si="43"/>
        <v>172</v>
      </c>
      <c r="V147" s="1" t="str">
        <f>IF([1]TIM!F147="","",[1]TIM!F147)</f>
        <v/>
      </c>
      <c r="W147" s="1" t="str">
        <f t="shared" si="44"/>
        <v/>
      </c>
      <c r="X147" s="1">
        <f t="shared" si="45"/>
        <v>0</v>
      </c>
      <c r="AI147" s="1">
        <f>IF([1]TIM!P147=[1]TIM!P147,[1]TIM!P147,"")</f>
        <v>0</v>
      </c>
      <c r="AJ147" s="1" t="str">
        <f t="shared" si="46"/>
        <v/>
      </c>
      <c r="AK147" s="1" t="str">
        <f t="shared" si="47"/>
        <v>0</v>
      </c>
      <c r="AL147" s="1" t="str">
        <f t="shared" si="48"/>
        <v>0</v>
      </c>
      <c r="AM147" s="1">
        <f t="shared" si="49"/>
        <v>543</v>
      </c>
      <c r="AN147" s="1" t="str">
        <f t="shared" si="50"/>
        <v>/0/543</v>
      </c>
      <c r="AP147" s="1">
        <f>IF([1]TIM!O147=[1]TIM!O147,[1]TIM!O147,"")</f>
        <v>0</v>
      </c>
      <c r="AQ147" s="1" t="str">
        <f t="shared" si="51"/>
        <v/>
      </c>
      <c r="AR147" s="1" t="str">
        <f t="shared" si="52"/>
        <v>0</v>
      </c>
      <c r="AS147" s="1" t="str">
        <f t="shared" si="53"/>
        <v>0</v>
      </c>
      <c r="AT147" s="1">
        <f t="shared" si="54"/>
        <v>543</v>
      </c>
      <c r="AU147" s="1" t="str">
        <f t="shared" si="55"/>
        <v>/0/543</v>
      </c>
    </row>
    <row r="148" spans="2:47" x14ac:dyDescent="0.3">
      <c r="B148" s="5">
        <v>154</v>
      </c>
      <c r="C148" s="6" t="s">
        <v>527</v>
      </c>
      <c r="D148" s="6" t="s">
        <v>575</v>
      </c>
      <c r="E148" s="2"/>
      <c r="F148" s="5">
        <v>170</v>
      </c>
      <c r="G148" s="7" t="s">
        <v>576</v>
      </c>
      <c r="H148" s="7" t="s">
        <v>577</v>
      </c>
      <c r="K148" s="1" t="str">
        <f t="shared" si="39"/>
        <v>RWANDA</v>
      </c>
      <c r="L148" s="1">
        <f t="shared" si="40"/>
        <v>157</v>
      </c>
      <c r="P148" s="1" t="str">
        <f t="shared" si="41"/>
        <v/>
      </c>
      <c r="Q148" s="1" t="str">
        <f t="shared" si="42"/>
        <v>COMMONWEALTH OF THE BAHAMAS</v>
      </c>
      <c r="R148" s="1">
        <f t="shared" si="43"/>
        <v>173</v>
      </c>
      <c r="V148" s="1" t="str">
        <f>IF([1]TIM!F148="","",[1]TIM!F148)</f>
        <v/>
      </c>
      <c r="W148" s="1" t="str">
        <f t="shared" si="44"/>
        <v/>
      </c>
      <c r="X148" s="1">
        <f t="shared" si="45"/>
        <v>0</v>
      </c>
      <c r="AI148" s="1">
        <f>IF([1]TIM!P148=[1]TIM!P148,[1]TIM!P148,"")</f>
        <v>0</v>
      </c>
      <c r="AJ148" s="1" t="str">
        <f t="shared" si="46"/>
        <v/>
      </c>
      <c r="AK148" s="1" t="str">
        <f t="shared" si="47"/>
        <v>0</v>
      </c>
      <c r="AL148" s="1" t="str">
        <f t="shared" si="48"/>
        <v>0</v>
      </c>
      <c r="AM148" s="1">
        <f t="shared" si="49"/>
        <v>543</v>
      </c>
      <c r="AN148" s="1" t="str">
        <f t="shared" si="50"/>
        <v>/0/543</v>
      </c>
      <c r="AP148" s="1">
        <f>IF([1]TIM!O148=[1]TIM!O148,[1]TIM!O148,"")</f>
        <v>0</v>
      </c>
      <c r="AQ148" s="1" t="str">
        <f t="shared" si="51"/>
        <v/>
      </c>
      <c r="AR148" s="1" t="str">
        <f t="shared" si="52"/>
        <v>0</v>
      </c>
      <c r="AS148" s="1" t="str">
        <f t="shared" si="53"/>
        <v>0</v>
      </c>
      <c r="AT148" s="1">
        <f t="shared" si="54"/>
        <v>543</v>
      </c>
      <c r="AU148" s="1" t="str">
        <f t="shared" si="55"/>
        <v>/0/543</v>
      </c>
    </row>
    <row r="149" spans="2:47" x14ac:dyDescent="0.3">
      <c r="B149" s="5">
        <v>155</v>
      </c>
      <c r="C149" s="6" t="s">
        <v>578</v>
      </c>
      <c r="D149" s="6" t="s">
        <v>579</v>
      </c>
      <c r="E149" s="2"/>
      <c r="F149" s="5">
        <v>171</v>
      </c>
      <c r="G149" s="7" t="s">
        <v>580</v>
      </c>
      <c r="H149" s="7" t="s">
        <v>581</v>
      </c>
      <c r="K149" s="1" t="str">
        <f t="shared" si="39"/>
        <v>SAO TOME AND PRINCIPE</v>
      </c>
      <c r="L149" s="1">
        <f t="shared" si="40"/>
        <v>158</v>
      </c>
      <c r="P149" s="1" t="str">
        <f t="shared" si="41"/>
        <v/>
      </c>
      <c r="Q149" s="1" t="str">
        <f t="shared" si="42"/>
        <v>BARBADOS</v>
      </c>
      <c r="R149" s="1">
        <f t="shared" si="43"/>
        <v>174</v>
      </c>
      <c r="V149" s="1" t="str">
        <f>IF([1]TIM!F149="","",[1]TIM!F149)</f>
        <v/>
      </c>
      <c r="W149" s="1" t="str">
        <f t="shared" si="44"/>
        <v/>
      </c>
      <c r="X149" s="1">
        <f t="shared" si="45"/>
        <v>0</v>
      </c>
      <c r="AI149" s="1">
        <f>IF([1]TIM!P149=[1]TIM!P149,[1]TIM!P149,"")</f>
        <v>0</v>
      </c>
      <c r="AJ149" s="1" t="str">
        <f t="shared" si="46"/>
        <v/>
      </c>
      <c r="AK149" s="1" t="str">
        <f t="shared" si="47"/>
        <v>0</v>
      </c>
      <c r="AL149" s="1" t="str">
        <f t="shared" si="48"/>
        <v>0</v>
      </c>
      <c r="AM149" s="1">
        <f t="shared" si="49"/>
        <v>543</v>
      </c>
      <c r="AN149" s="1" t="str">
        <f t="shared" si="50"/>
        <v>/0/543</v>
      </c>
      <c r="AP149" s="1">
        <f>IF([1]TIM!O149=[1]TIM!O149,[1]TIM!O149,"")</f>
        <v>0</v>
      </c>
      <c r="AQ149" s="1" t="str">
        <f t="shared" si="51"/>
        <v/>
      </c>
      <c r="AR149" s="1" t="str">
        <f t="shared" si="52"/>
        <v>0</v>
      </c>
      <c r="AS149" s="1" t="str">
        <f t="shared" si="53"/>
        <v>0</v>
      </c>
      <c r="AT149" s="1">
        <f t="shared" si="54"/>
        <v>543</v>
      </c>
      <c r="AU149" s="1" t="str">
        <f t="shared" si="55"/>
        <v>/0/543</v>
      </c>
    </row>
    <row r="150" spans="2:47" x14ac:dyDescent="0.3">
      <c r="B150" s="5">
        <v>156</v>
      </c>
      <c r="C150" s="6" t="s">
        <v>534</v>
      </c>
      <c r="D150" s="6" t="s">
        <v>582</v>
      </c>
      <c r="E150" s="2"/>
      <c r="F150" s="5">
        <v>172</v>
      </c>
      <c r="G150" s="7" t="s">
        <v>583</v>
      </c>
      <c r="H150" s="7" t="s">
        <v>584</v>
      </c>
      <c r="K150" s="1" t="str">
        <f t="shared" si="39"/>
        <v>SENEGAL</v>
      </c>
      <c r="L150" s="1">
        <f t="shared" si="40"/>
        <v>159</v>
      </c>
      <c r="P150" s="1" t="str">
        <f t="shared" si="41"/>
        <v/>
      </c>
      <c r="Q150" s="1" t="str">
        <f t="shared" si="42"/>
        <v>BELIZE</v>
      </c>
      <c r="R150" s="1">
        <f t="shared" si="43"/>
        <v>175</v>
      </c>
      <c r="V150" s="1" t="str">
        <f>IF([1]TIM!F150="","",[1]TIM!F150)</f>
        <v/>
      </c>
      <c r="W150" s="1" t="str">
        <f t="shared" si="44"/>
        <v/>
      </c>
      <c r="X150" s="1">
        <f t="shared" si="45"/>
        <v>0</v>
      </c>
      <c r="AI150" s="1">
        <f>IF([1]TIM!P150=[1]TIM!P150,[1]TIM!P150,"")</f>
        <v>0</v>
      </c>
      <c r="AJ150" s="1" t="str">
        <f t="shared" si="46"/>
        <v/>
      </c>
      <c r="AK150" s="1" t="str">
        <f t="shared" si="47"/>
        <v>0</v>
      </c>
      <c r="AL150" s="1" t="str">
        <f t="shared" si="48"/>
        <v>0</v>
      </c>
      <c r="AM150" s="1">
        <f t="shared" si="49"/>
        <v>543</v>
      </c>
      <c r="AN150" s="1" t="str">
        <f t="shared" si="50"/>
        <v>/0/543</v>
      </c>
      <c r="AP150" s="1">
        <f>IF([1]TIM!O150=[1]TIM!O150,[1]TIM!O150,"")</f>
        <v>0</v>
      </c>
      <c r="AQ150" s="1" t="str">
        <f t="shared" si="51"/>
        <v/>
      </c>
      <c r="AR150" s="1" t="str">
        <f t="shared" si="52"/>
        <v>0</v>
      </c>
      <c r="AS150" s="1" t="str">
        <f t="shared" si="53"/>
        <v>0</v>
      </c>
      <c r="AT150" s="1">
        <f t="shared" si="54"/>
        <v>543</v>
      </c>
      <c r="AU150" s="1" t="str">
        <f t="shared" si="55"/>
        <v>/0/543</v>
      </c>
    </row>
    <row r="151" spans="2:47" x14ac:dyDescent="0.3">
      <c r="B151" s="5">
        <v>157</v>
      </c>
      <c r="C151" s="6" t="s">
        <v>537</v>
      </c>
      <c r="D151" s="6" t="s">
        <v>585</v>
      </c>
      <c r="E151" s="2"/>
      <c r="F151" s="5">
        <v>173</v>
      </c>
      <c r="G151" s="7" t="s">
        <v>586</v>
      </c>
      <c r="H151" s="7" t="s">
        <v>587</v>
      </c>
      <c r="K151" s="1" t="str">
        <f t="shared" si="39"/>
        <v>SEYCHELLES</v>
      </c>
      <c r="L151" s="1">
        <f t="shared" si="40"/>
        <v>160</v>
      </c>
      <c r="P151" s="1" t="str">
        <f t="shared" si="41"/>
        <v/>
      </c>
      <c r="Q151" s="1" t="str">
        <f t="shared" si="42"/>
        <v>REPUBLIC OF COSTA RICA</v>
      </c>
      <c r="R151" s="1">
        <f t="shared" si="43"/>
        <v>176</v>
      </c>
      <c r="V151" s="1" t="str">
        <f>IF([1]TIM!F151="","",[1]TIM!F151)</f>
        <v/>
      </c>
      <c r="W151" s="1" t="str">
        <f t="shared" si="44"/>
        <v/>
      </c>
      <c r="X151" s="1">
        <f t="shared" si="45"/>
        <v>0</v>
      </c>
      <c r="AI151" s="1">
        <f>IF([1]TIM!P151=[1]TIM!P151,[1]TIM!P151,"")</f>
        <v>0</v>
      </c>
      <c r="AJ151" s="1" t="str">
        <f t="shared" si="46"/>
        <v/>
      </c>
      <c r="AK151" s="1" t="str">
        <f t="shared" si="47"/>
        <v>0</v>
      </c>
      <c r="AL151" s="1" t="str">
        <f t="shared" si="48"/>
        <v>0</v>
      </c>
      <c r="AM151" s="1">
        <f t="shared" si="49"/>
        <v>543</v>
      </c>
      <c r="AN151" s="1" t="str">
        <f t="shared" si="50"/>
        <v>/0/543</v>
      </c>
      <c r="AP151" s="1">
        <f>IF([1]TIM!O151=[1]TIM!O151,[1]TIM!O151,"")</f>
        <v>0</v>
      </c>
      <c r="AQ151" s="1" t="str">
        <f t="shared" si="51"/>
        <v/>
      </c>
      <c r="AR151" s="1" t="str">
        <f t="shared" si="52"/>
        <v>0</v>
      </c>
      <c r="AS151" s="1" t="str">
        <f t="shared" si="53"/>
        <v>0</v>
      </c>
      <c r="AT151" s="1">
        <f t="shared" si="54"/>
        <v>543</v>
      </c>
      <c r="AU151" s="1" t="str">
        <f t="shared" si="55"/>
        <v>/0/543</v>
      </c>
    </row>
    <row r="152" spans="2:47" x14ac:dyDescent="0.3">
      <c r="B152" s="5">
        <v>158</v>
      </c>
      <c r="C152" s="6" t="s">
        <v>540</v>
      </c>
      <c r="D152" s="6" t="s">
        <v>588</v>
      </c>
      <c r="E152" s="2"/>
      <c r="F152" s="5">
        <v>174</v>
      </c>
      <c r="G152" s="7" t="s">
        <v>589</v>
      </c>
      <c r="H152" s="7" t="s">
        <v>590</v>
      </c>
      <c r="K152" s="1" t="str">
        <f t="shared" si="39"/>
        <v>SIERRA LEONE</v>
      </c>
      <c r="L152" s="1">
        <f t="shared" si="40"/>
        <v>161</v>
      </c>
      <c r="P152" s="1" t="str">
        <f t="shared" si="41"/>
        <v/>
      </c>
      <c r="Q152" s="1" t="str">
        <f t="shared" si="42"/>
        <v>COMMONWEALTH OF DOMINICA</v>
      </c>
      <c r="R152" s="1">
        <f t="shared" si="43"/>
        <v>177</v>
      </c>
      <c r="V152" s="1" t="str">
        <f>IF([1]TIM!F152="","",[1]TIM!F152)</f>
        <v/>
      </c>
      <c r="W152" s="1" t="str">
        <f t="shared" si="44"/>
        <v/>
      </c>
      <c r="X152" s="1">
        <f t="shared" si="45"/>
        <v>0</v>
      </c>
      <c r="AI152" s="1">
        <f>IF([1]TIM!P152=[1]TIM!P152,[1]TIM!P152,"")</f>
        <v>0</v>
      </c>
      <c r="AJ152" s="1" t="str">
        <f t="shared" si="46"/>
        <v/>
      </c>
      <c r="AK152" s="1" t="str">
        <f t="shared" si="47"/>
        <v>0</v>
      </c>
      <c r="AL152" s="1" t="str">
        <f t="shared" si="48"/>
        <v>0</v>
      </c>
      <c r="AM152" s="1">
        <f t="shared" si="49"/>
        <v>543</v>
      </c>
      <c r="AN152" s="1" t="str">
        <f t="shared" si="50"/>
        <v>/0/543</v>
      </c>
      <c r="AP152" s="1">
        <f>IF([1]TIM!O152=[1]TIM!O152,[1]TIM!O152,"")</f>
        <v>0</v>
      </c>
      <c r="AQ152" s="1" t="str">
        <f t="shared" si="51"/>
        <v/>
      </c>
      <c r="AR152" s="1" t="str">
        <f t="shared" si="52"/>
        <v>0</v>
      </c>
      <c r="AS152" s="1" t="str">
        <f t="shared" si="53"/>
        <v>0</v>
      </c>
      <c r="AT152" s="1">
        <f t="shared" si="54"/>
        <v>543</v>
      </c>
      <c r="AU152" s="1" t="str">
        <f t="shared" si="55"/>
        <v>/0/543</v>
      </c>
    </row>
    <row r="153" spans="2:47" x14ac:dyDescent="0.3">
      <c r="B153" s="5">
        <v>159</v>
      </c>
      <c r="C153" s="6" t="s">
        <v>543</v>
      </c>
      <c r="D153" s="6" t="s">
        <v>591</v>
      </c>
      <c r="E153" s="2"/>
      <c r="F153" s="5">
        <v>175</v>
      </c>
      <c r="G153" s="7" t="s">
        <v>592</v>
      </c>
      <c r="H153" s="7" t="s">
        <v>593</v>
      </c>
      <c r="K153" s="1" t="str">
        <f t="shared" si="39"/>
        <v>SOMALI</v>
      </c>
      <c r="L153" s="1">
        <f t="shared" si="40"/>
        <v>162</v>
      </c>
      <c r="P153" s="1" t="str">
        <f t="shared" si="41"/>
        <v/>
      </c>
      <c r="Q153" s="1" t="str">
        <f t="shared" si="42"/>
        <v>DOMINICAN REPUBLIC</v>
      </c>
      <c r="R153" s="1">
        <f t="shared" si="43"/>
        <v>178</v>
      </c>
      <c r="V153" s="1" t="str">
        <f>IF([1]TIM!F153="","",[1]TIM!F153)</f>
        <v/>
      </c>
      <c r="W153" s="1" t="str">
        <f t="shared" si="44"/>
        <v/>
      </c>
      <c r="X153" s="1">
        <f t="shared" si="45"/>
        <v>0</v>
      </c>
      <c r="AI153" s="1">
        <f>IF([1]TIM!P153=[1]TIM!P153,[1]TIM!P153,"")</f>
        <v>0</v>
      </c>
      <c r="AJ153" s="1" t="str">
        <f t="shared" si="46"/>
        <v/>
      </c>
      <c r="AK153" s="1" t="str">
        <f t="shared" si="47"/>
        <v>0</v>
      </c>
      <c r="AL153" s="1" t="str">
        <f t="shared" si="48"/>
        <v>0</v>
      </c>
      <c r="AM153" s="1">
        <f t="shared" si="49"/>
        <v>543</v>
      </c>
      <c r="AN153" s="1" t="str">
        <f t="shared" si="50"/>
        <v>/0/543</v>
      </c>
      <c r="AP153" s="1">
        <f>IF([1]TIM!O153=[1]TIM!O153,[1]TIM!O153,"")</f>
        <v>0</v>
      </c>
      <c r="AQ153" s="1" t="str">
        <f t="shared" si="51"/>
        <v/>
      </c>
      <c r="AR153" s="1" t="str">
        <f t="shared" si="52"/>
        <v>0</v>
      </c>
      <c r="AS153" s="1" t="str">
        <f t="shared" si="53"/>
        <v>0</v>
      </c>
      <c r="AT153" s="1">
        <f t="shared" si="54"/>
        <v>543</v>
      </c>
      <c r="AU153" s="1" t="str">
        <f t="shared" si="55"/>
        <v>/0/543</v>
      </c>
    </row>
    <row r="154" spans="2:47" x14ac:dyDescent="0.3">
      <c r="B154" s="5">
        <v>160</v>
      </c>
      <c r="C154" s="6" t="s">
        <v>546</v>
      </c>
      <c r="D154" s="6" t="s">
        <v>594</v>
      </c>
      <c r="E154" s="2"/>
      <c r="F154" s="5">
        <v>176</v>
      </c>
      <c r="G154" s="7" t="s">
        <v>595</v>
      </c>
      <c r="H154" s="7" t="s">
        <v>596</v>
      </c>
      <c r="K154" s="1" t="str">
        <f t="shared" si="39"/>
        <v>SUDAN</v>
      </c>
      <c r="L154" s="1">
        <f t="shared" si="40"/>
        <v>163</v>
      </c>
      <c r="P154" s="1" t="str">
        <f t="shared" si="41"/>
        <v/>
      </c>
      <c r="Q154" s="1" t="str">
        <f t="shared" si="42"/>
        <v>REPUBLIC OF EL SALVADOR</v>
      </c>
      <c r="R154" s="1">
        <f t="shared" si="43"/>
        <v>179</v>
      </c>
      <c r="V154" s="1" t="str">
        <f>IF([1]TIM!F154="","",[1]TIM!F154)</f>
        <v/>
      </c>
      <c r="W154" s="1" t="str">
        <f t="shared" si="44"/>
        <v/>
      </c>
      <c r="X154" s="1">
        <f t="shared" si="45"/>
        <v>0</v>
      </c>
      <c r="AI154" s="1">
        <f>IF([1]TIM!P154=[1]TIM!P154,[1]TIM!P154,"")</f>
        <v>0</v>
      </c>
      <c r="AJ154" s="1" t="str">
        <f t="shared" si="46"/>
        <v/>
      </c>
      <c r="AK154" s="1" t="str">
        <f t="shared" si="47"/>
        <v>0</v>
      </c>
      <c r="AL154" s="1" t="str">
        <f t="shared" si="48"/>
        <v>0</v>
      </c>
      <c r="AM154" s="1">
        <f t="shared" si="49"/>
        <v>543</v>
      </c>
      <c r="AN154" s="1" t="str">
        <f t="shared" si="50"/>
        <v>/0/543</v>
      </c>
      <c r="AP154" s="1">
        <f>IF([1]TIM!O154=[1]TIM!O154,[1]TIM!O154,"")</f>
        <v>0</v>
      </c>
      <c r="AQ154" s="1" t="str">
        <f t="shared" si="51"/>
        <v/>
      </c>
      <c r="AR154" s="1" t="str">
        <f t="shared" si="52"/>
        <v>0</v>
      </c>
      <c r="AS154" s="1" t="str">
        <f t="shared" si="53"/>
        <v>0</v>
      </c>
      <c r="AT154" s="1">
        <f t="shared" si="54"/>
        <v>543</v>
      </c>
      <c r="AU154" s="1" t="str">
        <f t="shared" si="55"/>
        <v>/0/543</v>
      </c>
    </row>
    <row r="155" spans="2:47" x14ac:dyDescent="0.3">
      <c r="B155" s="5">
        <v>161</v>
      </c>
      <c r="C155" s="6" t="s">
        <v>550</v>
      </c>
      <c r="D155" s="6" t="s">
        <v>597</v>
      </c>
      <c r="E155" s="2"/>
      <c r="F155" s="5">
        <v>177</v>
      </c>
      <c r="G155" s="7" t="s">
        <v>598</v>
      </c>
      <c r="H155" s="7" t="s">
        <v>599</v>
      </c>
      <c r="K155" s="1" t="str">
        <f t="shared" si="39"/>
        <v>SWAZI</v>
      </c>
      <c r="L155" s="1">
        <f t="shared" si="40"/>
        <v>164</v>
      </c>
      <c r="P155" s="1" t="str">
        <f t="shared" si="41"/>
        <v/>
      </c>
      <c r="Q155" s="1" t="str">
        <f t="shared" si="42"/>
        <v>GRENADA</v>
      </c>
      <c r="R155" s="1">
        <f t="shared" si="43"/>
        <v>180</v>
      </c>
      <c r="V155" s="1" t="str">
        <f>IF([1]TIM!F155="","",[1]TIM!F155)</f>
        <v/>
      </c>
      <c r="W155" s="1" t="str">
        <f t="shared" si="44"/>
        <v/>
      </c>
      <c r="X155" s="1">
        <f t="shared" si="45"/>
        <v>0</v>
      </c>
      <c r="AI155" s="1">
        <f>IF([1]TIM!P155=[1]TIM!P155,[1]TIM!P155,"")</f>
        <v>0</v>
      </c>
      <c r="AJ155" s="1" t="str">
        <f t="shared" si="46"/>
        <v/>
      </c>
      <c r="AK155" s="1" t="str">
        <f t="shared" si="47"/>
        <v>0</v>
      </c>
      <c r="AL155" s="1" t="str">
        <f t="shared" si="48"/>
        <v>0</v>
      </c>
      <c r="AM155" s="1">
        <f t="shared" si="49"/>
        <v>543</v>
      </c>
      <c r="AN155" s="1" t="str">
        <f t="shared" si="50"/>
        <v>/0/543</v>
      </c>
      <c r="AP155" s="1">
        <f>IF([1]TIM!O155=[1]TIM!O155,[1]TIM!O155,"")</f>
        <v>0</v>
      </c>
      <c r="AQ155" s="1" t="str">
        <f t="shared" si="51"/>
        <v/>
      </c>
      <c r="AR155" s="1" t="str">
        <f t="shared" si="52"/>
        <v>0</v>
      </c>
      <c r="AS155" s="1" t="str">
        <f t="shared" si="53"/>
        <v>0</v>
      </c>
      <c r="AT155" s="1">
        <f t="shared" si="54"/>
        <v>543</v>
      </c>
      <c r="AU155" s="1" t="str">
        <f t="shared" si="55"/>
        <v>/0/543</v>
      </c>
    </row>
    <row r="156" spans="2:47" x14ac:dyDescent="0.3">
      <c r="B156" s="5">
        <v>162</v>
      </c>
      <c r="C156" s="6" t="s">
        <v>600</v>
      </c>
      <c r="D156" s="6" t="s">
        <v>601</v>
      </c>
      <c r="E156" s="2"/>
      <c r="F156" s="5">
        <v>178</v>
      </c>
      <c r="G156" s="7" t="s">
        <v>602</v>
      </c>
      <c r="H156" s="7" t="s">
        <v>603</v>
      </c>
      <c r="K156" s="1" t="str">
        <f t="shared" si="39"/>
        <v>TANZANIA</v>
      </c>
      <c r="L156" s="1">
        <f t="shared" si="40"/>
        <v>165</v>
      </c>
      <c r="P156" s="1" t="str">
        <f t="shared" si="41"/>
        <v/>
      </c>
      <c r="Q156" s="1" t="str">
        <f t="shared" si="42"/>
        <v>REPUBLIC OF GUATEMALA</v>
      </c>
      <c r="R156" s="1">
        <f t="shared" si="43"/>
        <v>181</v>
      </c>
      <c r="V156" s="1" t="str">
        <f>IF([1]TIM!F156="","",[1]TIM!F156)</f>
        <v/>
      </c>
      <c r="W156" s="1" t="str">
        <f t="shared" si="44"/>
        <v/>
      </c>
      <c r="X156" s="1">
        <f t="shared" si="45"/>
        <v>0</v>
      </c>
      <c r="AI156" s="1">
        <f>IF([1]TIM!P156=[1]TIM!P156,[1]TIM!P156,"")</f>
        <v>0</v>
      </c>
      <c r="AJ156" s="1" t="str">
        <f t="shared" si="46"/>
        <v/>
      </c>
      <c r="AK156" s="1" t="str">
        <f t="shared" si="47"/>
        <v>0</v>
      </c>
      <c r="AL156" s="1" t="str">
        <f t="shared" si="48"/>
        <v>0</v>
      </c>
      <c r="AM156" s="1">
        <f t="shared" si="49"/>
        <v>543</v>
      </c>
      <c r="AN156" s="1" t="str">
        <f t="shared" si="50"/>
        <v>/0/543</v>
      </c>
      <c r="AP156" s="1">
        <f>IF([1]TIM!O156=[1]TIM!O156,[1]TIM!O156,"")</f>
        <v>0</v>
      </c>
      <c r="AQ156" s="1" t="str">
        <f t="shared" si="51"/>
        <v/>
      </c>
      <c r="AR156" s="1" t="str">
        <f t="shared" si="52"/>
        <v>0</v>
      </c>
      <c r="AS156" s="1" t="str">
        <f t="shared" si="53"/>
        <v>0</v>
      </c>
      <c r="AT156" s="1">
        <f t="shared" si="54"/>
        <v>543</v>
      </c>
      <c r="AU156" s="1" t="str">
        <f t="shared" si="55"/>
        <v>/0/543</v>
      </c>
    </row>
    <row r="157" spans="2:47" x14ac:dyDescent="0.3">
      <c r="B157" s="5">
        <v>163</v>
      </c>
      <c r="C157" s="6" t="s">
        <v>556</v>
      </c>
      <c r="D157" s="6" t="s">
        <v>604</v>
      </c>
      <c r="E157" s="2"/>
      <c r="F157" s="5">
        <v>179</v>
      </c>
      <c r="G157" s="7" t="s">
        <v>605</v>
      </c>
      <c r="H157" s="7" t="s">
        <v>606</v>
      </c>
      <c r="K157" s="1" t="str">
        <f t="shared" si="39"/>
        <v>TOGO</v>
      </c>
      <c r="L157" s="1">
        <f t="shared" si="40"/>
        <v>166</v>
      </c>
      <c r="P157" s="1" t="str">
        <f t="shared" si="41"/>
        <v/>
      </c>
      <c r="Q157" s="1" t="str">
        <f t="shared" si="42"/>
        <v>REPUBLIC OF HAITI</v>
      </c>
      <c r="R157" s="1">
        <f t="shared" si="43"/>
        <v>182</v>
      </c>
      <c r="V157" s="1" t="str">
        <f>IF([1]TIM!F157="","",[1]TIM!F157)</f>
        <v/>
      </c>
      <c r="W157" s="1" t="str">
        <f t="shared" si="44"/>
        <v/>
      </c>
      <c r="X157" s="1">
        <f t="shared" si="45"/>
        <v>0</v>
      </c>
      <c r="AI157" s="1">
        <f>IF([1]TIM!P157=[1]TIM!P157,[1]TIM!P157,"")</f>
        <v>0</v>
      </c>
      <c r="AJ157" s="1" t="str">
        <f t="shared" si="46"/>
        <v/>
      </c>
      <c r="AK157" s="1" t="str">
        <f t="shared" si="47"/>
        <v>0</v>
      </c>
      <c r="AL157" s="1" t="str">
        <f t="shared" si="48"/>
        <v>0</v>
      </c>
      <c r="AM157" s="1">
        <f t="shared" si="49"/>
        <v>543</v>
      </c>
      <c r="AN157" s="1" t="str">
        <f t="shared" si="50"/>
        <v>/0/543</v>
      </c>
      <c r="AP157" s="1">
        <f>IF([1]TIM!O157=[1]TIM!O157,[1]TIM!O157,"")</f>
        <v>0</v>
      </c>
      <c r="AQ157" s="1" t="str">
        <f t="shared" si="51"/>
        <v/>
      </c>
      <c r="AR157" s="1" t="str">
        <f t="shared" si="52"/>
        <v>0</v>
      </c>
      <c r="AS157" s="1" t="str">
        <f t="shared" si="53"/>
        <v>0</v>
      </c>
      <c r="AT157" s="1">
        <f t="shared" si="54"/>
        <v>543</v>
      </c>
      <c r="AU157" s="1" t="str">
        <f t="shared" si="55"/>
        <v>/0/543</v>
      </c>
    </row>
    <row r="158" spans="2:47" x14ac:dyDescent="0.3">
      <c r="B158" s="5">
        <v>164</v>
      </c>
      <c r="C158" s="6" t="s">
        <v>607</v>
      </c>
      <c r="D158" s="6" t="s">
        <v>608</v>
      </c>
      <c r="E158" s="2"/>
      <c r="F158" s="5">
        <v>180</v>
      </c>
      <c r="G158" s="7" t="s">
        <v>609</v>
      </c>
      <c r="H158" s="7" t="s">
        <v>610</v>
      </c>
      <c r="K158" s="1" t="str">
        <f t="shared" si="39"/>
        <v>TUNISIAN</v>
      </c>
      <c r="L158" s="1">
        <f t="shared" si="40"/>
        <v>167</v>
      </c>
      <c r="P158" s="1" t="str">
        <f t="shared" si="41"/>
        <v/>
      </c>
      <c r="Q158" s="1" t="str">
        <f t="shared" si="42"/>
        <v>REPUBLIC OF HONDURAS</v>
      </c>
      <c r="R158" s="1">
        <f t="shared" si="43"/>
        <v>183</v>
      </c>
      <c r="V158" s="1" t="str">
        <f>IF([1]TIM!F158="","",[1]TIM!F158)</f>
        <v/>
      </c>
      <c r="W158" s="1" t="str">
        <f t="shared" si="44"/>
        <v/>
      </c>
      <c r="X158" s="1">
        <f t="shared" si="45"/>
        <v>0</v>
      </c>
      <c r="AI158" s="1">
        <f>IF([1]TIM!P158=[1]TIM!P158,[1]TIM!P158,"")</f>
        <v>0</v>
      </c>
      <c r="AJ158" s="1" t="str">
        <f t="shared" si="46"/>
        <v/>
      </c>
      <c r="AK158" s="1" t="str">
        <f t="shared" si="47"/>
        <v>0</v>
      </c>
      <c r="AL158" s="1" t="str">
        <f t="shared" si="48"/>
        <v>0</v>
      </c>
      <c r="AM158" s="1">
        <f t="shared" si="49"/>
        <v>543</v>
      </c>
      <c r="AN158" s="1" t="str">
        <f t="shared" si="50"/>
        <v>/0/543</v>
      </c>
      <c r="AP158" s="1">
        <f>IF([1]TIM!O158=[1]TIM!O158,[1]TIM!O158,"")</f>
        <v>0</v>
      </c>
      <c r="AQ158" s="1" t="str">
        <f t="shared" si="51"/>
        <v/>
      </c>
      <c r="AR158" s="1" t="str">
        <f t="shared" si="52"/>
        <v>0</v>
      </c>
      <c r="AS158" s="1" t="str">
        <f t="shared" si="53"/>
        <v>0</v>
      </c>
      <c r="AT158" s="1">
        <f t="shared" si="54"/>
        <v>543</v>
      </c>
      <c r="AU158" s="1" t="str">
        <f t="shared" si="55"/>
        <v>/0/543</v>
      </c>
    </row>
    <row r="159" spans="2:47" x14ac:dyDescent="0.3">
      <c r="B159" s="5">
        <v>165</v>
      </c>
      <c r="C159" s="6" t="s">
        <v>563</v>
      </c>
      <c r="D159" s="6" t="s">
        <v>611</v>
      </c>
      <c r="E159" s="2"/>
      <c r="F159" s="5">
        <v>181</v>
      </c>
      <c r="G159" s="7" t="s">
        <v>612</v>
      </c>
      <c r="H159" s="7" t="s">
        <v>613</v>
      </c>
      <c r="K159" s="1" t="str">
        <f t="shared" si="39"/>
        <v>UGANDA</v>
      </c>
      <c r="L159" s="1">
        <f t="shared" si="40"/>
        <v>168</v>
      </c>
      <c r="P159" s="1" t="str">
        <f t="shared" si="41"/>
        <v/>
      </c>
      <c r="Q159" s="1" t="str">
        <f t="shared" si="42"/>
        <v>JAMAICA</v>
      </c>
      <c r="R159" s="1">
        <f t="shared" si="43"/>
        <v>184</v>
      </c>
      <c r="V159" s="1" t="str">
        <f>IF([1]TIM!F159="","",[1]TIM!F159)</f>
        <v/>
      </c>
      <c r="W159" s="1" t="str">
        <f t="shared" si="44"/>
        <v/>
      </c>
      <c r="X159" s="1">
        <f t="shared" si="45"/>
        <v>0</v>
      </c>
      <c r="AI159" s="1">
        <f>IF([1]TIM!P159=[1]TIM!P159,[1]TIM!P159,"")</f>
        <v>0</v>
      </c>
      <c r="AJ159" s="1" t="str">
        <f t="shared" si="46"/>
        <v/>
      </c>
      <c r="AK159" s="1" t="str">
        <f t="shared" si="47"/>
        <v>0</v>
      </c>
      <c r="AL159" s="1" t="str">
        <f t="shared" si="48"/>
        <v>0</v>
      </c>
      <c r="AM159" s="1">
        <f t="shared" si="49"/>
        <v>543</v>
      </c>
      <c r="AN159" s="1" t="str">
        <f t="shared" si="50"/>
        <v>/0/543</v>
      </c>
      <c r="AP159" s="1">
        <f>IF([1]TIM!O159=[1]TIM!O159,[1]TIM!O159,"")</f>
        <v>0</v>
      </c>
      <c r="AQ159" s="1" t="str">
        <f t="shared" si="51"/>
        <v/>
      </c>
      <c r="AR159" s="1" t="str">
        <f t="shared" si="52"/>
        <v>0</v>
      </c>
      <c r="AS159" s="1" t="str">
        <f t="shared" si="53"/>
        <v>0</v>
      </c>
      <c r="AT159" s="1">
        <f t="shared" si="54"/>
        <v>543</v>
      </c>
      <c r="AU159" s="1" t="str">
        <f t="shared" si="55"/>
        <v>/0/543</v>
      </c>
    </row>
    <row r="160" spans="2:47" x14ac:dyDescent="0.3">
      <c r="B160" s="5">
        <v>166</v>
      </c>
      <c r="C160" s="6" t="s">
        <v>566</v>
      </c>
      <c r="D160" s="6" t="s">
        <v>614</v>
      </c>
      <c r="E160" s="2"/>
      <c r="F160" s="5">
        <v>182</v>
      </c>
      <c r="G160" s="7" t="s">
        <v>615</v>
      </c>
      <c r="H160" s="7" t="s">
        <v>616</v>
      </c>
      <c r="K160" s="1" t="str">
        <f t="shared" si="39"/>
        <v>ZAIRE</v>
      </c>
      <c r="L160" s="1">
        <f t="shared" si="40"/>
        <v>169</v>
      </c>
      <c r="P160" s="1" t="str">
        <f t="shared" si="41"/>
        <v/>
      </c>
      <c r="Q160" s="1" t="str">
        <f t="shared" si="42"/>
        <v>REPUBLIC OF NICARAGUA</v>
      </c>
      <c r="R160" s="1">
        <f t="shared" si="43"/>
        <v>185</v>
      </c>
      <c r="V160" s="1" t="str">
        <f>IF([1]TIM!F160="","",[1]TIM!F160)</f>
        <v/>
      </c>
      <c r="W160" s="1" t="str">
        <f t="shared" si="44"/>
        <v/>
      </c>
      <c r="X160" s="1">
        <f t="shared" si="45"/>
        <v>0</v>
      </c>
      <c r="AI160" s="1">
        <f>IF([1]TIM!P160=[1]TIM!P160,[1]TIM!P160,"")</f>
        <v>0</v>
      </c>
      <c r="AJ160" s="1" t="str">
        <f t="shared" si="46"/>
        <v/>
      </c>
      <c r="AK160" s="1" t="str">
        <f t="shared" si="47"/>
        <v>0</v>
      </c>
      <c r="AL160" s="1" t="str">
        <f t="shared" si="48"/>
        <v>0</v>
      </c>
      <c r="AM160" s="1">
        <f t="shared" si="49"/>
        <v>543</v>
      </c>
      <c r="AN160" s="1" t="str">
        <f t="shared" si="50"/>
        <v>/0/543</v>
      </c>
      <c r="AP160" s="1">
        <f>IF([1]TIM!O160=[1]TIM!O160,[1]TIM!O160,"")</f>
        <v>0</v>
      </c>
      <c r="AQ160" s="1" t="str">
        <f t="shared" si="51"/>
        <v/>
      </c>
      <c r="AR160" s="1" t="str">
        <f t="shared" si="52"/>
        <v>0</v>
      </c>
      <c r="AS160" s="1" t="str">
        <f t="shared" si="53"/>
        <v>0</v>
      </c>
      <c r="AT160" s="1">
        <f t="shared" si="54"/>
        <v>543</v>
      </c>
      <c r="AU160" s="1" t="str">
        <f t="shared" si="55"/>
        <v>/0/543</v>
      </c>
    </row>
    <row r="161" spans="2:47" x14ac:dyDescent="0.3">
      <c r="B161" s="5">
        <v>167</v>
      </c>
      <c r="C161" s="6" t="s">
        <v>568</v>
      </c>
      <c r="D161" s="6" t="s">
        <v>617</v>
      </c>
      <c r="E161" s="2"/>
      <c r="F161" s="5">
        <v>183</v>
      </c>
      <c r="G161" s="7" t="s">
        <v>618</v>
      </c>
      <c r="H161" s="7" t="s">
        <v>619</v>
      </c>
      <c r="K161" s="1" t="str">
        <f t="shared" si="39"/>
        <v>ZAMBIA</v>
      </c>
      <c r="L161" s="1">
        <f t="shared" si="40"/>
        <v>170</v>
      </c>
      <c r="P161" s="1" t="str">
        <f t="shared" si="41"/>
        <v/>
      </c>
      <c r="Q161" s="1" t="str">
        <f t="shared" si="42"/>
        <v>SAINT KITTS AND NEVIS</v>
      </c>
      <c r="R161" s="1">
        <f t="shared" si="43"/>
        <v>186</v>
      </c>
      <c r="V161" s="1" t="str">
        <f>IF([1]TIM!F161="","",[1]TIM!F161)</f>
        <v/>
      </c>
      <c r="W161" s="1" t="str">
        <f t="shared" si="44"/>
        <v/>
      </c>
      <c r="X161" s="1">
        <f t="shared" si="45"/>
        <v>0</v>
      </c>
      <c r="AI161" s="1">
        <f>IF([1]TIM!P161=[1]TIM!P161,[1]TIM!P161,"")</f>
        <v>0</v>
      </c>
      <c r="AJ161" s="1" t="str">
        <f t="shared" si="46"/>
        <v/>
      </c>
      <c r="AK161" s="1" t="str">
        <f t="shared" si="47"/>
        <v>0</v>
      </c>
      <c r="AL161" s="1" t="str">
        <f t="shared" si="48"/>
        <v>0</v>
      </c>
      <c r="AM161" s="1">
        <f t="shared" si="49"/>
        <v>543</v>
      </c>
      <c r="AN161" s="1" t="str">
        <f t="shared" si="50"/>
        <v>/0/543</v>
      </c>
      <c r="AP161" s="1">
        <f>IF([1]TIM!O161=[1]TIM!O161,[1]TIM!O161,"")</f>
        <v>0</v>
      </c>
      <c r="AQ161" s="1" t="str">
        <f t="shared" si="51"/>
        <v/>
      </c>
      <c r="AR161" s="1" t="str">
        <f t="shared" si="52"/>
        <v>0</v>
      </c>
      <c r="AS161" s="1" t="str">
        <f t="shared" si="53"/>
        <v>0</v>
      </c>
      <c r="AT161" s="1">
        <f t="shared" si="54"/>
        <v>543</v>
      </c>
      <c r="AU161" s="1" t="str">
        <f t="shared" si="55"/>
        <v>/0/543</v>
      </c>
    </row>
    <row r="162" spans="2:47" x14ac:dyDescent="0.3">
      <c r="B162" s="5">
        <v>168</v>
      </c>
      <c r="C162" s="6" t="s">
        <v>571</v>
      </c>
      <c r="D162" s="6" t="s">
        <v>620</v>
      </c>
      <c r="E162" s="2"/>
      <c r="F162" s="5">
        <v>184</v>
      </c>
      <c r="G162" s="7" t="s">
        <v>621</v>
      </c>
      <c r="H162" s="7" t="s">
        <v>622</v>
      </c>
      <c r="K162" s="1" t="str">
        <f t="shared" si="39"/>
        <v>ZIMBABWE</v>
      </c>
      <c r="L162" s="1">
        <f t="shared" si="40"/>
        <v>171</v>
      </c>
      <c r="P162" s="1" t="str">
        <f t="shared" si="41"/>
        <v/>
      </c>
      <c r="Q162" s="1" t="str">
        <f t="shared" si="42"/>
        <v>SAINT LUCIA</v>
      </c>
      <c r="R162" s="1">
        <f t="shared" si="43"/>
        <v>187</v>
      </c>
      <c r="V162" s="1" t="str">
        <f>IF([1]TIM!F162="","",[1]TIM!F162)</f>
        <v/>
      </c>
      <c r="W162" s="1" t="str">
        <f t="shared" si="44"/>
        <v/>
      </c>
      <c r="X162" s="1">
        <f t="shared" si="45"/>
        <v>0</v>
      </c>
      <c r="AI162" s="1">
        <f>IF([1]TIM!P162=[1]TIM!P162,[1]TIM!P162,"")</f>
        <v>0</v>
      </c>
      <c r="AJ162" s="1" t="str">
        <f t="shared" si="46"/>
        <v/>
      </c>
      <c r="AK162" s="1" t="str">
        <f t="shared" si="47"/>
        <v>0</v>
      </c>
      <c r="AL162" s="1" t="str">
        <f t="shared" si="48"/>
        <v>0</v>
      </c>
      <c r="AM162" s="1">
        <f t="shared" si="49"/>
        <v>543</v>
      </c>
      <c r="AN162" s="1" t="str">
        <f t="shared" si="50"/>
        <v>/0/543</v>
      </c>
      <c r="AP162" s="1">
        <f>IF([1]TIM!O162=[1]TIM!O162,[1]TIM!O162,"")</f>
        <v>0</v>
      </c>
      <c r="AQ162" s="1" t="str">
        <f t="shared" si="51"/>
        <v/>
      </c>
      <c r="AR162" s="1" t="str">
        <f t="shared" si="52"/>
        <v>0</v>
      </c>
      <c r="AS162" s="1" t="str">
        <f t="shared" si="53"/>
        <v>0</v>
      </c>
      <c r="AT162" s="1">
        <f t="shared" si="54"/>
        <v>543</v>
      </c>
      <c r="AU162" s="1" t="str">
        <f t="shared" si="55"/>
        <v>/0/543</v>
      </c>
    </row>
    <row r="163" spans="2:47" x14ac:dyDescent="0.3">
      <c r="B163" s="5">
        <v>169</v>
      </c>
      <c r="C163" s="6" t="s">
        <v>623</v>
      </c>
      <c r="D163" s="6" t="s">
        <v>624</v>
      </c>
      <c r="E163" s="2"/>
      <c r="F163" s="5">
        <v>185</v>
      </c>
      <c r="G163" s="7" t="s">
        <v>625</v>
      </c>
      <c r="H163" s="7" t="s">
        <v>626</v>
      </c>
      <c r="K163" s="1" t="str">
        <f t="shared" si="39"/>
        <v>ANTIGUA AND BARBUDA</v>
      </c>
      <c r="L163" s="1">
        <f t="shared" si="40"/>
        <v>172</v>
      </c>
      <c r="P163" s="1" t="str">
        <f t="shared" si="41"/>
        <v/>
      </c>
      <c r="Q163" s="1" t="str">
        <f t="shared" si="42"/>
        <v>SAINT VINCENT AND THE GRENADINES</v>
      </c>
      <c r="R163" s="1">
        <f t="shared" si="43"/>
        <v>188</v>
      </c>
      <c r="V163" s="1" t="str">
        <f>IF([1]TIM!F163="","",[1]TIM!F163)</f>
        <v/>
      </c>
      <c r="W163" s="1" t="str">
        <f t="shared" si="44"/>
        <v/>
      </c>
      <c r="X163" s="1">
        <f t="shared" si="45"/>
        <v>0</v>
      </c>
      <c r="AI163" s="1">
        <f>IF([1]TIM!P163=[1]TIM!P163,[1]TIM!P163,"")</f>
        <v>0</v>
      </c>
      <c r="AJ163" s="1" t="str">
        <f t="shared" si="46"/>
        <v/>
      </c>
      <c r="AK163" s="1" t="str">
        <f t="shared" si="47"/>
        <v>0</v>
      </c>
      <c r="AL163" s="1" t="str">
        <f t="shared" si="48"/>
        <v>0</v>
      </c>
      <c r="AM163" s="1">
        <f t="shared" si="49"/>
        <v>543</v>
      </c>
      <c r="AN163" s="1" t="str">
        <f t="shared" si="50"/>
        <v>/0/543</v>
      </c>
      <c r="AP163" s="1">
        <f>IF([1]TIM!O163=[1]TIM!O163,[1]TIM!O163,"")</f>
        <v>0</v>
      </c>
      <c r="AQ163" s="1" t="str">
        <f t="shared" si="51"/>
        <v/>
      </c>
      <c r="AR163" s="1" t="str">
        <f t="shared" si="52"/>
        <v>0</v>
      </c>
      <c r="AS163" s="1" t="str">
        <f t="shared" si="53"/>
        <v>0</v>
      </c>
      <c r="AT163" s="1">
        <f t="shared" si="54"/>
        <v>543</v>
      </c>
      <c r="AU163" s="1" t="str">
        <f t="shared" si="55"/>
        <v>/0/543</v>
      </c>
    </row>
    <row r="164" spans="2:47" x14ac:dyDescent="0.3">
      <c r="B164" s="5">
        <v>170</v>
      </c>
      <c r="C164" s="6" t="s">
        <v>576</v>
      </c>
      <c r="D164" s="6" t="s">
        <v>627</v>
      </c>
      <c r="E164" s="2"/>
      <c r="F164" s="5">
        <v>186</v>
      </c>
      <c r="G164" s="7" t="s">
        <v>628</v>
      </c>
      <c r="H164" s="7" t="s">
        <v>629</v>
      </c>
      <c r="K164" s="1" t="str">
        <f t="shared" si="39"/>
        <v>BAHAMAS</v>
      </c>
      <c r="L164" s="1">
        <f t="shared" si="40"/>
        <v>173</v>
      </c>
      <c r="P164" s="1" t="str">
        <f t="shared" si="41"/>
        <v/>
      </c>
      <c r="Q164" s="1" t="str">
        <f t="shared" si="42"/>
        <v>REPUBLIC OF TRINIDAD AND TOBAGO</v>
      </c>
      <c r="R164" s="1">
        <f t="shared" si="43"/>
        <v>189</v>
      </c>
      <c r="V164" s="1" t="str">
        <f>IF([1]TIM!F164="","",[1]TIM!F164)</f>
        <v/>
      </c>
      <c r="W164" s="1" t="str">
        <f t="shared" si="44"/>
        <v/>
      </c>
      <c r="X164" s="1">
        <f t="shared" si="45"/>
        <v>0</v>
      </c>
      <c r="AI164" s="1">
        <f>IF([1]TIM!P164=[1]TIM!P164,[1]TIM!P164,"")</f>
        <v>0</v>
      </c>
      <c r="AJ164" s="1" t="str">
        <f t="shared" si="46"/>
        <v/>
      </c>
      <c r="AK164" s="1" t="str">
        <f t="shared" si="47"/>
        <v>0</v>
      </c>
      <c r="AL164" s="1" t="str">
        <f t="shared" si="48"/>
        <v>0</v>
      </c>
      <c r="AM164" s="1">
        <f t="shared" si="49"/>
        <v>543</v>
      </c>
      <c r="AN164" s="1" t="str">
        <f t="shared" si="50"/>
        <v>/0/543</v>
      </c>
      <c r="AP164" s="1">
        <f>IF([1]TIM!O164=[1]TIM!O164,[1]TIM!O164,"")</f>
        <v>0</v>
      </c>
      <c r="AQ164" s="1" t="str">
        <f t="shared" si="51"/>
        <v/>
      </c>
      <c r="AR164" s="1" t="str">
        <f t="shared" si="52"/>
        <v>0</v>
      </c>
      <c r="AS164" s="1" t="str">
        <f t="shared" si="53"/>
        <v>0</v>
      </c>
      <c r="AT164" s="1">
        <f t="shared" si="54"/>
        <v>543</v>
      </c>
      <c r="AU164" s="1" t="str">
        <f t="shared" si="55"/>
        <v>/0/543</v>
      </c>
    </row>
    <row r="165" spans="2:47" x14ac:dyDescent="0.3">
      <c r="B165" s="5">
        <v>171</v>
      </c>
      <c r="C165" s="6" t="s">
        <v>580</v>
      </c>
      <c r="D165" s="6" t="s">
        <v>630</v>
      </c>
      <c r="E165" s="2"/>
      <c r="F165" s="5">
        <v>187</v>
      </c>
      <c r="G165" s="7" t="s">
        <v>631</v>
      </c>
      <c r="H165" s="7" t="s">
        <v>632</v>
      </c>
      <c r="K165" s="1" t="str">
        <f t="shared" si="39"/>
        <v>BARBADOS</v>
      </c>
      <c r="L165" s="1">
        <f t="shared" si="40"/>
        <v>174</v>
      </c>
      <c r="P165" s="1" t="str">
        <f t="shared" si="41"/>
        <v/>
      </c>
      <c r="Q165" s="1" t="str">
        <f t="shared" si="42"/>
        <v>BOLIVIA</v>
      </c>
      <c r="R165" s="1">
        <f t="shared" si="43"/>
        <v>190</v>
      </c>
      <c r="V165" s="1" t="str">
        <f>IF([1]TIM!F165="","",[1]TIM!F165)</f>
        <v/>
      </c>
      <c r="W165" s="1" t="str">
        <f t="shared" si="44"/>
        <v/>
      </c>
      <c r="X165" s="1">
        <f t="shared" si="45"/>
        <v>0</v>
      </c>
      <c r="AI165" s="1">
        <f>IF([1]TIM!P165=[1]TIM!P165,[1]TIM!P165,"")</f>
        <v>0</v>
      </c>
      <c r="AJ165" s="1" t="str">
        <f t="shared" si="46"/>
        <v/>
      </c>
      <c r="AK165" s="1" t="str">
        <f t="shared" si="47"/>
        <v>0</v>
      </c>
      <c r="AL165" s="1" t="str">
        <f t="shared" si="48"/>
        <v>0</v>
      </c>
      <c r="AM165" s="1">
        <f t="shared" si="49"/>
        <v>543</v>
      </c>
      <c r="AN165" s="1" t="str">
        <f t="shared" si="50"/>
        <v>/0/543</v>
      </c>
      <c r="AP165" s="1">
        <f>IF([1]TIM!O165=[1]TIM!O165,[1]TIM!O165,"")</f>
        <v>0</v>
      </c>
      <c r="AQ165" s="1" t="str">
        <f t="shared" si="51"/>
        <v/>
      </c>
      <c r="AR165" s="1" t="str">
        <f t="shared" si="52"/>
        <v>0</v>
      </c>
      <c r="AS165" s="1" t="str">
        <f t="shared" si="53"/>
        <v>0</v>
      </c>
      <c r="AT165" s="1">
        <f t="shared" si="54"/>
        <v>543</v>
      </c>
      <c r="AU165" s="1" t="str">
        <f t="shared" si="55"/>
        <v>/0/543</v>
      </c>
    </row>
    <row r="166" spans="2:47" x14ac:dyDescent="0.3">
      <c r="B166" s="5">
        <v>172</v>
      </c>
      <c r="C166" s="6" t="s">
        <v>583</v>
      </c>
      <c r="D166" s="6" t="s">
        <v>584</v>
      </c>
      <c r="E166" s="2"/>
      <c r="F166" s="5">
        <v>188</v>
      </c>
      <c r="G166" s="7" t="s">
        <v>633</v>
      </c>
      <c r="H166" s="7" t="s">
        <v>634</v>
      </c>
      <c r="K166" s="1" t="str">
        <f t="shared" si="39"/>
        <v>BELIZE</v>
      </c>
      <c r="L166" s="1">
        <f t="shared" si="40"/>
        <v>175</v>
      </c>
      <c r="P166" s="1" t="str">
        <f t="shared" si="41"/>
        <v/>
      </c>
      <c r="Q166" s="1" t="str">
        <f t="shared" si="42"/>
        <v>REPUBLIC OF ECUADOR</v>
      </c>
      <c r="R166" s="1">
        <f t="shared" si="43"/>
        <v>191</v>
      </c>
      <c r="V166" s="1" t="str">
        <f>IF([1]TIM!F166="","",[1]TIM!F166)</f>
        <v/>
      </c>
      <c r="W166" s="1" t="str">
        <f t="shared" si="44"/>
        <v/>
      </c>
      <c r="X166" s="1">
        <f t="shared" si="45"/>
        <v>0</v>
      </c>
      <c r="AI166" s="1">
        <f>IF([1]TIM!P166=[1]TIM!P166,[1]TIM!P166,"")</f>
        <v>0</v>
      </c>
      <c r="AJ166" s="1" t="str">
        <f t="shared" si="46"/>
        <v/>
      </c>
      <c r="AK166" s="1" t="str">
        <f t="shared" si="47"/>
        <v>0</v>
      </c>
      <c r="AL166" s="1" t="str">
        <f t="shared" si="48"/>
        <v>0</v>
      </c>
      <c r="AM166" s="1">
        <f t="shared" si="49"/>
        <v>543</v>
      </c>
      <c r="AN166" s="1" t="str">
        <f t="shared" si="50"/>
        <v>/0/543</v>
      </c>
      <c r="AP166" s="1">
        <f>IF([1]TIM!O166=[1]TIM!O166,[1]TIM!O166,"")</f>
        <v>0</v>
      </c>
      <c r="AQ166" s="1" t="str">
        <f t="shared" si="51"/>
        <v/>
      </c>
      <c r="AR166" s="1" t="str">
        <f t="shared" si="52"/>
        <v>0</v>
      </c>
      <c r="AS166" s="1" t="str">
        <f t="shared" si="53"/>
        <v>0</v>
      </c>
      <c r="AT166" s="1">
        <f t="shared" si="54"/>
        <v>543</v>
      </c>
      <c r="AU166" s="1" t="str">
        <f t="shared" si="55"/>
        <v>/0/543</v>
      </c>
    </row>
    <row r="167" spans="2:47" x14ac:dyDescent="0.3">
      <c r="B167" s="5">
        <v>173</v>
      </c>
      <c r="C167" s="6" t="s">
        <v>586</v>
      </c>
      <c r="D167" s="6" t="s">
        <v>635</v>
      </c>
      <c r="E167" s="2"/>
      <c r="F167" s="5">
        <v>189</v>
      </c>
      <c r="G167" s="7" t="s">
        <v>636</v>
      </c>
      <c r="H167" s="7" t="s">
        <v>637</v>
      </c>
      <c r="K167" s="1" t="str">
        <f t="shared" si="39"/>
        <v>COSTA RICA</v>
      </c>
      <c r="L167" s="1">
        <f t="shared" si="40"/>
        <v>176</v>
      </c>
      <c r="P167" s="1" t="str">
        <f t="shared" si="41"/>
        <v/>
      </c>
      <c r="Q167" s="1" t="str">
        <f t="shared" si="42"/>
        <v>COOPERATIVE REPUBLIC OF GUYANA</v>
      </c>
      <c r="R167" s="1">
        <f t="shared" si="43"/>
        <v>192</v>
      </c>
      <c r="V167" s="1" t="str">
        <f>IF([1]TIM!F167="","",[1]TIM!F167)</f>
        <v/>
      </c>
      <c r="W167" s="1" t="str">
        <f t="shared" si="44"/>
        <v/>
      </c>
      <c r="X167" s="1">
        <f t="shared" si="45"/>
        <v>0</v>
      </c>
      <c r="AI167" s="1">
        <f>IF([1]TIM!P167=[1]TIM!P167,[1]TIM!P167,"")</f>
        <v>0</v>
      </c>
      <c r="AJ167" s="1" t="str">
        <f t="shared" si="46"/>
        <v/>
      </c>
      <c r="AK167" s="1" t="str">
        <f t="shared" si="47"/>
        <v>0</v>
      </c>
      <c r="AL167" s="1" t="str">
        <f t="shared" si="48"/>
        <v>0</v>
      </c>
      <c r="AM167" s="1">
        <f t="shared" si="49"/>
        <v>543</v>
      </c>
      <c r="AN167" s="1" t="str">
        <f t="shared" si="50"/>
        <v>/0/543</v>
      </c>
      <c r="AP167" s="1">
        <f>IF([1]TIM!O167=[1]TIM!O167,[1]TIM!O167,"")</f>
        <v>0</v>
      </c>
      <c r="AQ167" s="1" t="str">
        <f t="shared" si="51"/>
        <v/>
      </c>
      <c r="AR167" s="1" t="str">
        <f t="shared" si="52"/>
        <v>0</v>
      </c>
      <c r="AS167" s="1" t="str">
        <f t="shared" si="53"/>
        <v>0</v>
      </c>
      <c r="AT167" s="1">
        <f t="shared" si="54"/>
        <v>543</v>
      </c>
      <c r="AU167" s="1" t="str">
        <f t="shared" si="55"/>
        <v>/0/543</v>
      </c>
    </row>
    <row r="168" spans="2:47" x14ac:dyDescent="0.3">
      <c r="B168" s="5">
        <v>174</v>
      </c>
      <c r="C168" s="6" t="s">
        <v>589</v>
      </c>
      <c r="D168" s="6" t="s">
        <v>590</v>
      </c>
      <c r="E168" s="2"/>
      <c r="F168" s="5">
        <v>190</v>
      </c>
      <c r="G168" s="7" t="s">
        <v>638</v>
      </c>
      <c r="H168" s="7" t="s">
        <v>639</v>
      </c>
      <c r="K168" s="1" t="str">
        <f t="shared" si="39"/>
        <v>DOMINICA</v>
      </c>
      <c r="L168" s="1">
        <f t="shared" si="40"/>
        <v>177</v>
      </c>
      <c r="P168" s="1" t="str">
        <f t="shared" si="41"/>
        <v/>
      </c>
      <c r="Q168" s="1" t="str">
        <f t="shared" si="42"/>
        <v>REPUBLIC OF PARAGUAY</v>
      </c>
      <c r="R168" s="1">
        <f t="shared" si="43"/>
        <v>193</v>
      </c>
      <c r="V168" s="1" t="str">
        <f>IF([1]TIM!F168="","",[1]TIM!F168)</f>
        <v/>
      </c>
      <c r="W168" s="1" t="str">
        <f t="shared" si="44"/>
        <v/>
      </c>
      <c r="X168" s="1">
        <f t="shared" si="45"/>
        <v>0</v>
      </c>
      <c r="AI168" s="1">
        <f>IF([1]TIM!P168=[1]TIM!P168,[1]TIM!P168,"")</f>
        <v>0</v>
      </c>
      <c r="AJ168" s="1" t="str">
        <f t="shared" si="46"/>
        <v/>
      </c>
      <c r="AK168" s="1" t="str">
        <f t="shared" si="47"/>
        <v>0</v>
      </c>
      <c r="AL168" s="1" t="str">
        <f t="shared" si="48"/>
        <v>0</v>
      </c>
      <c r="AM168" s="1">
        <f t="shared" si="49"/>
        <v>543</v>
      </c>
      <c r="AN168" s="1" t="str">
        <f t="shared" si="50"/>
        <v>/0/543</v>
      </c>
      <c r="AP168" s="1">
        <f>IF([1]TIM!O168=[1]TIM!O168,[1]TIM!O168,"")</f>
        <v>0</v>
      </c>
      <c r="AQ168" s="1" t="str">
        <f t="shared" si="51"/>
        <v/>
      </c>
      <c r="AR168" s="1" t="str">
        <f t="shared" si="52"/>
        <v>0</v>
      </c>
      <c r="AS168" s="1" t="str">
        <f t="shared" si="53"/>
        <v>0</v>
      </c>
      <c r="AT168" s="1">
        <f t="shared" si="54"/>
        <v>543</v>
      </c>
      <c r="AU168" s="1" t="str">
        <f t="shared" si="55"/>
        <v>/0/543</v>
      </c>
    </row>
    <row r="169" spans="2:47" x14ac:dyDescent="0.3">
      <c r="B169" s="5">
        <v>175</v>
      </c>
      <c r="C169" s="6" t="s">
        <v>640</v>
      </c>
      <c r="D169" s="6" t="s">
        <v>593</v>
      </c>
      <c r="E169" s="2"/>
      <c r="F169" s="5">
        <v>191</v>
      </c>
      <c r="G169" s="7" t="s">
        <v>641</v>
      </c>
      <c r="H169" s="7" t="s">
        <v>642</v>
      </c>
      <c r="K169" s="1" t="str">
        <f t="shared" si="39"/>
        <v>DOMINICAN</v>
      </c>
      <c r="L169" s="1">
        <f t="shared" si="40"/>
        <v>178</v>
      </c>
      <c r="P169" s="1" t="str">
        <f t="shared" si="41"/>
        <v/>
      </c>
      <c r="Q169" s="1" t="str">
        <f t="shared" si="42"/>
        <v>REPUBLIC OF SURINAME</v>
      </c>
      <c r="R169" s="1">
        <f t="shared" si="43"/>
        <v>194</v>
      </c>
      <c r="V169" s="1" t="str">
        <f>IF([1]TIM!F169="","",[1]TIM!F169)</f>
        <v/>
      </c>
      <c r="W169" s="1" t="str">
        <f t="shared" si="44"/>
        <v/>
      </c>
      <c r="X169" s="1">
        <f t="shared" si="45"/>
        <v>0</v>
      </c>
      <c r="AI169" s="1">
        <f>IF([1]TIM!P169=[1]TIM!P169,[1]TIM!P169,"")</f>
        <v>0</v>
      </c>
      <c r="AJ169" s="1" t="str">
        <f t="shared" si="46"/>
        <v/>
      </c>
      <c r="AK169" s="1" t="str">
        <f t="shared" si="47"/>
        <v>0</v>
      </c>
      <c r="AL169" s="1" t="str">
        <f t="shared" si="48"/>
        <v>0</v>
      </c>
      <c r="AM169" s="1">
        <f t="shared" si="49"/>
        <v>543</v>
      </c>
      <c r="AN169" s="1" t="str">
        <f t="shared" si="50"/>
        <v>/0/543</v>
      </c>
      <c r="AP169" s="1">
        <f>IF([1]TIM!O169=[1]TIM!O169,[1]TIM!O169,"")</f>
        <v>0</v>
      </c>
      <c r="AQ169" s="1" t="str">
        <f t="shared" si="51"/>
        <v/>
      </c>
      <c r="AR169" s="1" t="str">
        <f t="shared" si="52"/>
        <v>0</v>
      </c>
      <c r="AS169" s="1" t="str">
        <f t="shared" si="53"/>
        <v>0</v>
      </c>
      <c r="AT169" s="1">
        <f t="shared" si="54"/>
        <v>543</v>
      </c>
      <c r="AU169" s="1" t="str">
        <f t="shared" si="55"/>
        <v>/0/543</v>
      </c>
    </row>
    <row r="170" spans="2:47" x14ac:dyDescent="0.3">
      <c r="B170" s="5">
        <v>176</v>
      </c>
      <c r="C170" s="6" t="s">
        <v>595</v>
      </c>
      <c r="D170" s="6" t="s">
        <v>643</v>
      </c>
      <c r="E170" s="2"/>
      <c r="F170" s="5">
        <v>192</v>
      </c>
      <c r="G170" s="7" t="s">
        <v>644</v>
      </c>
      <c r="H170" s="7" t="s">
        <v>645</v>
      </c>
      <c r="K170" s="1" t="str">
        <f t="shared" si="39"/>
        <v>EL,SALVADOR</v>
      </c>
      <c r="L170" s="1">
        <f t="shared" si="40"/>
        <v>179</v>
      </c>
      <c r="P170" s="1" t="str">
        <f t="shared" si="41"/>
        <v/>
      </c>
      <c r="Q170" s="1" t="str">
        <f t="shared" si="42"/>
        <v>ARAB</v>
      </c>
      <c r="R170" s="1">
        <f t="shared" si="43"/>
        <v>195</v>
      </c>
      <c r="V170" s="1" t="str">
        <f>IF([1]TIM!F170="","",[1]TIM!F170)</f>
        <v/>
      </c>
      <c r="W170" s="1" t="str">
        <f t="shared" si="44"/>
        <v/>
      </c>
      <c r="X170" s="1">
        <f t="shared" si="45"/>
        <v>0</v>
      </c>
      <c r="AI170" s="1">
        <f>IF([1]TIM!P170=[1]TIM!P170,[1]TIM!P170,"")</f>
        <v>0</v>
      </c>
      <c r="AJ170" s="1" t="str">
        <f t="shared" si="46"/>
        <v/>
      </c>
      <c r="AK170" s="1" t="str">
        <f t="shared" si="47"/>
        <v>0</v>
      </c>
      <c r="AL170" s="1" t="str">
        <f t="shared" si="48"/>
        <v>0</v>
      </c>
      <c r="AM170" s="1">
        <f t="shared" si="49"/>
        <v>543</v>
      </c>
      <c r="AN170" s="1" t="str">
        <f t="shared" si="50"/>
        <v>/0/543</v>
      </c>
      <c r="AP170" s="1">
        <f>IF([1]TIM!O170=[1]TIM!O170,[1]TIM!O170,"")</f>
        <v>0</v>
      </c>
      <c r="AQ170" s="1" t="str">
        <f t="shared" si="51"/>
        <v/>
      </c>
      <c r="AR170" s="1" t="str">
        <f t="shared" si="52"/>
        <v>0</v>
      </c>
      <c r="AS170" s="1" t="str">
        <f t="shared" si="53"/>
        <v>0</v>
      </c>
      <c r="AT170" s="1">
        <f t="shared" si="54"/>
        <v>543</v>
      </c>
      <c r="AU170" s="1" t="str">
        <f t="shared" si="55"/>
        <v>/0/543</v>
      </c>
    </row>
    <row r="171" spans="2:47" x14ac:dyDescent="0.3">
      <c r="B171" s="5">
        <v>177</v>
      </c>
      <c r="C171" s="6" t="s">
        <v>598</v>
      </c>
      <c r="D171" s="6" t="s">
        <v>646</v>
      </c>
      <c r="E171" s="2"/>
      <c r="F171" s="5">
        <v>193</v>
      </c>
      <c r="G171" s="7" t="s">
        <v>647</v>
      </c>
      <c r="H171" s="7" t="s">
        <v>648</v>
      </c>
      <c r="K171" s="1" t="str">
        <f t="shared" si="39"/>
        <v>GRENADA</v>
      </c>
      <c r="L171" s="1">
        <f t="shared" si="40"/>
        <v>180</v>
      </c>
      <c r="P171" s="1" t="str">
        <f t="shared" si="41"/>
        <v/>
      </c>
      <c r="Q171" s="1" t="str">
        <f t="shared" si="42"/>
        <v>UKRAINE</v>
      </c>
      <c r="R171" s="1">
        <f t="shared" si="43"/>
        <v>216</v>
      </c>
      <c r="V171" s="1" t="str">
        <f>IF([1]TIM!F171="","",[1]TIM!F171)</f>
        <v/>
      </c>
      <c r="W171" s="1" t="str">
        <f t="shared" si="44"/>
        <v/>
      </c>
      <c r="X171" s="1">
        <f t="shared" si="45"/>
        <v>0</v>
      </c>
      <c r="AI171" s="1">
        <f>IF([1]TIM!P171=[1]TIM!P171,[1]TIM!P171,"")</f>
        <v>0</v>
      </c>
      <c r="AJ171" s="1" t="str">
        <f t="shared" si="46"/>
        <v/>
      </c>
      <c r="AK171" s="1" t="str">
        <f t="shared" si="47"/>
        <v>0</v>
      </c>
      <c r="AL171" s="1" t="str">
        <f t="shared" si="48"/>
        <v>0</v>
      </c>
      <c r="AM171" s="1">
        <f t="shared" si="49"/>
        <v>543</v>
      </c>
      <c r="AN171" s="1" t="str">
        <f t="shared" si="50"/>
        <v>/0/543</v>
      </c>
      <c r="AP171" s="1">
        <f>IF([1]TIM!O171=[1]TIM!O171,[1]TIM!O171,"")</f>
        <v>0</v>
      </c>
      <c r="AQ171" s="1" t="str">
        <f t="shared" si="51"/>
        <v/>
      </c>
      <c r="AR171" s="1" t="str">
        <f t="shared" si="52"/>
        <v>0</v>
      </c>
      <c r="AS171" s="1" t="str">
        <f t="shared" si="53"/>
        <v>0</v>
      </c>
      <c r="AT171" s="1">
        <f t="shared" si="54"/>
        <v>543</v>
      </c>
      <c r="AU171" s="1" t="str">
        <f t="shared" si="55"/>
        <v>/0/543</v>
      </c>
    </row>
    <row r="172" spans="2:47" x14ac:dyDescent="0.3">
      <c r="B172" s="5">
        <v>178</v>
      </c>
      <c r="C172" s="6" t="s">
        <v>649</v>
      </c>
      <c r="D172" s="6" t="s">
        <v>650</v>
      </c>
      <c r="E172" s="2"/>
      <c r="F172" s="5">
        <v>194</v>
      </c>
      <c r="G172" s="7" t="s">
        <v>651</v>
      </c>
      <c r="H172" s="7" t="s">
        <v>652</v>
      </c>
      <c r="K172" s="1" t="str">
        <f t="shared" si="39"/>
        <v>GUATEMALA</v>
      </c>
      <c r="L172" s="1">
        <f t="shared" si="40"/>
        <v>181</v>
      </c>
      <c r="P172" s="1" t="str">
        <f t="shared" si="41"/>
        <v/>
      </c>
      <c r="Q172" s="1" t="str">
        <f t="shared" si="42"/>
        <v>CHINA (TAIWAN)</v>
      </c>
      <c r="R172" s="1">
        <f t="shared" si="43"/>
        <v>220</v>
      </c>
      <c r="V172" s="1" t="str">
        <f>IF([1]TIM!F172="","",[1]TIM!F172)</f>
        <v/>
      </c>
      <c r="W172" s="1" t="str">
        <f t="shared" si="44"/>
        <v/>
      </c>
      <c r="X172" s="1">
        <f t="shared" si="45"/>
        <v>0</v>
      </c>
      <c r="AI172" s="1">
        <f>IF([1]TIM!P172=[1]TIM!P172,[1]TIM!P172,"")</f>
        <v>0</v>
      </c>
      <c r="AJ172" s="1" t="str">
        <f t="shared" si="46"/>
        <v/>
      </c>
      <c r="AK172" s="1" t="str">
        <f t="shared" si="47"/>
        <v>0</v>
      </c>
      <c r="AL172" s="1" t="str">
        <f t="shared" si="48"/>
        <v>0</v>
      </c>
      <c r="AM172" s="1">
        <f t="shared" si="49"/>
        <v>543</v>
      </c>
      <c r="AN172" s="1" t="str">
        <f t="shared" si="50"/>
        <v>/0/543</v>
      </c>
      <c r="AP172" s="1">
        <f>IF([1]TIM!O172=[1]TIM!O172,[1]TIM!O172,"")</f>
        <v>0</v>
      </c>
      <c r="AQ172" s="1" t="str">
        <f t="shared" si="51"/>
        <v/>
      </c>
      <c r="AR172" s="1" t="str">
        <f t="shared" si="52"/>
        <v>0</v>
      </c>
      <c r="AS172" s="1" t="str">
        <f t="shared" si="53"/>
        <v>0</v>
      </c>
      <c r="AT172" s="1">
        <f t="shared" si="54"/>
        <v>543</v>
      </c>
      <c r="AU172" s="1" t="str">
        <f t="shared" si="55"/>
        <v>/0/543</v>
      </c>
    </row>
    <row r="173" spans="2:47" x14ac:dyDescent="0.3">
      <c r="B173" s="5">
        <v>179</v>
      </c>
      <c r="C173" s="6" t="s">
        <v>605</v>
      </c>
      <c r="D173" s="6" t="s">
        <v>653</v>
      </c>
      <c r="E173" s="2"/>
      <c r="F173" s="5">
        <v>195</v>
      </c>
      <c r="G173" s="7" t="s">
        <v>654</v>
      </c>
      <c r="H173" s="7" t="s">
        <v>655</v>
      </c>
      <c r="K173" s="1" t="str">
        <f t="shared" si="39"/>
        <v>HAITI</v>
      </c>
      <c r="L173" s="1">
        <f t="shared" si="40"/>
        <v>182</v>
      </c>
      <c r="P173" s="1" t="str">
        <f t="shared" si="41"/>
        <v/>
      </c>
      <c r="Q173" s="1" t="str">
        <f t="shared" si="42"/>
        <v>REPUBLIC OF CROATIA</v>
      </c>
      <c r="R173" s="1">
        <f t="shared" si="43"/>
        <v>221</v>
      </c>
      <c r="V173" s="1" t="str">
        <f>IF([1]TIM!F173="","",[1]TIM!F173)</f>
        <v/>
      </c>
      <c r="W173" s="1" t="str">
        <f t="shared" si="44"/>
        <v/>
      </c>
      <c r="X173" s="1">
        <f t="shared" si="45"/>
        <v>0</v>
      </c>
      <c r="AI173" s="1">
        <f>IF([1]TIM!P173=[1]TIM!P173,[1]TIM!P173,"")</f>
        <v>0</v>
      </c>
      <c r="AJ173" s="1" t="str">
        <f t="shared" si="46"/>
        <v/>
      </c>
      <c r="AK173" s="1" t="str">
        <f t="shared" si="47"/>
        <v>0</v>
      </c>
      <c r="AL173" s="1" t="str">
        <f t="shared" si="48"/>
        <v>0</v>
      </c>
      <c r="AM173" s="1">
        <f t="shared" si="49"/>
        <v>543</v>
      </c>
      <c r="AN173" s="1" t="str">
        <f t="shared" si="50"/>
        <v>/0/543</v>
      </c>
      <c r="AP173" s="1">
        <f>IF([1]TIM!O173=[1]TIM!O173,[1]TIM!O173,"")</f>
        <v>0</v>
      </c>
      <c r="AQ173" s="1" t="str">
        <f t="shared" si="51"/>
        <v/>
      </c>
      <c r="AR173" s="1" t="str">
        <f t="shared" si="52"/>
        <v>0</v>
      </c>
      <c r="AS173" s="1" t="str">
        <f t="shared" si="53"/>
        <v>0</v>
      </c>
      <c r="AT173" s="1">
        <f t="shared" si="54"/>
        <v>543</v>
      </c>
      <c r="AU173" s="1" t="str">
        <f t="shared" si="55"/>
        <v>/0/543</v>
      </c>
    </row>
    <row r="174" spans="2:47" x14ac:dyDescent="0.3">
      <c r="B174" s="5">
        <v>180</v>
      </c>
      <c r="C174" s="6" t="s">
        <v>609</v>
      </c>
      <c r="D174" s="6" t="s">
        <v>610</v>
      </c>
      <c r="E174" s="2"/>
      <c r="F174" s="5">
        <v>216</v>
      </c>
      <c r="G174" s="7" t="s">
        <v>656</v>
      </c>
      <c r="H174" s="7" t="s">
        <v>657</v>
      </c>
      <c r="K174" s="1" t="str">
        <f t="shared" si="39"/>
        <v>HONDURAS</v>
      </c>
      <c r="L174" s="1">
        <f t="shared" si="40"/>
        <v>183</v>
      </c>
      <c r="P174" s="1" t="str">
        <f t="shared" si="41"/>
        <v/>
      </c>
      <c r="Q174" s="1" t="str">
        <f t="shared" si="42"/>
        <v>REPUBLIC OF KAZAKHSTAN</v>
      </c>
      <c r="R174" s="1">
        <f t="shared" si="43"/>
        <v>223</v>
      </c>
      <c r="V174" s="1" t="str">
        <f>IF([1]TIM!F174="","",[1]TIM!F174)</f>
        <v/>
      </c>
      <c r="W174" s="1" t="str">
        <f t="shared" si="44"/>
        <v/>
      </c>
      <c r="X174" s="1">
        <f t="shared" si="45"/>
        <v>0</v>
      </c>
      <c r="AI174" s="1">
        <f>IF([1]TIM!P174=[1]TIM!P174,[1]TIM!P174,"")</f>
        <v>0</v>
      </c>
      <c r="AJ174" s="1" t="str">
        <f t="shared" si="46"/>
        <v/>
      </c>
      <c r="AK174" s="1" t="str">
        <f t="shared" si="47"/>
        <v>0</v>
      </c>
      <c r="AL174" s="1" t="str">
        <f t="shared" si="48"/>
        <v>0</v>
      </c>
      <c r="AM174" s="1">
        <f t="shared" si="49"/>
        <v>543</v>
      </c>
      <c r="AN174" s="1" t="str">
        <f t="shared" si="50"/>
        <v>/0/543</v>
      </c>
      <c r="AP174" s="1">
        <f>IF([1]TIM!O174=[1]TIM!O174,[1]TIM!O174,"")</f>
        <v>0</v>
      </c>
      <c r="AQ174" s="1" t="str">
        <f t="shared" si="51"/>
        <v/>
      </c>
      <c r="AR174" s="1" t="str">
        <f t="shared" si="52"/>
        <v>0</v>
      </c>
      <c r="AS174" s="1" t="str">
        <f t="shared" si="53"/>
        <v>0</v>
      </c>
      <c r="AT174" s="1">
        <f t="shared" si="54"/>
        <v>543</v>
      </c>
      <c r="AU174" s="1" t="str">
        <f t="shared" si="55"/>
        <v>/0/543</v>
      </c>
    </row>
    <row r="175" spans="2:47" x14ac:dyDescent="0.3">
      <c r="B175" s="5">
        <v>181</v>
      </c>
      <c r="C175" s="6" t="s">
        <v>612</v>
      </c>
      <c r="D175" s="6" t="s">
        <v>658</v>
      </c>
      <c r="E175" s="2"/>
      <c r="F175" s="5">
        <v>220</v>
      </c>
      <c r="G175" s="7" t="s">
        <v>659</v>
      </c>
      <c r="H175" s="7" t="s">
        <v>660</v>
      </c>
      <c r="K175" s="1" t="str">
        <f t="shared" si="39"/>
        <v>JAMAICA</v>
      </c>
      <c r="L175" s="1">
        <f t="shared" si="40"/>
        <v>184</v>
      </c>
      <c r="P175" s="1" t="str">
        <f t="shared" si="41"/>
        <v/>
      </c>
      <c r="Q175" s="1" t="str">
        <f t="shared" si="42"/>
        <v>REPUBLIC OF ARMENIA</v>
      </c>
      <c r="R175" s="1">
        <f t="shared" si="43"/>
        <v>224</v>
      </c>
      <c r="V175" s="1" t="str">
        <f>IF([1]TIM!F175="","",[1]TIM!F175)</f>
        <v/>
      </c>
      <c r="W175" s="1" t="str">
        <f t="shared" si="44"/>
        <v/>
      </c>
      <c r="X175" s="1">
        <f t="shared" si="45"/>
        <v>0</v>
      </c>
      <c r="AI175" s="1">
        <f>IF([1]TIM!P175=[1]TIM!P175,[1]TIM!P175,"")</f>
        <v>0</v>
      </c>
      <c r="AJ175" s="1" t="str">
        <f t="shared" si="46"/>
        <v/>
      </c>
      <c r="AK175" s="1" t="str">
        <f t="shared" si="47"/>
        <v>0</v>
      </c>
      <c r="AL175" s="1" t="str">
        <f t="shared" si="48"/>
        <v>0</v>
      </c>
      <c r="AM175" s="1">
        <f t="shared" si="49"/>
        <v>543</v>
      </c>
      <c r="AN175" s="1" t="str">
        <f t="shared" si="50"/>
        <v>/0/543</v>
      </c>
      <c r="AP175" s="1">
        <f>IF([1]TIM!O175=[1]TIM!O175,[1]TIM!O175,"")</f>
        <v>0</v>
      </c>
      <c r="AQ175" s="1" t="str">
        <f t="shared" si="51"/>
        <v/>
      </c>
      <c r="AR175" s="1" t="str">
        <f t="shared" si="52"/>
        <v>0</v>
      </c>
      <c r="AS175" s="1" t="str">
        <f t="shared" si="53"/>
        <v>0</v>
      </c>
      <c r="AT175" s="1">
        <f t="shared" si="54"/>
        <v>543</v>
      </c>
      <c r="AU175" s="1" t="str">
        <f t="shared" si="55"/>
        <v>/0/543</v>
      </c>
    </row>
    <row r="176" spans="2:47" x14ac:dyDescent="0.3">
      <c r="B176" s="5">
        <v>182</v>
      </c>
      <c r="C176" s="6" t="s">
        <v>615</v>
      </c>
      <c r="D176" s="6" t="s">
        <v>661</v>
      </c>
      <c r="E176" s="2"/>
      <c r="F176" s="5">
        <v>221</v>
      </c>
      <c r="G176" s="7" t="s">
        <v>662</v>
      </c>
      <c r="H176" s="7" t="s">
        <v>663</v>
      </c>
      <c r="K176" s="1" t="str">
        <f t="shared" si="39"/>
        <v>NICARAGUA</v>
      </c>
      <c r="L176" s="1">
        <f t="shared" si="40"/>
        <v>185</v>
      </c>
      <c r="P176" s="1" t="str">
        <f t="shared" si="41"/>
        <v/>
      </c>
      <c r="Q176" s="1" t="str">
        <f t="shared" si="42"/>
        <v>REPUBLIC OF AZERBAIJAN</v>
      </c>
      <c r="R176" s="1">
        <f t="shared" si="43"/>
        <v>225</v>
      </c>
      <c r="V176" s="1" t="str">
        <f>IF([1]TIM!F176="","",[1]TIM!F176)</f>
        <v/>
      </c>
      <c r="W176" s="1" t="str">
        <f t="shared" si="44"/>
        <v/>
      </c>
      <c r="X176" s="1">
        <f t="shared" si="45"/>
        <v>0</v>
      </c>
      <c r="AI176" s="1">
        <f>IF([1]TIM!P176=[1]TIM!P176,[1]TIM!P176,"")</f>
        <v>0</v>
      </c>
      <c r="AJ176" s="1" t="str">
        <f t="shared" si="46"/>
        <v/>
      </c>
      <c r="AK176" s="1" t="str">
        <f t="shared" si="47"/>
        <v>0</v>
      </c>
      <c r="AL176" s="1" t="str">
        <f t="shared" si="48"/>
        <v>0</v>
      </c>
      <c r="AM176" s="1">
        <f t="shared" si="49"/>
        <v>543</v>
      </c>
      <c r="AN176" s="1" t="str">
        <f t="shared" si="50"/>
        <v>/0/543</v>
      </c>
      <c r="AP176" s="1">
        <f>IF([1]TIM!O176=[1]TIM!O176,[1]TIM!O176,"")</f>
        <v>0</v>
      </c>
      <c r="AQ176" s="1" t="str">
        <f t="shared" si="51"/>
        <v/>
      </c>
      <c r="AR176" s="1" t="str">
        <f t="shared" si="52"/>
        <v>0</v>
      </c>
      <c r="AS176" s="1" t="str">
        <f t="shared" si="53"/>
        <v>0</v>
      </c>
      <c r="AT176" s="1">
        <f t="shared" si="54"/>
        <v>543</v>
      </c>
      <c r="AU176" s="1" t="str">
        <f t="shared" si="55"/>
        <v>/0/543</v>
      </c>
    </row>
    <row r="177" spans="2:47" x14ac:dyDescent="0.3">
      <c r="B177" s="5">
        <v>183</v>
      </c>
      <c r="C177" s="6" t="s">
        <v>618</v>
      </c>
      <c r="D177" s="6" t="s">
        <v>664</v>
      </c>
      <c r="E177" s="2"/>
      <c r="F177" s="5">
        <v>223</v>
      </c>
      <c r="G177" s="7" t="s">
        <v>665</v>
      </c>
      <c r="H177" s="7" t="s">
        <v>666</v>
      </c>
      <c r="K177" s="1" t="str">
        <f t="shared" si="39"/>
        <v>SAINT KITTS AND NEVIS</v>
      </c>
      <c r="L177" s="1">
        <f t="shared" si="40"/>
        <v>186</v>
      </c>
      <c r="P177" s="1" t="str">
        <f t="shared" si="41"/>
        <v/>
      </c>
      <c r="Q177" s="1" t="str">
        <f t="shared" si="42"/>
        <v>REPUBLIC OF GEORGIA</v>
      </c>
      <c r="R177" s="1">
        <f t="shared" si="43"/>
        <v>226</v>
      </c>
      <c r="V177" s="1" t="str">
        <f>IF([1]TIM!F177="","",[1]TIM!F177)</f>
        <v/>
      </c>
      <c r="W177" s="1" t="str">
        <f t="shared" si="44"/>
        <v/>
      </c>
      <c r="X177" s="1">
        <f t="shared" si="45"/>
        <v>0</v>
      </c>
      <c r="AI177" s="1">
        <f>IF([1]TIM!P177=[1]TIM!P177,[1]TIM!P177,"")</f>
        <v>0</v>
      </c>
      <c r="AJ177" s="1" t="str">
        <f t="shared" si="46"/>
        <v/>
      </c>
      <c r="AK177" s="1" t="str">
        <f t="shared" si="47"/>
        <v>0</v>
      </c>
      <c r="AL177" s="1" t="str">
        <f t="shared" si="48"/>
        <v>0</v>
      </c>
      <c r="AM177" s="1">
        <f t="shared" si="49"/>
        <v>543</v>
      </c>
      <c r="AN177" s="1" t="str">
        <f t="shared" si="50"/>
        <v>/0/543</v>
      </c>
      <c r="AP177" s="1">
        <f>IF([1]TIM!O177=[1]TIM!O177,[1]TIM!O177,"")</f>
        <v>0</v>
      </c>
      <c r="AQ177" s="1" t="str">
        <f t="shared" si="51"/>
        <v/>
      </c>
      <c r="AR177" s="1" t="str">
        <f t="shared" si="52"/>
        <v>0</v>
      </c>
      <c r="AS177" s="1" t="str">
        <f t="shared" si="53"/>
        <v>0</v>
      </c>
      <c r="AT177" s="1">
        <f t="shared" si="54"/>
        <v>543</v>
      </c>
      <c r="AU177" s="1" t="str">
        <f t="shared" si="55"/>
        <v>/0/543</v>
      </c>
    </row>
    <row r="178" spans="2:47" x14ac:dyDescent="0.3">
      <c r="B178" s="5">
        <v>184</v>
      </c>
      <c r="C178" s="6" t="s">
        <v>621</v>
      </c>
      <c r="D178" s="6" t="s">
        <v>622</v>
      </c>
      <c r="E178" s="2"/>
      <c r="F178" s="5">
        <v>224</v>
      </c>
      <c r="G178" s="7" t="s">
        <v>667</v>
      </c>
      <c r="H178" s="7" t="s">
        <v>668</v>
      </c>
      <c r="K178" s="1" t="str">
        <f t="shared" si="39"/>
        <v>SAINT LUCIA</v>
      </c>
      <c r="L178" s="1">
        <f t="shared" si="40"/>
        <v>187</v>
      </c>
      <c r="P178" s="1" t="str">
        <f t="shared" si="41"/>
        <v/>
      </c>
      <c r="Q178" s="1" t="str">
        <f t="shared" si="42"/>
        <v>KYRGYZ REPUBLIC</v>
      </c>
      <c r="R178" s="1">
        <f t="shared" si="43"/>
        <v>227</v>
      </c>
      <c r="V178" s="1" t="str">
        <f>IF([1]TIM!F178="","",[1]TIM!F178)</f>
        <v/>
      </c>
      <c r="W178" s="1" t="str">
        <f t="shared" si="44"/>
        <v/>
      </c>
      <c r="X178" s="1">
        <f t="shared" si="45"/>
        <v>0</v>
      </c>
      <c r="AI178" s="1">
        <f>IF([1]TIM!P178=[1]TIM!P178,[1]TIM!P178,"")</f>
        <v>0</v>
      </c>
      <c r="AJ178" s="1" t="str">
        <f t="shared" si="46"/>
        <v/>
      </c>
      <c r="AK178" s="1" t="str">
        <f t="shared" si="47"/>
        <v>0</v>
      </c>
      <c r="AL178" s="1" t="str">
        <f t="shared" si="48"/>
        <v>0</v>
      </c>
      <c r="AM178" s="1">
        <f t="shared" si="49"/>
        <v>543</v>
      </c>
      <c r="AN178" s="1" t="str">
        <f t="shared" si="50"/>
        <v>/0/543</v>
      </c>
      <c r="AP178" s="1">
        <f>IF([1]TIM!O178=[1]TIM!O178,[1]TIM!O178,"")</f>
        <v>0</v>
      </c>
      <c r="AQ178" s="1" t="str">
        <f t="shared" si="51"/>
        <v/>
      </c>
      <c r="AR178" s="1" t="str">
        <f t="shared" si="52"/>
        <v>0</v>
      </c>
      <c r="AS178" s="1" t="str">
        <f t="shared" si="53"/>
        <v>0</v>
      </c>
      <c r="AT178" s="1">
        <f t="shared" si="54"/>
        <v>543</v>
      </c>
      <c r="AU178" s="1" t="str">
        <f t="shared" si="55"/>
        <v>/0/543</v>
      </c>
    </row>
    <row r="179" spans="2:47" x14ac:dyDescent="0.3">
      <c r="B179" s="5">
        <v>185</v>
      </c>
      <c r="C179" s="6" t="s">
        <v>625</v>
      </c>
      <c r="D179" s="6" t="s">
        <v>669</v>
      </c>
      <c r="E179" s="2"/>
      <c r="F179" s="5">
        <v>225</v>
      </c>
      <c r="G179" s="7" t="s">
        <v>670</v>
      </c>
      <c r="H179" s="7" t="s">
        <v>671</v>
      </c>
      <c r="K179" s="1" t="str">
        <f t="shared" si="39"/>
        <v>SAINT VINCENT AND THE</v>
      </c>
      <c r="L179" s="1">
        <f t="shared" si="40"/>
        <v>188</v>
      </c>
      <c r="P179" s="1" t="str">
        <f t="shared" si="41"/>
        <v/>
      </c>
      <c r="Q179" s="1" t="str">
        <f t="shared" si="42"/>
        <v>REPUBLIC OF TAJIKSTAN</v>
      </c>
      <c r="R179" s="1">
        <f t="shared" si="43"/>
        <v>228</v>
      </c>
      <c r="V179" s="1" t="str">
        <f>IF([1]TIM!F179="","",[1]TIM!F179)</f>
        <v/>
      </c>
      <c r="W179" s="1" t="str">
        <f t="shared" si="44"/>
        <v/>
      </c>
      <c r="X179" s="1">
        <f t="shared" si="45"/>
        <v>0</v>
      </c>
      <c r="AI179" s="1">
        <f>IF([1]TIM!P179=[1]TIM!P179,[1]TIM!P179,"")</f>
        <v>0</v>
      </c>
      <c r="AJ179" s="1" t="str">
        <f t="shared" si="46"/>
        <v/>
      </c>
      <c r="AK179" s="1" t="str">
        <f t="shared" si="47"/>
        <v>0</v>
      </c>
      <c r="AL179" s="1" t="str">
        <f t="shared" si="48"/>
        <v>0</v>
      </c>
      <c r="AM179" s="1">
        <f t="shared" si="49"/>
        <v>543</v>
      </c>
      <c r="AN179" s="1" t="str">
        <f t="shared" si="50"/>
        <v>/0/543</v>
      </c>
      <c r="AP179" s="1">
        <f>IF([1]TIM!O179=[1]TIM!O179,[1]TIM!O179,"")</f>
        <v>0</v>
      </c>
      <c r="AQ179" s="1" t="str">
        <f t="shared" si="51"/>
        <v/>
      </c>
      <c r="AR179" s="1" t="str">
        <f t="shared" si="52"/>
        <v>0</v>
      </c>
      <c r="AS179" s="1" t="str">
        <f t="shared" si="53"/>
        <v>0</v>
      </c>
      <c r="AT179" s="1">
        <f t="shared" si="54"/>
        <v>543</v>
      </c>
      <c r="AU179" s="1" t="str">
        <f t="shared" si="55"/>
        <v>/0/543</v>
      </c>
    </row>
    <row r="180" spans="2:47" x14ac:dyDescent="0.3">
      <c r="B180" s="5">
        <v>186</v>
      </c>
      <c r="C180" s="6" t="s">
        <v>628</v>
      </c>
      <c r="D180" s="6" t="s">
        <v>629</v>
      </c>
      <c r="E180" s="2"/>
      <c r="F180" s="5">
        <v>226</v>
      </c>
      <c r="G180" s="7" t="s">
        <v>672</v>
      </c>
      <c r="H180" s="7" t="s">
        <v>673</v>
      </c>
      <c r="K180" s="1" t="str">
        <f t="shared" si="39"/>
        <v>TRINIDAD AND TOBAGO</v>
      </c>
      <c r="L180" s="1">
        <f t="shared" si="40"/>
        <v>189</v>
      </c>
      <c r="P180" s="1" t="str">
        <f t="shared" si="41"/>
        <v/>
      </c>
      <c r="Q180" s="1" t="str">
        <f t="shared" si="42"/>
        <v>REPUBLIC OF UZBEKISTAN</v>
      </c>
      <c r="R180" s="1">
        <f t="shared" si="43"/>
        <v>229</v>
      </c>
      <c r="V180" s="1" t="str">
        <f>IF([1]TIM!F180="","",[1]TIM!F180)</f>
        <v/>
      </c>
      <c r="W180" s="1" t="str">
        <f t="shared" si="44"/>
        <v/>
      </c>
      <c r="X180" s="1">
        <f t="shared" si="45"/>
        <v>0</v>
      </c>
      <c r="AI180" s="1">
        <f>IF([1]TIM!P180=[1]TIM!P180,[1]TIM!P180,"")</f>
        <v>0</v>
      </c>
      <c r="AJ180" s="1" t="str">
        <f t="shared" si="46"/>
        <v/>
      </c>
      <c r="AK180" s="1" t="str">
        <f t="shared" si="47"/>
        <v>0</v>
      </c>
      <c r="AL180" s="1" t="str">
        <f t="shared" si="48"/>
        <v>0</v>
      </c>
      <c r="AM180" s="1">
        <f t="shared" si="49"/>
        <v>543</v>
      </c>
      <c r="AN180" s="1" t="str">
        <f t="shared" si="50"/>
        <v>/0/543</v>
      </c>
      <c r="AP180" s="1">
        <f>IF([1]TIM!O180=[1]TIM!O180,[1]TIM!O180,"")</f>
        <v>0</v>
      </c>
      <c r="AQ180" s="1" t="str">
        <f t="shared" si="51"/>
        <v/>
      </c>
      <c r="AR180" s="1" t="str">
        <f t="shared" si="52"/>
        <v>0</v>
      </c>
      <c r="AS180" s="1" t="str">
        <f t="shared" si="53"/>
        <v>0</v>
      </c>
      <c r="AT180" s="1">
        <f t="shared" si="54"/>
        <v>543</v>
      </c>
      <c r="AU180" s="1" t="str">
        <f t="shared" si="55"/>
        <v>/0/543</v>
      </c>
    </row>
    <row r="181" spans="2:47" x14ac:dyDescent="0.3">
      <c r="B181" s="5">
        <v>187</v>
      </c>
      <c r="C181" s="6" t="s">
        <v>631</v>
      </c>
      <c r="D181" s="6" t="s">
        <v>632</v>
      </c>
      <c r="E181" s="2"/>
      <c r="F181" s="5">
        <v>227</v>
      </c>
      <c r="G181" s="7" t="s">
        <v>674</v>
      </c>
      <c r="H181" s="7" t="s">
        <v>675</v>
      </c>
      <c r="K181" s="1" t="str">
        <f t="shared" si="39"/>
        <v>BOLIVIA</v>
      </c>
      <c r="L181" s="1">
        <f t="shared" si="40"/>
        <v>190</v>
      </c>
      <c r="P181" s="1" t="str">
        <f t="shared" si="41"/>
        <v/>
      </c>
      <c r="Q181" s="1" t="str">
        <f t="shared" si="42"/>
        <v>REPUBLIC OF THE MARSHALL ISLANDS</v>
      </c>
      <c r="R181" s="1">
        <f t="shared" si="43"/>
        <v>230</v>
      </c>
      <c r="V181" s="1" t="str">
        <f>IF([1]TIM!F181="","",[1]TIM!F181)</f>
        <v/>
      </c>
      <c r="W181" s="1" t="str">
        <f t="shared" si="44"/>
        <v/>
      </c>
      <c r="X181" s="1">
        <f t="shared" si="45"/>
        <v>0</v>
      </c>
      <c r="AI181" s="1">
        <f>IF([1]TIM!P181=[1]TIM!P181,[1]TIM!P181,"")</f>
        <v>0</v>
      </c>
      <c r="AJ181" s="1" t="str">
        <f t="shared" si="46"/>
        <v/>
      </c>
      <c r="AK181" s="1" t="str">
        <f t="shared" si="47"/>
        <v>0</v>
      </c>
      <c r="AL181" s="1" t="str">
        <f t="shared" si="48"/>
        <v>0</v>
      </c>
      <c r="AM181" s="1">
        <f t="shared" si="49"/>
        <v>543</v>
      </c>
      <c r="AN181" s="1" t="str">
        <f t="shared" si="50"/>
        <v>/0/543</v>
      </c>
      <c r="AP181" s="1">
        <f>IF([1]TIM!O181=[1]TIM!O181,[1]TIM!O181,"")</f>
        <v>0</v>
      </c>
      <c r="AQ181" s="1" t="str">
        <f t="shared" si="51"/>
        <v/>
      </c>
      <c r="AR181" s="1" t="str">
        <f t="shared" si="52"/>
        <v>0</v>
      </c>
      <c r="AS181" s="1" t="str">
        <f t="shared" si="53"/>
        <v>0</v>
      </c>
      <c r="AT181" s="1">
        <f t="shared" si="54"/>
        <v>543</v>
      </c>
      <c r="AU181" s="1" t="str">
        <f t="shared" si="55"/>
        <v>/0/543</v>
      </c>
    </row>
    <row r="182" spans="2:47" x14ac:dyDescent="0.3">
      <c r="B182" s="5">
        <v>188</v>
      </c>
      <c r="C182" s="6" t="s">
        <v>633</v>
      </c>
      <c r="D182" s="6" t="s">
        <v>676</v>
      </c>
      <c r="E182" s="2"/>
      <c r="F182" s="5">
        <v>228</v>
      </c>
      <c r="G182" s="7" t="s">
        <v>677</v>
      </c>
      <c r="H182" s="7" t="s">
        <v>678</v>
      </c>
      <c r="K182" s="1" t="str">
        <f t="shared" si="39"/>
        <v>ECUADOR</v>
      </c>
      <c r="L182" s="1">
        <f t="shared" si="40"/>
        <v>191</v>
      </c>
      <c r="P182" s="1" t="str">
        <f t="shared" si="41"/>
        <v/>
      </c>
      <c r="Q182" s="1" t="str">
        <f t="shared" si="42"/>
        <v>FEDERATED STATES OF MICRONESIA</v>
      </c>
      <c r="R182" s="1">
        <f t="shared" si="43"/>
        <v>231</v>
      </c>
      <c r="V182" s="1" t="str">
        <f>IF([1]TIM!F182="","",[1]TIM!F182)</f>
        <v/>
      </c>
      <c r="W182" s="1" t="str">
        <f t="shared" si="44"/>
        <v/>
      </c>
      <c r="X182" s="1">
        <f t="shared" si="45"/>
        <v>0</v>
      </c>
      <c r="AI182" s="1">
        <f>IF([1]TIM!P182=[1]TIM!P182,[1]TIM!P182,"")</f>
        <v>0</v>
      </c>
      <c r="AJ182" s="1" t="str">
        <f t="shared" si="46"/>
        <v/>
      </c>
      <c r="AK182" s="1" t="str">
        <f t="shared" si="47"/>
        <v>0</v>
      </c>
      <c r="AL182" s="1" t="str">
        <f t="shared" si="48"/>
        <v>0</v>
      </c>
      <c r="AM182" s="1">
        <f t="shared" si="49"/>
        <v>543</v>
      </c>
      <c r="AN182" s="1" t="str">
        <f t="shared" si="50"/>
        <v>/0/543</v>
      </c>
      <c r="AP182" s="1">
        <f>IF([1]TIM!O182=[1]TIM!O182,[1]TIM!O182,"")</f>
        <v>0</v>
      </c>
      <c r="AQ182" s="1" t="str">
        <f t="shared" si="51"/>
        <v/>
      </c>
      <c r="AR182" s="1" t="str">
        <f t="shared" si="52"/>
        <v>0</v>
      </c>
      <c r="AS182" s="1" t="str">
        <f t="shared" si="53"/>
        <v>0</v>
      </c>
      <c r="AT182" s="1">
        <f t="shared" si="54"/>
        <v>543</v>
      </c>
      <c r="AU182" s="1" t="str">
        <f t="shared" si="55"/>
        <v>/0/543</v>
      </c>
    </row>
    <row r="183" spans="2:47" x14ac:dyDescent="0.3">
      <c r="B183" s="5">
        <v>189</v>
      </c>
      <c r="C183" s="6" t="s">
        <v>636</v>
      </c>
      <c r="D183" s="6" t="s">
        <v>679</v>
      </c>
      <c r="E183" s="2"/>
      <c r="F183" s="5">
        <v>229</v>
      </c>
      <c r="G183" s="7" t="s">
        <v>680</v>
      </c>
      <c r="H183" s="7" t="s">
        <v>681</v>
      </c>
      <c r="K183" s="1" t="str">
        <f t="shared" si="39"/>
        <v>GUYANA</v>
      </c>
      <c r="L183" s="1">
        <f t="shared" si="40"/>
        <v>192</v>
      </c>
      <c r="P183" s="1" t="str">
        <f t="shared" si="41"/>
        <v/>
      </c>
      <c r="Q183" s="1" t="str">
        <f t="shared" si="42"/>
        <v>REPUBLIC OF PALAU</v>
      </c>
      <c r="R183" s="1">
        <f t="shared" si="43"/>
        <v>232</v>
      </c>
      <c r="V183" s="1" t="str">
        <f>IF([1]TIM!F183="","",[1]TIM!F183)</f>
        <v/>
      </c>
      <c r="W183" s="1" t="str">
        <f t="shared" si="44"/>
        <v/>
      </c>
      <c r="X183" s="1">
        <f t="shared" si="45"/>
        <v>0</v>
      </c>
      <c r="AI183" s="1">
        <f>IF([1]TIM!P183=[1]TIM!P183,[1]TIM!P183,"")</f>
        <v>0</v>
      </c>
      <c r="AJ183" s="1" t="str">
        <f t="shared" si="46"/>
        <v/>
      </c>
      <c r="AK183" s="1" t="str">
        <f t="shared" si="47"/>
        <v>0</v>
      </c>
      <c r="AL183" s="1" t="str">
        <f t="shared" si="48"/>
        <v>0</v>
      </c>
      <c r="AM183" s="1">
        <f t="shared" si="49"/>
        <v>543</v>
      </c>
      <c r="AN183" s="1" t="str">
        <f t="shared" si="50"/>
        <v>/0/543</v>
      </c>
      <c r="AP183" s="1">
        <f>IF([1]TIM!O183=[1]TIM!O183,[1]TIM!O183,"")</f>
        <v>0</v>
      </c>
      <c r="AQ183" s="1" t="str">
        <f t="shared" si="51"/>
        <v/>
      </c>
      <c r="AR183" s="1" t="str">
        <f t="shared" si="52"/>
        <v>0</v>
      </c>
      <c r="AS183" s="1" t="str">
        <f t="shared" si="53"/>
        <v>0</v>
      </c>
      <c r="AT183" s="1">
        <f t="shared" si="54"/>
        <v>543</v>
      </c>
      <c r="AU183" s="1" t="str">
        <f t="shared" si="55"/>
        <v>/0/543</v>
      </c>
    </row>
    <row r="184" spans="2:47" x14ac:dyDescent="0.3">
      <c r="B184" s="5">
        <v>190</v>
      </c>
      <c r="C184" s="6" t="s">
        <v>638</v>
      </c>
      <c r="D184" s="6" t="s">
        <v>639</v>
      </c>
      <c r="E184" s="2"/>
      <c r="F184" s="5">
        <v>230</v>
      </c>
      <c r="G184" s="7" t="s">
        <v>682</v>
      </c>
      <c r="H184" s="7" t="s">
        <v>683</v>
      </c>
      <c r="K184" s="1" t="str">
        <f t="shared" si="39"/>
        <v>PARAGUAY</v>
      </c>
      <c r="L184" s="1">
        <f t="shared" si="40"/>
        <v>193</v>
      </c>
      <c r="P184" s="1" t="str">
        <f t="shared" si="41"/>
        <v/>
      </c>
      <c r="Q184" s="1" t="str">
        <f t="shared" si="42"/>
        <v>REPUBLIC OF BELARUS</v>
      </c>
      <c r="R184" s="1">
        <f t="shared" si="43"/>
        <v>233</v>
      </c>
      <c r="V184" s="1" t="str">
        <f>IF([1]TIM!F184="","",[1]TIM!F184)</f>
        <v/>
      </c>
      <c r="W184" s="1" t="str">
        <f t="shared" si="44"/>
        <v/>
      </c>
      <c r="X184" s="1">
        <f t="shared" si="45"/>
        <v>0</v>
      </c>
      <c r="AI184" s="1">
        <f>IF([1]TIM!P184=[1]TIM!P184,[1]TIM!P184,"")</f>
        <v>0</v>
      </c>
      <c r="AJ184" s="1" t="str">
        <f t="shared" si="46"/>
        <v/>
      </c>
      <c r="AK184" s="1" t="str">
        <f t="shared" si="47"/>
        <v>0</v>
      </c>
      <c r="AL184" s="1" t="str">
        <f t="shared" si="48"/>
        <v>0</v>
      </c>
      <c r="AM184" s="1">
        <f t="shared" si="49"/>
        <v>543</v>
      </c>
      <c r="AN184" s="1" t="str">
        <f t="shared" si="50"/>
        <v>/0/543</v>
      </c>
      <c r="AP184" s="1">
        <f>IF([1]TIM!O184=[1]TIM!O184,[1]TIM!O184,"")</f>
        <v>0</v>
      </c>
      <c r="AQ184" s="1" t="str">
        <f t="shared" si="51"/>
        <v/>
      </c>
      <c r="AR184" s="1" t="str">
        <f t="shared" si="52"/>
        <v>0</v>
      </c>
      <c r="AS184" s="1" t="str">
        <f t="shared" si="53"/>
        <v>0</v>
      </c>
      <c r="AT184" s="1">
        <f t="shared" si="54"/>
        <v>543</v>
      </c>
      <c r="AU184" s="1" t="str">
        <f t="shared" si="55"/>
        <v>/0/543</v>
      </c>
    </row>
    <row r="185" spans="2:47" x14ac:dyDescent="0.3">
      <c r="B185" s="5">
        <v>191</v>
      </c>
      <c r="C185" s="6" t="s">
        <v>641</v>
      </c>
      <c r="D185" s="6" t="s">
        <v>684</v>
      </c>
      <c r="E185" s="2"/>
      <c r="F185" s="5">
        <v>231</v>
      </c>
      <c r="G185" s="7" t="s">
        <v>685</v>
      </c>
      <c r="H185" s="7" t="s">
        <v>686</v>
      </c>
      <c r="K185" s="1" t="str">
        <f t="shared" si="39"/>
        <v>SURINAME</v>
      </c>
      <c r="L185" s="1">
        <f t="shared" si="40"/>
        <v>194</v>
      </c>
      <c r="P185" s="1" t="str">
        <f t="shared" si="41"/>
        <v/>
      </c>
      <c r="Q185" s="1" t="str">
        <f t="shared" si="42"/>
        <v>REPUBLIC OF BOSNIA AND HERZEGOVINA</v>
      </c>
      <c r="R185" s="1">
        <f t="shared" si="43"/>
        <v>234</v>
      </c>
      <c r="V185" s="1" t="str">
        <f>IF([1]TIM!F185="","",[1]TIM!F185)</f>
        <v/>
      </c>
      <c r="W185" s="1" t="str">
        <f t="shared" si="44"/>
        <v/>
      </c>
      <c r="X185" s="1">
        <f t="shared" si="45"/>
        <v>0</v>
      </c>
      <c r="AI185" s="1">
        <f>IF([1]TIM!P185=[1]TIM!P185,[1]TIM!P185,"")</f>
        <v>0</v>
      </c>
      <c r="AJ185" s="1" t="str">
        <f t="shared" si="46"/>
        <v/>
      </c>
      <c r="AK185" s="1" t="str">
        <f t="shared" si="47"/>
        <v>0</v>
      </c>
      <c r="AL185" s="1" t="str">
        <f t="shared" si="48"/>
        <v>0</v>
      </c>
      <c r="AM185" s="1">
        <f t="shared" si="49"/>
        <v>543</v>
      </c>
      <c r="AN185" s="1" t="str">
        <f t="shared" si="50"/>
        <v>/0/543</v>
      </c>
      <c r="AP185" s="1">
        <f>IF([1]TIM!O185=[1]TIM!O185,[1]TIM!O185,"")</f>
        <v>0</v>
      </c>
      <c r="AQ185" s="1" t="str">
        <f t="shared" si="51"/>
        <v/>
      </c>
      <c r="AR185" s="1" t="str">
        <f t="shared" si="52"/>
        <v>0</v>
      </c>
      <c r="AS185" s="1" t="str">
        <f t="shared" si="53"/>
        <v>0</v>
      </c>
      <c r="AT185" s="1">
        <f t="shared" si="54"/>
        <v>543</v>
      </c>
      <c r="AU185" s="1" t="str">
        <f t="shared" si="55"/>
        <v>/0/543</v>
      </c>
    </row>
    <row r="186" spans="2:47" x14ac:dyDescent="0.3">
      <c r="B186" s="5">
        <v>192</v>
      </c>
      <c r="C186" s="6" t="s">
        <v>644</v>
      </c>
      <c r="D186" s="6" t="s">
        <v>687</v>
      </c>
      <c r="E186" s="2"/>
      <c r="F186" s="5">
        <v>232</v>
      </c>
      <c r="G186" s="7" t="s">
        <v>688</v>
      </c>
      <c r="H186" s="7" t="s">
        <v>689</v>
      </c>
      <c r="K186" s="1" t="str">
        <f t="shared" si="39"/>
        <v>ARAB</v>
      </c>
      <c r="L186" s="1">
        <f t="shared" si="40"/>
        <v>195</v>
      </c>
      <c r="P186" s="1" t="str">
        <f t="shared" si="41"/>
        <v/>
      </c>
      <c r="Q186" s="1" t="str">
        <f t="shared" si="42"/>
        <v>TURKMENISTAN</v>
      </c>
      <c r="R186" s="1">
        <f t="shared" si="43"/>
        <v>235</v>
      </c>
      <c r="V186" s="1" t="str">
        <f>IF([1]TIM!F186="","",[1]TIM!F186)</f>
        <v/>
      </c>
      <c r="W186" s="1" t="str">
        <f t="shared" si="44"/>
        <v/>
      </c>
      <c r="X186" s="1">
        <f t="shared" si="45"/>
        <v>0</v>
      </c>
      <c r="AI186" s="1">
        <f>IF([1]TIM!P186=[1]TIM!P186,[1]TIM!P186,"")</f>
        <v>0</v>
      </c>
      <c r="AJ186" s="1" t="str">
        <f t="shared" si="46"/>
        <v/>
      </c>
      <c r="AK186" s="1" t="str">
        <f t="shared" si="47"/>
        <v>0</v>
      </c>
      <c r="AL186" s="1" t="str">
        <f t="shared" si="48"/>
        <v>0</v>
      </c>
      <c r="AM186" s="1">
        <f t="shared" si="49"/>
        <v>543</v>
      </c>
      <c r="AN186" s="1" t="str">
        <f t="shared" si="50"/>
        <v>/0/543</v>
      </c>
      <c r="AP186" s="1">
        <f>IF([1]TIM!O186=[1]TIM!O186,[1]TIM!O186,"")</f>
        <v>0</v>
      </c>
      <c r="AQ186" s="1" t="str">
        <f t="shared" si="51"/>
        <v/>
      </c>
      <c r="AR186" s="1" t="str">
        <f t="shared" si="52"/>
        <v>0</v>
      </c>
      <c r="AS186" s="1" t="str">
        <f t="shared" si="53"/>
        <v>0</v>
      </c>
      <c r="AT186" s="1">
        <f t="shared" si="54"/>
        <v>543</v>
      </c>
      <c r="AU186" s="1" t="str">
        <f t="shared" si="55"/>
        <v>/0/543</v>
      </c>
    </row>
    <row r="187" spans="2:47" x14ac:dyDescent="0.3">
      <c r="B187" s="5">
        <v>193</v>
      </c>
      <c r="C187" s="6" t="s">
        <v>647</v>
      </c>
      <c r="D187" s="6" t="s">
        <v>690</v>
      </c>
      <c r="E187" s="2"/>
      <c r="F187" s="5">
        <v>233</v>
      </c>
      <c r="G187" s="7" t="s">
        <v>691</v>
      </c>
      <c r="H187" s="7" t="s">
        <v>692</v>
      </c>
      <c r="K187" s="1" t="str">
        <f t="shared" si="39"/>
        <v>Kachin</v>
      </c>
      <c r="L187" s="1">
        <f t="shared" si="40"/>
        <v>196</v>
      </c>
      <c r="P187" s="1" t="str">
        <f t="shared" si="41"/>
        <v/>
      </c>
      <c r="Q187" s="1" t="str">
        <f t="shared" si="42"/>
        <v>REPUBLIC OF ESTONIA</v>
      </c>
      <c r="R187" s="1">
        <f t="shared" si="43"/>
        <v>236</v>
      </c>
      <c r="V187" s="1" t="str">
        <f>IF([1]TIM!F187="","",[1]TIM!F187)</f>
        <v/>
      </c>
      <c r="W187" s="1" t="str">
        <f t="shared" si="44"/>
        <v/>
      </c>
      <c r="X187" s="1">
        <f t="shared" si="45"/>
        <v>0</v>
      </c>
      <c r="AI187" s="1">
        <f>IF([1]TIM!P187=[1]TIM!P187,[1]TIM!P187,"")</f>
        <v>0</v>
      </c>
      <c r="AJ187" s="1" t="str">
        <f t="shared" si="46"/>
        <v/>
      </c>
      <c r="AK187" s="1" t="str">
        <f t="shared" si="47"/>
        <v>0</v>
      </c>
      <c r="AL187" s="1" t="str">
        <f t="shared" si="48"/>
        <v>0</v>
      </c>
      <c r="AM187" s="1">
        <f t="shared" si="49"/>
        <v>543</v>
      </c>
      <c r="AN187" s="1" t="str">
        <f t="shared" si="50"/>
        <v>/0/543</v>
      </c>
      <c r="AP187" s="1">
        <f>IF([1]TIM!O187=[1]TIM!O187,[1]TIM!O187,"")</f>
        <v>0</v>
      </c>
      <c r="AQ187" s="1" t="str">
        <f t="shared" si="51"/>
        <v/>
      </c>
      <c r="AR187" s="1" t="str">
        <f t="shared" si="52"/>
        <v>0</v>
      </c>
      <c r="AS187" s="1" t="str">
        <f t="shared" si="53"/>
        <v>0</v>
      </c>
      <c r="AT187" s="1">
        <f t="shared" si="54"/>
        <v>543</v>
      </c>
      <c r="AU187" s="1" t="str">
        <f t="shared" si="55"/>
        <v>/0/543</v>
      </c>
    </row>
    <row r="188" spans="2:47" x14ac:dyDescent="0.3">
      <c r="B188" s="5">
        <v>194</v>
      </c>
      <c r="C188" s="6" t="s">
        <v>651</v>
      </c>
      <c r="D188" s="6" t="s">
        <v>693</v>
      </c>
      <c r="E188" s="2"/>
      <c r="F188" s="5">
        <v>234</v>
      </c>
      <c r="G188" s="7" t="s">
        <v>694</v>
      </c>
      <c r="H188" s="7" t="s">
        <v>695</v>
      </c>
      <c r="K188" s="1" t="str">
        <f t="shared" si="39"/>
        <v>Wa</v>
      </c>
      <c r="L188" s="1">
        <f t="shared" si="40"/>
        <v>197</v>
      </c>
      <c r="P188" s="1" t="str">
        <f t="shared" si="41"/>
        <v/>
      </c>
      <c r="Q188" s="1" t="str">
        <f t="shared" si="42"/>
        <v>REPUBLIC OF LATVIA</v>
      </c>
      <c r="R188" s="1">
        <f t="shared" si="43"/>
        <v>237</v>
      </c>
      <c r="V188" s="1" t="str">
        <f>IF([1]TIM!F188="","",[1]TIM!F188)</f>
        <v/>
      </c>
      <c r="W188" s="1" t="str">
        <f t="shared" si="44"/>
        <v/>
      </c>
      <c r="X188" s="1">
        <f t="shared" si="45"/>
        <v>0</v>
      </c>
      <c r="AI188" s="1">
        <f>IF([1]TIM!P188=[1]TIM!P188,[1]TIM!P188,"")</f>
        <v>0</v>
      </c>
      <c r="AJ188" s="1" t="str">
        <f t="shared" si="46"/>
        <v/>
      </c>
      <c r="AK188" s="1" t="str">
        <f t="shared" si="47"/>
        <v>0</v>
      </c>
      <c r="AL188" s="1" t="str">
        <f t="shared" si="48"/>
        <v>0</v>
      </c>
      <c r="AM188" s="1">
        <f t="shared" si="49"/>
        <v>543</v>
      </c>
      <c r="AN188" s="1" t="str">
        <f t="shared" si="50"/>
        <v>/0/543</v>
      </c>
      <c r="AP188" s="1">
        <f>IF([1]TIM!O188=[1]TIM!O188,[1]TIM!O188,"")</f>
        <v>0</v>
      </c>
      <c r="AQ188" s="1" t="str">
        <f t="shared" si="51"/>
        <v/>
      </c>
      <c r="AR188" s="1" t="str">
        <f t="shared" si="52"/>
        <v>0</v>
      </c>
      <c r="AS188" s="1" t="str">
        <f t="shared" si="53"/>
        <v>0</v>
      </c>
      <c r="AT188" s="1">
        <f t="shared" si="54"/>
        <v>543</v>
      </c>
      <c r="AU188" s="1" t="str">
        <f t="shared" si="55"/>
        <v>/0/543</v>
      </c>
    </row>
    <row r="189" spans="2:47" x14ac:dyDescent="0.3">
      <c r="B189" s="5">
        <v>195</v>
      </c>
      <c r="C189" s="6" t="s">
        <v>654</v>
      </c>
      <c r="D189" s="6" t="s">
        <v>655</v>
      </c>
      <c r="E189" s="2"/>
      <c r="F189" s="5">
        <v>235</v>
      </c>
      <c r="G189" s="7" t="s">
        <v>696</v>
      </c>
      <c r="H189" s="7" t="s">
        <v>697</v>
      </c>
      <c r="K189" s="1" t="str">
        <f t="shared" si="39"/>
        <v>Shan</v>
      </c>
      <c r="L189" s="1">
        <f t="shared" si="40"/>
        <v>198</v>
      </c>
      <c r="P189" s="1" t="str">
        <f t="shared" si="41"/>
        <v/>
      </c>
      <c r="Q189" s="1" t="str">
        <f t="shared" si="42"/>
        <v>REPUBLIC OF LITHUANIA</v>
      </c>
      <c r="R189" s="1">
        <f t="shared" si="43"/>
        <v>238</v>
      </c>
      <c r="V189" s="1" t="str">
        <f>IF([1]TIM!F189="","",[1]TIM!F189)</f>
        <v/>
      </c>
      <c r="W189" s="1" t="str">
        <f t="shared" si="44"/>
        <v/>
      </c>
      <c r="X189" s="1">
        <f t="shared" si="45"/>
        <v>0</v>
      </c>
      <c r="AI189" s="1">
        <f>IF([1]TIM!P189=[1]TIM!P189,[1]TIM!P189,"")</f>
        <v>0</v>
      </c>
      <c r="AJ189" s="1" t="str">
        <f t="shared" si="46"/>
        <v/>
      </c>
      <c r="AK189" s="1" t="str">
        <f t="shared" si="47"/>
        <v>0</v>
      </c>
      <c r="AL189" s="1" t="str">
        <f t="shared" si="48"/>
        <v>0</v>
      </c>
      <c r="AM189" s="1">
        <f t="shared" si="49"/>
        <v>543</v>
      </c>
      <c r="AN189" s="1" t="str">
        <f t="shared" si="50"/>
        <v>/0/543</v>
      </c>
      <c r="AP189" s="1">
        <f>IF([1]TIM!O189=[1]TIM!O189,[1]TIM!O189,"")</f>
        <v>0</v>
      </c>
      <c r="AQ189" s="1" t="str">
        <f t="shared" si="51"/>
        <v/>
      </c>
      <c r="AR189" s="1" t="str">
        <f t="shared" si="52"/>
        <v>0</v>
      </c>
      <c r="AS189" s="1" t="str">
        <f t="shared" si="53"/>
        <v>0</v>
      </c>
      <c r="AT189" s="1">
        <f t="shared" si="54"/>
        <v>543</v>
      </c>
      <c r="AU189" s="1" t="str">
        <f t="shared" si="55"/>
        <v>/0/543</v>
      </c>
    </row>
    <row r="190" spans="2:47" x14ac:dyDescent="0.3">
      <c r="B190" s="5">
        <v>196</v>
      </c>
      <c r="C190" s="6" t="s">
        <v>698</v>
      </c>
      <c r="D190" s="6" t="s">
        <v>699</v>
      </c>
      <c r="E190" s="2"/>
      <c r="F190" s="5">
        <v>236</v>
      </c>
      <c r="G190" s="7" t="s">
        <v>700</v>
      </c>
      <c r="H190" s="7" t="s">
        <v>701</v>
      </c>
      <c r="K190" s="1" t="str">
        <f t="shared" si="39"/>
        <v>THAILUE</v>
      </c>
      <c r="L190" s="1">
        <f t="shared" si="40"/>
        <v>199</v>
      </c>
      <c r="P190" s="1" t="str">
        <f t="shared" si="41"/>
        <v/>
      </c>
      <c r="Q190" s="1" t="str">
        <f t="shared" si="42"/>
        <v>REPUBLIC OF MACEDONIA</v>
      </c>
      <c r="R190" s="1">
        <f t="shared" si="43"/>
        <v>239</v>
      </c>
      <c r="V190" s="1" t="str">
        <f>IF([1]TIM!F190="","",[1]TIM!F190)</f>
        <v/>
      </c>
      <c r="W190" s="1" t="str">
        <f t="shared" si="44"/>
        <v/>
      </c>
      <c r="X190" s="1">
        <f t="shared" si="45"/>
        <v>0</v>
      </c>
      <c r="AI190" s="1">
        <f>IF([1]TIM!P190=[1]TIM!P190,[1]TIM!P190,"")</f>
        <v>0</v>
      </c>
      <c r="AJ190" s="1" t="str">
        <f t="shared" si="46"/>
        <v/>
      </c>
      <c r="AK190" s="1" t="str">
        <f t="shared" si="47"/>
        <v>0</v>
      </c>
      <c r="AL190" s="1" t="str">
        <f t="shared" si="48"/>
        <v>0</v>
      </c>
      <c r="AM190" s="1">
        <f t="shared" si="49"/>
        <v>543</v>
      </c>
      <c r="AN190" s="1" t="str">
        <f t="shared" si="50"/>
        <v>/0/543</v>
      </c>
      <c r="AP190" s="1">
        <f>IF([1]TIM!O190=[1]TIM!O190,[1]TIM!O190,"")</f>
        <v>0</v>
      </c>
      <c r="AQ190" s="1" t="str">
        <f t="shared" si="51"/>
        <v/>
      </c>
      <c r="AR190" s="1" t="str">
        <f t="shared" si="52"/>
        <v>0</v>
      </c>
      <c r="AS190" s="1" t="str">
        <f t="shared" si="53"/>
        <v>0</v>
      </c>
      <c r="AT190" s="1">
        <f t="shared" si="54"/>
        <v>543</v>
      </c>
      <c r="AU190" s="1" t="str">
        <f t="shared" si="55"/>
        <v>/0/543</v>
      </c>
    </row>
    <row r="191" spans="2:47" x14ac:dyDescent="0.3">
      <c r="B191" s="5">
        <v>197</v>
      </c>
      <c r="C191" s="6" t="s">
        <v>702</v>
      </c>
      <c r="D191" s="6" t="s">
        <v>703</v>
      </c>
      <c r="E191" s="2"/>
      <c r="F191" s="5">
        <v>237</v>
      </c>
      <c r="G191" s="7" t="s">
        <v>704</v>
      </c>
      <c r="H191" s="7" t="s">
        <v>705</v>
      </c>
      <c r="K191" s="1" t="str">
        <f t="shared" si="39"/>
        <v>KHAMU</v>
      </c>
      <c r="L191" s="1">
        <f t="shared" si="40"/>
        <v>200</v>
      </c>
      <c r="P191" s="1" t="str">
        <f t="shared" si="41"/>
        <v/>
      </c>
      <c r="Q191" s="1" t="str">
        <f t="shared" si="42"/>
        <v>REPUBLIC OF MOLDOVA</v>
      </c>
      <c r="R191" s="1">
        <f t="shared" si="43"/>
        <v>240</v>
      </c>
      <c r="V191" s="1" t="str">
        <f>IF([1]TIM!F191="","",[1]TIM!F191)</f>
        <v/>
      </c>
      <c r="W191" s="1" t="str">
        <f t="shared" si="44"/>
        <v/>
      </c>
      <c r="X191" s="1">
        <f t="shared" si="45"/>
        <v>0</v>
      </c>
      <c r="AI191" s="1">
        <f>IF([1]TIM!P191=[1]TIM!P191,[1]TIM!P191,"")</f>
        <v>0</v>
      </c>
      <c r="AJ191" s="1" t="str">
        <f t="shared" si="46"/>
        <v/>
      </c>
      <c r="AK191" s="1" t="str">
        <f t="shared" si="47"/>
        <v>0</v>
      </c>
      <c r="AL191" s="1" t="str">
        <f t="shared" si="48"/>
        <v>0</v>
      </c>
      <c r="AM191" s="1">
        <f t="shared" si="49"/>
        <v>543</v>
      </c>
      <c r="AN191" s="1" t="str">
        <f t="shared" si="50"/>
        <v>/0/543</v>
      </c>
      <c r="AP191" s="1">
        <f>IF([1]TIM!O191=[1]TIM!O191,[1]TIM!O191,"")</f>
        <v>0</v>
      </c>
      <c r="AQ191" s="1" t="str">
        <f t="shared" si="51"/>
        <v/>
      </c>
      <c r="AR191" s="1" t="str">
        <f t="shared" si="52"/>
        <v>0</v>
      </c>
      <c r="AS191" s="1" t="str">
        <f t="shared" si="53"/>
        <v>0</v>
      </c>
      <c r="AT191" s="1">
        <f t="shared" si="54"/>
        <v>543</v>
      </c>
      <c r="AU191" s="1" t="str">
        <f t="shared" si="55"/>
        <v>/0/543</v>
      </c>
    </row>
    <row r="192" spans="2:47" x14ac:dyDescent="0.3">
      <c r="B192" s="5">
        <v>198</v>
      </c>
      <c r="C192" s="6" t="s">
        <v>706</v>
      </c>
      <c r="D192" s="6" t="s">
        <v>707</v>
      </c>
      <c r="E192" s="2"/>
      <c r="F192" s="5">
        <v>238</v>
      </c>
      <c r="G192" s="7" t="s">
        <v>708</v>
      </c>
      <c r="H192" s="7" t="s">
        <v>709</v>
      </c>
      <c r="K192" s="1" t="str">
        <f t="shared" si="39"/>
        <v>TONGSU</v>
      </c>
      <c r="L192" s="1">
        <f t="shared" si="40"/>
        <v>201</v>
      </c>
      <c r="P192" s="1" t="str">
        <f t="shared" si="41"/>
        <v/>
      </c>
      <c r="Q192" s="1" t="str">
        <f t="shared" si="42"/>
        <v>SLOVAK REPUBLIC</v>
      </c>
      <c r="R192" s="1">
        <f t="shared" si="43"/>
        <v>241</v>
      </c>
      <c r="V192" s="1" t="str">
        <f>IF([1]TIM!F192="","",[1]TIM!F192)</f>
        <v/>
      </c>
      <c r="W192" s="1" t="str">
        <f t="shared" si="44"/>
        <v/>
      </c>
      <c r="X192" s="1">
        <f t="shared" si="45"/>
        <v>0</v>
      </c>
      <c r="AI192" s="1">
        <f>IF([1]TIM!P192=[1]TIM!P192,[1]TIM!P192,"")</f>
        <v>0</v>
      </c>
      <c r="AJ192" s="1" t="str">
        <f t="shared" si="46"/>
        <v/>
      </c>
      <c r="AK192" s="1" t="str">
        <f t="shared" si="47"/>
        <v>0</v>
      </c>
      <c r="AL192" s="1" t="str">
        <f t="shared" si="48"/>
        <v>0</v>
      </c>
      <c r="AM192" s="1">
        <f t="shared" si="49"/>
        <v>543</v>
      </c>
      <c r="AN192" s="1" t="str">
        <f t="shared" si="50"/>
        <v>/0/543</v>
      </c>
      <c r="AP192" s="1">
        <f>IF([1]TIM!O192=[1]TIM!O192,[1]TIM!O192,"")</f>
        <v>0</v>
      </c>
      <c r="AQ192" s="1" t="str">
        <f t="shared" si="51"/>
        <v/>
      </c>
      <c r="AR192" s="1" t="str">
        <f t="shared" si="52"/>
        <v>0</v>
      </c>
      <c r="AS192" s="1" t="str">
        <f t="shared" si="53"/>
        <v>0</v>
      </c>
      <c r="AT192" s="1">
        <f t="shared" si="54"/>
        <v>543</v>
      </c>
      <c r="AU192" s="1" t="str">
        <f t="shared" si="55"/>
        <v>/0/543</v>
      </c>
    </row>
    <row r="193" spans="2:47" x14ac:dyDescent="0.3">
      <c r="B193" s="5">
        <v>199</v>
      </c>
      <c r="C193" s="6" t="s">
        <v>710</v>
      </c>
      <c r="D193" s="6" t="s">
        <v>711</v>
      </c>
      <c r="E193" s="2"/>
      <c r="F193" s="5">
        <v>239</v>
      </c>
      <c r="G193" s="7" t="s">
        <v>712</v>
      </c>
      <c r="H193" s="7" t="s">
        <v>713</v>
      </c>
      <c r="K193" s="1" t="str">
        <f t="shared" si="39"/>
        <v>LAWA</v>
      </c>
      <c r="L193" s="1">
        <f t="shared" si="40"/>
        <v>203</v>
      </c>
      <c r="P193" s="1" t="str">
        <f t="shared" si="41"/>
        <v/>
      </c>
      <c r="Q193" s="1" t="str">
        <f t="shared" si="42"/>
        <v>REPUBLIC OF SLOVENIA</v>
      </c>
      <c r="R193" s="1">
        <f t="shared" si="43"/>
        <v>242</v>
      </c>
      <c r="V193" s="1" t="str">
        <f>IF([1]TIM!F193="","",[1]TIM!F193)</f>
        <v/>
      </c>
      <c r="W193" s="1" t="str">
        <f t="shared" si="44"/>
        <v/>
      </c>
      <c r="X193" s="1">
        <f t="shared" si="45"/>
        <v>0</v>
      </c>
      <c r="AI193" s="1">
        <f>IF([1]TIM!P193=[1]TIM!P193,[1]TIM!P193,"")</f>
        <v>0</v>
      </c>
      <c r="AJ193" s="1" t="str">
        <f t="shared" si="46"/>
        <v/>
      </c>
      <c r="AK193" s="1" t="str">
        <f t="shared" si="47"/>
        <v>0</v>
      </c>
      <c r="AL193" s="1" t="str">
        <f t="shared" si="48"/>
        <v>0</v>
      </c>
      <c r="AM193" s="1">
        <f t="shared" si="49"/>
        <v>543</v>
      </c>
      <c r="AN193" s="1" t="str">
        <f t="shared" si="50"/>
        <v>/0/543</v>
      </c>
      <c r="AP193" s="1">
        <f>IF([1]TIM!O193=[1]TIM!O193,[1]TIM!O193,"")</f>
        <v>0</v>
      </c>
      <c r="AQ193" s="1" t="str">
        <f t="shared" si="51"/>
        <v/>
      </c>
      <c r="AR193" s="1" t="str">
        <f t="shared" si="52"/>
        <v>0</v>
      </c>
      <c r="AS193" s="1" t="str">
        <f t="shared" si="53"/>
        <v>0</v>
      </c>
      <c r="AT193" s="1">
        <f t="shared" si="54"/>
        <v>543</v>
      </c>
      <c r="AU193" s="1" t="str">
        <f t="shared" si="55"/>
        <v>/0/543</v>
      </c>
    </row>
    <row r="194" spans="2:47" x14ac:dyDescent="0.3">
      <c r="B194" s="5">
        <v>200</v>
      </c>
      <c r="C194" s="6" t="s">
        <v>714</v>
      </c>
      <c r="D194" s="6" t="s">
        <v>715</v>
      </c>
      <c r="E194" s="2"/>
      <c r="F194" s="5">
        <v>240</v>
      </c>
      <c r="G194" s="7" t="s">
        <v>716</v>
      </c>
      <c r="H194" s="7" t="s">
        <v>717</v>
      </c>
      <c r="K194" s="1" t="str">
        <f t="shared" si="39"/>
        <v>PALONG</v>
      </c>
      <c r="L194" s="1">
        <f t="shared" si="40"/>
        <v>205</v>
      </c>
      <c r="P194" s="1" t="str">
        <f t="shared" si="41"/>
        <v/>
      </c>
      <c r="Q194" s="1" t="str">
        <f t="shared" si="42"/>
        <v>ERITREA</v>
      </c>
      <c r="R194" s="1">
        <f t="shared" si="43"/>
        <v>243</v>
      </c>
      <c r="V194" s="1" t="str">
        <f>IF([1]TIM!F194="","",[1]TIM!F194)</f>
        <v/>
      </c>
      <c r="W194" s="1" t="str">
        <f t="shared" si="44"/>
        <v/>
      </c>
      <c r="X194" s="1">
        <f t="shared" si="45"/>
        <v>0</v>
      </c>
      <c r="AI194" s="1">
        <f>IF([1]TIM!P194=[1]TIM!P194,[1]TIM!P194,"")</f>
        <v>0</v>
      </c>
      <c r="AJ194" s="1" t="str">
        <f t="shared" si="46"/>
        <v/>
      </c>
      <c r="AK194" s="1" t="str">
        <f t="shared" si="47"/>
        <v>0</v>
      </c>
      <c r="AL194" s="1" t="str">
        <f t="shared" si="48"/>
        <v>0</v>
      </c>
      <c r="AM194" s="1">
        <f t="shared" si="49"/>
        <v>543</v>
      </c>
      <c r="AN194" s="1" t="str">
        <f t="shared" si="50"/>
        <v>/0/543</v>
      </c>
      <c r="AP194" s="1">
        <f>IF([1]TIM!O194=[1]TIM!O194,[1]TIM!O194,"")</f>
        <v>0</v>
      </c>
      <c r="AQ194" s="1" t="str">
        <f t="shared" si="51"/>
        <v/>
      </c>
      <c r="AR194" s="1" t="str">
        <f t="shared" si="52"/>
        <v>0</v>
      </c>
      <c r="AS194" s="1" t="str">
        <f t="shared" si="53"/>
        <v>0</v>
      </c>
      <c r="AT194" s="1">
        <f t="shared" si="54"/>
        <v>543</v>
      </c>
      <c r="AU194" s="1" t="str">
        <f t="shared" si="55"/>
        <v>/0/543</v>
      </c>
    </row>
    <row r="195" spans="2:47" x14ac:dyDescent="0.3">
      <c r="B195" s="5">
        <v>201</v>
      </c>
      <c r="C195" s="6" t="s">
        <v>718</v>
      </c>
      <c r="D195" s="6" t="s">
        <v>719</v>
      </c>
      <c r="E195" s="2"/>
      <c r="F195" s="5">
        <v>241</v>
      </c>
      <c r="G195" s="7" t="s">
        <v>720</v>
      </c>
      <c r="H195" s="7" t="s">
        <v>721</v>
      </c>
      <c r="K195" s="1" t="str">
        <f t="shared" ref="K195:K258" si="56">D198</f>
        <v>Htin</v>
      </c>
      <c r="L195" s="1">
        <f t="shared" ref="L195:L258" si="57">B198</f>
        <v>206</v>
      </c>
      <c r="P195" s="1" t="str">
        <f t="shared" ref="P195:P208" si="58">IF(J195="","",J195)</f>
        <v/>
      </c>
      <c r="Q195" s="1" t="str">
        <f t="shared" ref="Q195:Q208" si="59">H198</f>
        <v>REPUBLIC OF NAMIBIA</v>
      </c>
      <c r="R195" s="1">
        <f t="shared" ref="R195:R208" si="60">F198</f>
        <v>244</v>
      </c>
      <c r="V195" s="1" t="str">
        <f>IF([1]TIM!F195="","",[1]TIM!F195)</f>
        <v/>
      </c>
      <c r="W195" s="1" t="str">
        <f t="shared" ref="W195:W258" si="61">IFERROR(VLOOKUP(V195,$J$2:$N$258,5,FALSE),"")</f>
        <v/>
      </c>
      <c r="X195" s="1">
        <f t="shared" ref="X195:X258" si="62">IFERROR(VLOOKUP(V195,$P$2:$T$208,5,FALSE),"")</f>
        <v>0</v>
      </c>
      <c r="AI195" s="1">
        <f>IF([1]TIM!P195=[1]TIM!P195,[1]TIM!P195,"")</f>
        <v>0</v>
      </c>
      <c r="AJ195" s="1" t="str">
        <f t="shared" ref="AJ195:AJ258" si="63">MID(AI195,4,2)</f>
        <v/>
      </c>
      <c r="AK195" s="1" t="str">
        <f t="shared" ref="AK195:AK258" si="64">LEFT(AI195,2)</f>
        <v>0</v>
      </c>
      <c r="AL195" s="1" t="str">
        <f t="shared" ref="AL195:AL258" si="65">RIGHT(AI195,4)</f>
        <v>0</v>
      </c>
      <c r="AM195" s="1">
        <f t="shared" ref="AM195:AM258" si="66">AL195+543</f>
        <v>543</v>
      </c>
      <c r="AN195" s="1" t="str">
        <f t="shared" ref="AN195:AN258" si="67">AJ195&amp;"/"&amp;AK195&amp;"/"&amp;AM195</f>
        <v>/0/543</v>
      </c>
      <c r="AP195" s="1">
        <f>IF([1]TIM!O195=[1]TIM!O195,[1]TIM!O195,"")</f>
        <v>0</v>
      </c>
      <c r="AQ195" s="1" t="str">
        <f t="shared" ref="AQ195:AQ258" si="68">MID(AP195,4,2)</f>
        <v/>
      </c>
      <c r="AR195" s="1" t="str">
        <f t="shared" ref="AR195:AR258" si="69">LEFT(AP195,2)</f>
        <v>0</v>
      </c>
      <c r="AS195" s="1" t="str">
        <f t="shared" ref="AS195:AS258" si="70">RIGHT(AP195,4)</f>
        <v>0</v>
      </c>
      <c r="AT195" s="1">
        <f t="shared" ref="AT195:AT258" si="71">AS195+543</f>
        <v>543</v>
      </c>
      <c r="AU195" s="1" t="str">
        <f t="shared" ref="AU195:AU258" si="72">AQ195&amp;"/"&amp;AR195&amp;"/"&amp;AT195</f>
        <v>/0/543</v>
      </c>
    </row>
    <row r="196" spans="2:47" x14ac:dyDescent="0.3">
      <c r="B196" s="5">
        <v>203</v>
      </c>
      <c r="C196" s="6" t="s">
        <v>722</v>
      </c>
      <c r="D196" s="6" t="s">
        <v>723</v>
      </c>
      <c r="E196" s="2"/>
      <c r="F196" s="5">
        <v>242</v>
      </c>
      <c r="G196" s="7" t="s">
        <v>724</v>
      </c>
      <c r="H196" s="7" t="s">
        <v>725</v>
      </c>
      <c r="K196" s="1" t="str">
        <f t="shared" si="56"/>
        <v>PAO</v>
      </c>
      <c r="L196" s="1">
        <f t="shared" si="57"/>
        <v>207</v>
      </c>
      <c r="P196" s="1" t="str">
        <f t="shared" si="58"/>
        <v/>
      </c>
      <c r="Q196" s="1" t="str">
        <f t="shared" si="59"/>
        <v>REPUBLIC OF BOLIVIA</v>
      </c>
      <c r="R196" s="1">
        <f t="shared" si="60"/>
        <v>245</v>
      </c>
      <c r="V196" s="1" t="str">
        <f>IF([1]TIM!F196="","",[1]TIM!F196)</f>
        <v/>
      </c>
      <c r="W196" s="1" t="str">
        <f t="shared" si="61"/>
        <v/>
      </c>
      <c r="X196" s="1">
        <f t="shared" si="62"/>
        <v>0</v>
      </c>
      <c r="AI196" s="1">
        <f>IF([1]TIM!P196=[1]TIM!P196,[1]TIM!P196,"")</f>
        <v>0</v>
      </c>
      <c r="AJ196" s="1" t="str">
        <f t="shared" si="63"/>
        <v/>
      </c>
      <c r="AK196" s="1" t="str">
        <f t="shared" si="64"/>
        <v>0</v>
      </c>
      <c r="AL196" s="1" t="str">
        <f t="shared" si="65"/>
        <v>0</v>
      </c>
      <c r="AM196" s="1">
        <f t="shared" si="66"/>
        <v>543</v>
      </c>
      <c r="AN196" s="1" t="str">
        <f t="shared" si="67"/>
        <v>/0/543</v>
      </c>
      <c r="AP196" s="1">
        <f>IF([1]TIM!O196=[1]TIM!O196,[1]TIM!O196,"")</f>
        <v>0</v>
      </c>
      <c r="AQ196" s="1" t="str">
        <f t="shared" si="68"/>
        <v/>
      </c>
      <c r="AR196" s="1" t="str">
        <f t="shared" si="69"/>
        <v>0</v>
      </c>
      <c r="AS196" s="1" t="str">
        <f t="shared" si="70"/>
        <v>0</v>
      </c>
      <c r="AT196" s="1">
        <f t="shared" si="71"/>
        <v>543</v>
      </c>
      <c r="AU196" s="1" t="str">
        <f t="shared" si="72"/>
        <v>/0/543</v>
      </c>
    </row>
    <row r="197" spans="2:47" x14ac:dyDescent="0.3">
      <c r="B197" s="5">
        <v>205</v>
      </c>
      <c r="C197" s="6" t="s">
        <v>726</v>
      </c>
      <c r="D197" s="6" t="s">
        <v>727</v>
      </c>
      <c r="E197" s="2"/>
      <c r="F197" s="5">
        <v>243</v>
      </c>
      <c r="G197" s="7" t="s">
        <v>728</v>
      </c>
      <c r="H197" s="7" t="s">
        <v>729</v>
      </c>
      <c r="K197" s="1" t="str">
        <f t="shared" si="56"/>
        <v>Mon</v>
      </c>
      <c r="L197" s="1">
        <f t="shared" si="57"/>
        <v>208</v>
      </c>
      <c r="P197" s="1" t="str">
        <f t="shared" si="58"/>
        <v/>
      </c>
      <c r="Q197" s="1" t="str">
        <f t="shared" si="59"/>
        <v>COOK ISLANDS</v>
      </c>
      <c r="R197" s="1">
        <f t="shared" si="60"/>
        <v>246</v>
      </c>
      <c r="V197" s="1" t="str">
        <f>IF([1]TIM!F197="","",[1]TIM!F197)</f>
        <v/>
      </c>
      <c r="W197" s="1" t="str">
        <f t="shared" si="61"/>
        <v/>
      </c>
      <c r="X197" s="1">
        <f t="shared" si="62"/>
        <v>0</v>
      </c>
      <c r="AI197" s="1">
        <f>IF([1]TIM!P197=[1]TIM!P197,[1]TIM!P197,"")</f>
        <v>0</v>
      </c>
      <c r="AJ197" s="1" t="str">
        <f t="shared" si="63"/>
        <v/>
      </c>
      <c r="AK197" s="1" t="str">
        <f t="shared" si="64"/>
        <v>0</v>
      </c>
      <c r="AL197" s="1" t="str">
        <f t="shared" si="65"/>
        <v>0</v>
      </c>
      <c r="AM197" s="1">
        <f t="shared" si="66"/>
        <v>543</v>
      </c>
      <c r="AN197" s="1" t="str">
        <f t="shared" si="67"/>
        <v>/0/543</v>
      </c>
      <c r="AP197" s="1">
        <f>IF([1]TIM!O197=[1]TIM!O197,[1]TIM!O197,"")</f>
        <v>0</v>
      </c>
      <c r="AQ197" s="1" t="str">
        <f t="shared" si="68"/>
        <v/>
      </c>
      <c r="AR197" s="1" t="str">
        <f t="shared" si="69"/>
        <v>0</v>
      </c>
      <c r="AS197" s="1" t="str">
        <f t="shared" si="70"/>
        <v>0</v>
      </c>
      <c r="AT197" s="1">
        <f t="shared" si="71"/>
        <v>543</v>
      </c>
      <c r="AU197" s="1" t="str">
        <f t="shared" si="72"/>
        <v>/0/543</v>
      </c>
    </row>
    <row r="198" spans="2:47" x14ac:dyDescent="0.3">
      <c r="B198" s="5">
        <v>206</v>
      </c>
      <c r="C198" s="6" t="s">
        <v>730</v>
      </c>
      <c r="D198" s="6" t="s">
        <v>731</v>
      </c>
      <c r="E198" s="2"/>
      <c r="F198" s="5">
        <v>244</v>
      </c>
      <c r="G198" s="7" t="s">
        <v>732</v>
      </c>
      <c r="H198" s="7" t="s">
        <v>733</v>
      </c>
      <c r="K198" s="1" t="str">
        <f t="shared" si="56"/>
        <v>Mlabri</v>
      </c>
      <c r="L198" s="1">
        <f t="shared" si="57"/>
        <v>209</v>
      </c>
      <c r="P198" s="1" t="str">
        <f t="shared" si="58"/>
        <v/>
      </c>
      <c r="Q198" s="1" t="str">
        <f t="shared" si="59"/>
        <v>THE DEMOCRATIC REPUBLIC OF TIMOR- LESTE</v>
      </c>
      <c r="R198" s="1">
        <f t="shared" si="60"/>
        <v>247</v>
      </c>
      <c r="V198" s="1" t="str">
        <f>IF([1]TIM!F198="","",[1]TIM!F198)</f>
        <v/>
      </c>
      <c r="W198" s="1" t="str">
        <f t="shared" si="61"/>
        <v/>
      </c>
      <c r="X198" s="1">
        <f t="shared" si="62"/>
        <v>0</v>
      </c>
      <c r="AI198" s="1">
        <f>IF([1]TIM!P198=[1]TIM!P198,[1]TIM!P198,"")</f>
        <v>0</v>
      </c>
      <c r="AJ198" s="1" t="str">
        <f t="shared" si="63"/>
        <v/>
      </c>
      <c r="AK198" s="1" t="str">
        <f t="shared" si="64"/>
        <v>0</v>
      </c>
      <c r="AL198" s="1" t="str">
        <f t="shared" si="65"/>
        <v>0</v>
      </c>
      <c r="AM198" s="1">
        <f t="shared" si="66"/>
        <v>543</v>
      </c>
      <c r="AN198" s="1" t="str">
        <f t="shared" si="67"/>
        <v>/0/543</v>
      </c>
      <c r="AP198" s="1">
        <f>IF([1]TIM!O198=[1]TIM!O198,[1]TIM!O198,"")</f>
        <v>0</v>
      </c>
      <c r="AQ198" s="1" t="str">
        <f t="shared" si="68"/>
        <v/>
      </c>
      <c r="AR198" s="1" t="str">
        <f t="shared" si="69"/>
        <v>0</v>
      </c>
      <c r="AS198" s="1" t="str">
        <f t="shared" si="70"/>
        <v>0</v>
      </c>
      <c r="AT198" s="1">
        <f t="shared" si="71"/>
        <v>543</v>
      </c>
      <c r="AU198" s="1" t="str">
        <f t="shared" si="72"/>
        <v>/0/543</v>
      </c>
    </row>
    <row r="199" spans="2:47" x14ac:dyDescent="0.3">
      <c r="B199" s="5">
        <v>207</v>
      </c>
      <c r="C199" s="6" t="s">
        <v>734</v>
      </c>
      <c r="D199" s="6" t="s">
        <v>735</v>
      </c>
      <c r="E199" s="2"/>
      <c r="F199" s="5">
        <v>245</v>
      </c>
      <c r="G199" s="7" t="s">
        <v>736</v>
      </c>
      <c r="H199" s="7" t="s">
        <v>737</v>
      </c>
      <c r="K199" s="1" t="str">
        <f t="shared" si="56"/>
        <v xml:space="preserve"> </v>
      </c>
      <c r="L199" s="1">
        <f t="shared" si="57"/>
        <v>212</v>
      </c>
      <c r="P199" s="1" t="str">
        <f t="shared" si="58"/>
        <v/>
      </c>
      <c r="Q199" s="1" t="str">
        <f t="shared" si="59"/>
        <v>PALESTINE</v>
      </c>
      <c r="R199" s="1">
        <f t="shared" si="60"/>
        <v>260</v>
      </c>
      <c r="V199" s="1" t="str">
        <f>IF([1]TIM!F199="","",[1]TIM!F199)</f>
        <v/>
      </c>
      <c r="W199" s="1" t="str">
        <f t="shared" si="61"/>
        <v/>
      </c>
      <c r="X199" s="1">
        <f t="shared" si="62"/>
        <v>0</v>
      </c>
      <c r="AI199" s="1">
        <f>IF([1]TIM!P199=[1]TIM!P199,[1]TIM!P199,"")</f>
        <v>0</v>
      </c>
      <c r="AJ199" s="1" t="str">
        <f t="shared" si="63"/>
        <v/>
      </c>
      <c r="AK199" s="1" t="str">
        <f t="shared" si="64"/>
        <v>0</v>
      </c>
      <c r="AL199" s="1" t="str">
        <f t="shared" si="65"/>
        <v>0</v>
      </c>
      <c r="AM199" s="1">
        <f t="shared" si="66"/>
        <v>543</v>
      </c>
      <c r="AN199" s="1" t="str">
        <f t="shared" si="67"/>
        <v>/0/543</v>
      </c>
      <c r="AP199" s="1">
        <f>IF([1]TIM!O199=[1]TIM!O199,[1]TIM!O199,"")</f>
        <v>0</v>
      </c>
      <c r="AQ199" s="1" t="str">
        <f t="shared" si="68"/>
        <v/>
      </c>
      <c r="AR199" s="1" t="str">
        <f t="shared" si="69"/>
        <v>0</v>
      </c>
      <c r="AS199" s="1" t="str">
        <f t="shared" si="70"/>
        <v>0</v>
      </c>
      <c r="AT199" s="1">
        <f t="shared" si="71"/>
        <v>543</v>
      </c>
      <c r="AU199" s="1" t="str">
        <f t="shared" si="72"/>
        <v>/0/543</v>
      </c>
    </row>
    <row r="200" spans="2:47" x14ac:dyDescent="0.3">
      <c r="B200" s="5">
        <v>208</v>
      </c>
      <c r="C200" s="6" t="s">
        <v>738</v>
      </c>
      <c r="D200" s="6" t="s">
        <v>739</v>
      </c>
      <c r="E200" s="2"/>
      <c r="F200" s="5">
        <v>246</v>
      </c>
      <c r="G200" s="7" t="s">
        <v>740</v>
      </c>
      <c r="H200" s="7" t="s">
        <v>741</v>
      </c>
      <c r="K200" s="1" t="str">
        <f t="shared" si="56"/>
        <v xml:space="preserve"> </v>
      </c>
      <c r="L200" s="1">
        <f t="shared" si="57"/>
        <v>214</v>
      </c>
      <c r="P200" s="1" t="str">
        <f t="shared" si="58"/>
        <v/>
      </c>
      <c r="Q200" s="1" t="str">
        <f t="shared" si="59"/>
        <v>THE DEMOCRATIC REPUBLIC OF TIMOR-LESTE</v>
      </c>
      <c r="R200" s="1">
        <f t="shared" si="60"/>
        <v>261</v>
      </c>
      <c r="V200" s="1" t="str">
        <f>IF([1]TIM!F200="","",[1]TIM!F200)</f>
        <v/>
      </c>
      <c r="W200" s="1" t="str">
        <f t="shared" si="61"/>
        <v/>
      </c>
      <c r="X200" s="1">
        <f t="shared" si="62"/>
        <v>0</v>
      </c>
      <c r="AI200" s="1">
        <f>IF([1]TIM!P200=[1]TIM!P200,[1]TIM!P200,"")</f>
        <v>0</v>
      </c>
      <c r="AJ200" s="1" t="str">
        <f t="shared" si="63"/>
        <v/>
      </c>
      <c r="AK200" s="1" t="str">
        <f t="shared" si="64"/>
        <v>0</v>
      </c>
      <c r="AL200" s="1" t="str">
        <f t="shared" si="65"/>
        <v>0</v>
      </c>
      <c r="AM200" s="1">
        <f t="shared" si="66"/>
        <v>543</v>
      </c>
      <c r="AN200" s="1" t="str">
        <f t="shared" si="67"/>
        <v>/0/543</v>
      </c>
      <c r="AP200" s="1">
        <f>IF([1]TIM!O200=[1]TIM!O200,[1]TIM!O200,"")</f>
        <v>0</v>
      </c>
      <c r="AQ200" s="1" t="str">
        <f t="shared" si="68"/>
        <v/>
      </c>
      <c r="AR200" s="1" t="str">
        <f t="shared" si="69"/>
        <v>0</v>
      </c>
      <c r="AS200" s="1" t="str">
        <f t="shared" si="70"/>
        <v>0</v>
      </c>
      <c r="AT200" s="1">
        <f t="shared" si="71"/>
        <v>543</v>
      </c>
      <c r="AU200" s="1" t="str">
        <f t="shared" si="72"/>
        <v>/0/543</v>
      </c>
    </row>
    <row r="201" spans="2:47" x14ac:dyDescent="0.3">
      <c r="B201" s="5">
        <v>209</v>
      </c>
      <c r="C201" s="6" t="s">
        <v>742</v>
      </c>
      <c r="D201" s="6" t="s">
        <v>743</v>
      </c>
      <c r="E201" s="2"/>
      <c r="F201" s="5">
        <v>247</v>
      </c>
      <c r="G201" s="7" t="s">
        <v>744</v>
      </c>
      <c r="H201" s="7" t="s">
        <v>745</v>
      </c>
      <c r="K201" s="1" t="str">
        <f t="shared" si="56"/>
        <v>UKRAINE</v>
      </c>
      <c r="L201" s="1">
        <f t="shared" si="57"/>
        <v>216</v>
      </c>
      <c r="P201" s="1" t="str">
        <f t="shared" si="58"/>
        <v/>
      </c>
      <c r="Q201" s="1" t="str">
        <f t="shared" si="59"/>
        <v>SERBIA AND MONTENEGRO</v>
      </c>
      <c r="R201" s="1">
        <f t="shared" si="60"/>
        <v>263</v>
      </c>
      <c r="V201" s="1" t="str">
        <f>IF([1]TIM!F201="","",[1]TIM!F201)</f>
        <v/>
      </c>
      <c r="W201" s="1" t="str">
        <f t="shared" si="61"/>
        <v/>
      </c>
      <c r="X201" s="1">
        <f t="shared" si="62"/>
        <v>0</v>
      </c>
      <c r="AI201" s="1">
        <f>IF([1]TIM!P201=[1]TIM!P201,[1]TIM!P201,"")</f>
        <v>0</v>
      </c>
      <c r="AJ201" s="1" t="str">
        <f t="shared" si="63"/>
        <v/>
      </c>
      <c r="AK201" s="1" t="str">
        <f t="shared" si="64"/>
        <v>0</v>
      </c>
      <c r="AL201" s="1" t="str">
        <f t="shared" si="65"/>
        <v>0</v>
      </c>
      <c r="AM201" s="1">
        <f t="shared" si="66"/>
        <v>543</v>
      </c>
      <c r="AN201" s="1" t="str">
        <f t="shared" si="67"/>
        <v>/0/543</v>
      </c>
      <c r="AP201" s="1">
        <f>IF([1]TIM!O201=[1]TIM!O201,[1]TIM!O201,"")</f>
        <v>0</v>
      </c>
      <c r="AQ201" s="1" t="str">
        <f t="shared" si="68"/>
        <v/>
      </c>
      <c r="AR201" s="1" t="str">
        <f t="shared" si="69"/>
        <v>0</v>
      </c>
      <c r="AS201" s="1" t="str">
        <f t="shared" si="70"/>
        <v>0</v>
      </c>
      <c r="AT201" s="1">
        <f t="shared" si="71"/>
        <v>543</v>
      </c>
      <c r="AU201" s="1" t="str">
        <f t="shared" si="72"/>
        <v>/0/543</v>
      </c>
    </row>
    <row r="202" spans="2:47" x14ac:dyDescent="0.3">
      <c r="B202" s="5">
        <v>212</v>
      </c>
      <c r="C202" s="6" t="s">
        <v>746</v>
      </c>
      <c r="D202" s="6" t="s">
        <v>279</v>
      </c>
      <c r="E202" s="2"/>
      <c r="F202" s="5">
        <v>260</v>
      </c>
      <c r="G202" s="7" t="s">
        <v>747</v>
      </c>
      <c r="H202" s="7" t="s">
        <v>748</v>
      </c>
      <c r="K202" s="1" t="str">
        <f t="shared" si="56"/>
        <v>HONGKONG</v>
      </c>
      <c r="L202" s="1">
        <f t="shared" si="57"/>
        <v>219</v>
      </c>
      <c r="P202" s="1" t="str">
        <f t="shared" si="58"/>
        <v/>
      </c>
      <c r="Q202" s="1" t="str">
        <f t="shared" si="59"/>
        <v>SERBIA</v>
      </c>
      <c r="R202" s="1">
        <f t="shared" si="60"/>
        <v>267</v>
      </c>
      <c r="V202" s="1" t="str">
        <f>IF([1]TIM!F202="","",[1]TIM!F202)</f>
        <v/>
      </c>
      <c r="W202" s="1" t="str">
        <f t="shared" si="61"/>
        <v/>
      </c>
      <c r="X202" s="1">
        <f t="shared" si="62"/>
        <v>0</v>
      </c>
      <c r="AI202" s="1">
        <f>IF([1]TIM!P202=[1]TIM!P202,[1]TIM!P202,"")</f>
        <v>0</v>
      </c>
      <c r="AJ202" s="1" t="str">
        <f t="shared" si="63"/>
        <v/>
      </c>
      <c r="AK202" s="1" t="str">
        <f t="shared" si="64"/>
        <v>0</v>
      </c>
      <c r="AL202" s="1" t="str">
        <f t="shared" si="65"/>
        <v>0</v>
      </c>
      <c r="AM202" s="1">
        <f t="shared" si="66"/>
        <v>543</v>
      </c>
      <c r="AN202" s="1" t="str">
        <f t="shared" si="67"/>
        <v>/0/543</v>
      </c>
      <c r="AP202" s="1">
        <f>IF([1]TIM!O202=[1]TIM!O202,[1]TIM!O202,"")</f>
        <v>0</v>
      </c>
      <c r="AQ202" s="1" t="str">
        <f t="shared" si="68"/>
        <v/>
      </c>
      <c r="AR202" s="1" t="str">
        <f t="shared" si="69"/>
        <v>0</v>
      </c>
      <c r="AS202" s="1" t="str">
        <f t="shared" si="70"/>
        <v>0</v>
      </c>
      <c r="AT202" s="1">
        <f t="shared" si="71"/>
        <v>543</v>
      </c>
      <c r="AU202" s="1" t="str">
        <f t="shared" si="72"/>
        <v>/0/543</v>
      </c>
    </row>
    <row r="203" spans="2:47" x14ac:dyDescent="0.3">
      <c r="B203" s="5">
        <v>214</v>
      </c>
      <c r="C203" s="6" t="s">
        <v>749</v>
      </c>
      <c r="D203" s="6" t="s">
        <v>279</v>
      </c>
      <c r="E203" s="2"/>
      <c r="F203" s="5">
        <v>261</v>
      </c>
      <c r="G203" s="7" t="s">
        <v>750</v>
      </c>
      <c r="H203" s="7" t="s">
        <v>751</v>
      </c>
      <c r="K203" s="1" t="str">
        <f t="shared" si="56"/>
        <v>CHINA (TAIWAN)</v>
      </c>
      <c r="L203" s="1">
        <f t="shared" si="57"/>
        <v>220</v>
      </c>
      <c r="P203" s="1" t="str">
        <f t="shared" si="58"/>
        <v/>
      </c>
      <c r="Q203" s="1" t="str">
        <f t="shared" si="59"/>
        <v>MONTENEGRO</v>
      </c>
      <c r="R203" s="1">
        <f t="shared" si="60"/>
        <v>268</v>
      </c>
      <c r="V203" s="1" t="str">
        <f>IF([1]TIM!F203="","",[1]TIM!F203)</f>
        <v/>
      </c>
      <c r="W203" s="1" t="str">
        <f t="shared" si="61"/>
        <v/>
      </c>
      <c r="X203" s="1">
        <f t="shared" si="62"/>
        <v>0</v>
      </c>
      <c r="AI203" s="1">
        <f>IF([1]TIM!P203=[1]TIM!P203,[1]TIM!P203,"")</f>
        <v>0</v>
      </c>
      <c r="AJ203" s="1" t="str">
        <f t="shared" si="63"/>
        <v/>
      </c>
      <c r="AK203" s="1" t="str">
        <f t="shared" si="64"/>
        <v>0</v>
      </c>
      <c r="AL203" s="1" t="str">
        <f t="shared" si="65"/>
        <v>0</v>
      </c>
      <c r="AM203" s="1">
        <f t="shared" si="66"/>
        <v>543</v>
      </c>
      <c r="AN203" s="1" t="str">
        <f t="shared" si="67"/>
        <v>/0/543</v>
      </c>
      <c r="AP203" s="1">
        <f>IF([1]TIM!O203=[1]TIM!O203,[1]TIM!O203,"")</f>
        <v>0</v>
      </c>
      <c r="AQ203" s="1" t="str">
        <f t="shared" si="68"/>
        <v/>
      </c>
      <c r="AR203" s="1" t="str">
        <f t="shared" si="69"/>
        <v>0</v>
      </c>
      <c r="AS203" s="1" t="str">
        <f t="shared" si="70"/>
        <v>0</v>
      </c>
      <c r="AT203" s="1">
        <f t="shared" si="71"/>
        <v>543</v>
      </c>
      <c r="AU203" s="1" t="str">
        <f t="shared" si="72"/>
        <v>/0/543</v>
      </c>
    </row>
    <row r="204" spans="2:47" x14ac:dyDescent="0.3">
      <c r="B204" s="5">
        <v>216</v>
      </c>
      <c r="C204" s="6" t="s">
        <v>656</v>
      </c>
      <c r="D204" s="6" t="s">
        <v>657</v>
      </c>
      <c r="E204" s="2"/>
      <c r="F204" s="5">
        <v>263</v>
      </c>
      <c r="G204" s="7" t="s">
        <v>752</v>
      </c>
      <c r="H204" s="7" t="s">
        <v>753</v>
      </c>
      <c r="K204" s="1" t="str">
        <f t="shared" si="56"/>
        <v>CROATIA</v>
      </c>
      <c r="L204" s="1">
        <f t="shared" si="57"/>
        <v>221</v>
      </c>
      <c r="P204" s="1" t="str">
        <f t="shared" si="58"/>
        <v/>
      </c>
      <c r="Q204" s="1" t="str">
        <f t="shared" si="59"/>
        <v>ARUBA</v>
      </c>
      <c r="R204" s="1">
        <f t="shared" si="60"/>
        <v>269</v>
      </c>
      <c r="V204" s="1" t="str">
        <f>IF([1]TIM!F204="","",[1]TIM!F204)</f>
        <v/>
      </c>
      <c r="W204" s="1" t="str">
        <f t="shared" si="61"/>
        <v/>
      </c>
      <c r="X204" s="1">
        <f t="shared" si="62"/>
        <v>0</v>
      </c>
      <c r="AI204" s="1">
        <f>IF([1]TIM!P204=[1]TIM!P204,[1]TIM!P204,"")</f>
        <v>0</v>
      </c>
      <c r="AJ204" s="1" t="str">
        <f t="shared" si="63"/>
        <v/>
      </c>
      <c r="AK204" s="1" t="str">
        <f t="shared" si="64"/>
        <v>0</v>
      </c>
      <c r="AL204" s="1" t="str">
        <f t="shared" si="65"/>
        <v>0</v>
      </c>
      <c r="AM204" s="1">
        <f t="shared" si="66"/>
        <v>543</v>
      </c>
      <c r="AN204" s="1" t="str">
        <f t="shared" si="67"/>
        <v>/0/543</v>
      </c>
      <c r="AP204" s="1">
        <f>IF([1]TIM!O204=[1]TIM!O204,[1]TIM!O204,"")</f>
        <v>0</v>
      </c>
      <c r="AQ204" s="1" t="str">
        <f t="shared" si="68"/>
        <v/>
      </c>
      <c r="AR204" s="1" t="str">
        <f t="shared" si="69"/>
        <v>0</v>
      </c>
      <c r="AS204" s="1" t="str">
        <f t="shared" si="70"/>
        <v>0</v>
      </c>
      <c r="AT204" s="1">
        <f t="shared" si="71"/>
        <v>543</v>
      </c>
      <c r="AU204" s="1" t="str">
        <f t="shared" si="72"/>
        <v>/0/543</v>
      </c>
    </row>
    <row r="205" spans="2:47" x14ac:dyDescent="0.3">
      <c r="B205" s="5">
        <v>219</v>
      </c>
      <c r="C205" s="6" t="s">
        <v>754</v>
      </c>
      <c r="D205" s="6" t="s">
        <v>755</v>
      </c>
      <c r="E205" s="2"/>
      <c r="F205" s="5">
        <v>267</v>
      </c>
      <c r="G205" s="7" t="s">
        <v>756</v>
      </c>
      <c r="H205" s="7" t="s">
        <v>757</v>
      </c>
      <c r="K205" s="1" t="str">
        <f t="shared" si="56"/>
        <v>KAZAKH</v>
      </c>
      <c r="L205" s="1">
        <f t="shared" si="57"/>
        <v>223</v>
      </c>
      <c r="P205" s="1" t="str">
        <f t="shared" si="58"/>
        <v/>
      </c>
      <c r="Q205" s="1" t="str">
        <f t="shared" si="59"/>
        <v>Republic of Cabo Verde</v>
      </c>
      <c r="R205" s="1">
        <f t="shared" si="60"/>
        <v>270</v>
      </c>
      <c r="V205" s="1" t="str">
        <f>IF([1]TIM!F205="","",[1]TIM!F205)</f>
        <v/>
      </c>
      <c r="W205" s="1" t="str">
        <f t="shared" si="61"/>
        <v/>
      </c>
      <c r="X205" s="1">
        <f t="shared" si="62"/>
        <v>0</v>
      </c>
      <c r="AI205" s="1">
        <f>IF([1]TIM!P205=[1]TIM!P205,[1]TIM!P205,"")</f>
        <v>0</v>
      </c>
      <c r="AJ205" s="1" t="str">
        <f t="shared" si="63"/>
        <v/>
      </c>
      <c r="AK205" s="1" t="str">
        <f t="shared" si="64"/>
        <v>0</v>
      </c>
      <c r="AL205" s="1" t="str">
        <f t="shared" si="65"/>
        <v>0</v>
      </c>
      <c r="AM205" s="1">
        <f t="shared" si="66"/>
        <v>543</v>
      </c>
      <c r="AN205" s="1" t="str">
        <f t="shared" si="67"/>
        <v>/0/543</v>
      </c>
      <c r="AP205" s="1">
        <f>IF([1]TIM!O205=[1]TIM!O205,[1]TIM!O205,"")</f>
        <v>0</v>
      </c>
      <c r="AQ205" s="1" t="str">
        <f t="shared" si="68"/>
        <v/>
      </c>
      <c r="AR205" s="1" t="str">
        <f t="shared" si="69"/>
        <v>0</v>
      </c>
      <c r="AS205" s="1" t="str">
        <f t="shared" si="70"/>
        <v>0</v>
      </c>
      <c r="AT205" s="1">
        <f t="shared" si="71"/>
        <v>543</v>
      </c>
      <c r="AU205" s="1" t="str">
        <f t="shared" si="72"/>
        <v>/0/543</v>
      </c>
    </row>
    <row r="206" spans="2:47" x14ac:dyDescent="0.3">
      <c r="B206" s="5">
        <v>220</v>
      </c>
      <c r="C206" s="6" t="s">
        <v>758</v>
      </c>
      <c r="D206" s="6" t="s">
        <v>660</v>
      </c>
      <c r="E206" s="2"/>
      <c r="F206" s="5">
        <v>268</v>
      </c>
      <c r="G206" s="7" t="s">
        <v>759</v>
      </c>
      <c r="H206" s="7" t="s">
        <v>760</v>
      </c>
      <c r="K206" s="1" t="str">
        <f t="shared" si="56"/>
        <v>ARMENIAN</v>
      </c>
      <c r="L206" s="1">
        <f t="shared" si="57"/>
        <v>224</v>
      </c>
      <c r="P206" s="1" t="str">
        <f t="shared" si="58"/>
        <v/>
      </c>
      <c r="Q206" s="1" t="str">
        <f t="shared" si="59"/>
        <v>Republic of Kosovo</v>
      </c>
      <c r="R206" s="1">
        <f t="shared" si="60"/>
        <v>271</v>
      </c>
      <c r="V206" s="1" t="str">
        <f>IF([1]TIM!F206="","",[1]TIM!F206)</f>
        <v/>
      </c>
      <c r="W206" s="1" t="str">
        <f t="shared" si="61"/>
        <v/>
      </c>
      <c r="X206" s="1">
        <f t="shared" si="62"/>
        <v>0</v>
      </c>
      <c r="AI206" s="1">
        <f>IF([1]TIM!P206=[1]TIM!P206,[1]TIM!P206,"")</f>
        <v>0</v>
      </c>
      <c r="AJ206" s="1" t="str">
        <f t="shared" si="63"/>
        <v/>
      </c>
      <c r="AK206" s="1" t="str">
        <f t="shared" si="64"/>
        <v>0</v>
      </c>
      <c r="AL206" s="1" t="str">
        <f t="shared" si="65"/>
        <v>0</v>
      </c>
      <c r="AM206" s="1">
        <f t="shared" si="66"/>
        <v>543</v>
      </c>
      <c r="AN206" s="1" t="str">
        <f t="shared" si="67"/>
        <v>/0/543</v>
      </c>
      <c r="AP206" s="1">
        <f>IF([1]TIM!O206=[1]TIM!O206,[1]TIM!O206,"")</f>
        <v>0</v>
      </c>
      <c r="AQ206" s="1" t="str">
        <f t="shared" si="68"/>
        <v/>
      </c>
      <c r="AR206" s="1" t="str">
        <f t="shared" si="69"/>
        <v>0</v>
      </c>
      <c r="AS206" s="1" t="str">
        <f t="shared" si="70"/>
        <v>0</v>
      </c>
      <c r="AT206" s="1">
        <f t="shared" si="71"/>
        <v>543</v>
      </c>
      <c r="AU206" s="1" t="str">
        <f t="shared" si="72"/>
        <v>/0/543</v>
      </c>
    </row>
    <row r="207" spans="2:47" x14ac:dyDescent="0.3">
      <c r="B207" s="5">
        <v>221</v>
      </c>
      <c r="C207" s="6" t="s">
        <v>761</v>
      </c>
      <c r="D207" s="6" t="s">
        <v>762</v>
      </c>
      <c r="E207" s="2"/>
      <c r="F207" s="5">
        <v>269</v>
      </c>
      <c r="G207" s="7" t="s">
        <v>763</v>
      </c>
      <c r="H207" s="7" t="s">
        <v>764</v>
      </c>
      <c r="K207" s="1" t="str">
        <f t="shared" si="56"/>
        <v>AZERBAIJANI</v>
      </c>
      <c r="L207" s="1">
        <f t="shared" si="57"/>
        <v>225</v>
      </c>
      <c r="P207" s="1" t="str">
        <f t="shared" si="58"/>
        <v/>
      </c>
      <c r="Q207" s="1" t="str">
        <f t="shared" si="59"/>
        <v>Republic of South Sudan</v>
      </c>
      <c r="R207" s="1">
        <f t="shared" si="60"/>
        <v>272</v>
      </c>
      <c r="V207" s="1" t="str">
        <f>IF([1]TIM!F207="","",[1]TIM!F207)</f>
        <v/>
      </c>
      <c r="W207" s="1" t="str">
        <f t="shared" si="61"/>
        <v/>
      </c>
      <c r="X207" s="1">
        <f t="shared" si="62"/>
        <v>0</v>
      </c>
      <c r="AI207" s="1">
        <f>IF([1]TIM!P207=[1]TIM!P207,[1]TIM!P207,"")</f>
        <v>0</v>
      </c>
      <c r="AJ207" s="1" t="str">
        <f t="shared" si="63"/>
        <v/>
      </c>
      <c r="AK207" s="1" t="str">
        <f t="shared" si="64"/>
        <v>0</v>
      </c>
      <c r="AL207" s="1" t="str">
        <f t="shared" si="65"/>
        <v>0</v>
      </c>
      <c r="AM207" s="1">
        <f t="shared" si="66"/>
        <v>543</v>
      </c>
      <c r="AN207" s="1" t="str">
        <f t="shared" si="67"/>
        <v>/0/543</v>
      </c>
      <c r="AP207" s="1">
        <f>IF([1]TIM!O207=[1]TIM!O207,[1]TIM!O207,"")</f>
        <v>0</v>
      </c>
      <c r="AQ207" s="1" t="str">
        <f t="shared" si="68"/>
        <v/>
      </c>
      <c r="AR207" s="1" t="str">
        <f t="shared" si="69"/>
        <v>0</v>
      </c>
      <c r="AS207" s="1" t="str">
        <f t="shared" si="70"/>
        <v>0</v>
      </c>
      <c r="AT207" s="1">
        <f t="shared" si="71"/>
        <v>543</v>
      </c>
      <c r="AU207" s="1" t="str">
        <f t="shared" si="72"/>
        <v>/0/543</v>
      </c>
    </row>
    <row r="208" spans="2:47" x14ac:dyDescent="0.3">
      <c r="B208" s="5">
        <v>223</v>
      </c>
      <c r="C208" s="6" t="s">
        <v>765</v>
      </c>
      <c r="D208" s="6" t="s">
        <v>766</v>
      </c>
      <c r="E208" s="2"/>
      <c r="F208" s="5">
        <v>270</v>
      </c>
      <c r="G208" s="7" t="s">
        <v>767</v>
      </c>
      <c r="H208" s="7" t="s">
        <v>768</v>
      </c>
      <c r="K208" s="1" t="str">
        <f t="shared" si="56"/>
        <v>GEORGIAN</v>
      </c>
      <c r="L208" s="1">
        <f t="shared" si="57"/>
        <v>226</v>
      </c>
      <c r="P208" s="1" t="str">
        <f t="shared" si="58"/>
        <v/>
      </c>
      <c r="Q208" s="1" t="str">
        <f t="shared" si="59"/>
        <v>HONG KONG</v>
      </c>
      <c r="R208" s="1">
        <f t="shared" si="60"/>
        <v>931</v>
      </c>
      <c r="V208" s="1" t="str">
        <f>IF([1]TIM!F208="","",[1]TIM!F208)</f>
        <v/>
      </c>
      <c r="W208" s="1" t="str">
        <f t="shared" si="61"/>
        <v/>
      </c>
      <c r="X208" s="1">
        <f t="shared" si="62"/>
        <v>0</v>
      </c>
      <c r="AI208" s="1">
        <f>IF([1]TIM!P208=[1]TIM!P208,[1]TIM!P208,"")</f>
        <v>0</v>
      </c>
      <c r="AJ208" s="1" t="str">
        <f t="shared" si="63"/>
        <v/>
      </c>
      <c r="AK208" s="1" t="str">
        <f t="shared" si="64"/>
        <v>0</v>
      </c>
      <c r="AL208" s="1" t="str">
        <f t="shared" si="65"/>
        <v>0</v>
      </c>
      <c r="AM208" s="1">
        <f t="shared" si="66"/>
        <v>543</v>
      </c>
      <c r="AN208" s="1" t="str">
        <f t="shared" si="67"/>
        <v>/0/543</v>
      </c>
      <c r="AP208" s="1">
        <f>IF([1]TIM!O208=[1]TIM!O208,[1]TIM!O208,"")</f>
        <v>0</v>
      </c>
      <c r="AQ208" s="1" t="str">
        <f t="shared" si="68"/>
        <v/>
      </c>
      <c r="AR208" s="1" t="str">
        <f t="shared" si="69"/>
        <v>0</v>
      </c>
      <c r="AS208" s="1" t="str">
        <f t="shared" si="70"/>
        <v>0</v>
      </c>
      <c r="AT208" s="1">
        <f t="shared" si="71"/>
        <v>543</v>
      </c>
      <c r="AU208" s="1" t="str">
        <f t="shared" si="72"/>
        <v>/0/543</v>
      </c>
    </row>
    <row r="209" spans="2:47" x14ac:dyDescent="0.3">
      <c r="B209" s="5">
        <v>224</v>
      </c>
      <c r="C209" s="6" t="s">
        <v>667</v>
      </c>
      <c r="D209" s="6" t="s">
        <v>769</v>
      </c>
      <c r="E209" s="2"/>
      <c r="F209" s="5">
        <v>271</v>
      </c>
      <c r="G209" s="7" t="s">
        <v>770</v>
      </c>
      <c r="H209" s="7" t="s">
        <v>771</v>
      </c>
      <c r="K209" s="1" t="str">
        <f t="shared" si="56"/>
        <v>KYRGYZ</v>
      </c>
      <c r="L209" s="1">
        <f t="shared" si="57"/>
        <v>227</v>
      </c>
      <c r="V209" s="1" t="str">
        <f>IF([1]TIM!F209="","",[1]TIM!F209)</f>
        <v/>
      </c>
      <c r="W209" s="1" t="str">
        <f t="shared" si="61"/>
        <v/>
      </c>
      <c r="X209" s="1">
        <f t="shared" si="62"/>
        <v>0</v>
      </c>
      <c r="AI209" s="1">
        <f>IF([1]TIM!P209=[1]TIM!P209,[1]TIM!P209,"")</f>
        <v>0</v>
      </c>
      <c r="AJ209" s="1" t="str">
        <f t="shared" si="63"/>
        <v/>
      </c>
      <c r="AK209" s="1" t="str">
        <f t="shared" si="64"/>
        <v>0</v>
      </c>
      <c r="AL209" s="1" t="str">
        <f t="shared" si="65"/>
        <v>0</v>
      </c>
      <c r="AM209" s="1">
        <f t="shared" si="66"/>
        <v>543</v>
      </c>
      <c r="AN209" s="1" t="str">
        <f t="shared" si="67"/>
        <v>/0/543</v>
      </c>
      <c r="AP209" s="1">
        <f>IF([1]TIM!O209=[1]TIM!O209,[1]TIM!O209,"")</f>
        <v>0</v>
      </c>
      <c r="AQ209" s="1" t="str">
        <f t="shared" si="68"/>
        <v/>
      </c>
      <c r="AR209" s="1" t="str">
        <f t="shared" si="69"/>
        <v>0</v>
      </c>
      <c r="AS209" s="1" t="str">
        <f t="shared" si="70"/>
        <v>0</v>
      </c>
      <c r="AT209" s="1">
        <f t="shared" si="71"/>
        <v>543</v>
      </c>
      <c r="AU209" s="1" t="str">
        <f t="shared" si="72"/>
        <v>/0/543</v>
      </c>
    </row>
    <row r="210" spans="2:47" x14ac:dyDescent="0.3">
      <c r="B210" s="5">
        <v>225</v>
      </c>
      <c r="C210" s="6" t="s">
        <v>670</v>
      </c>
      <c r="D210" s="6" t="s">
        <v>772</v>
      </c>
      <c r="E210" s="2"/>
      <c r="F210" s="5">
        <v>272</v>
      </c>
      <c r="G210" s="7" t="s">
        <v>773</v>
      </c>
      <c r="H210" s="7" t="s">
        <v>774</v>
      </c>
      <c r="K210" s="1" t="str">
        <f t="shared" si="56"/>
        <v>TAJIK</v>
      </c>
      <c r="L210" s="1">
        <f t="shared" si="57"/>
        <v>228</v>
      </c>
      <c r="V210" s="1" t="str">
        <f>IF([1]TIM!F210="","",[1]TIM!F210)</f>
        <v/>
      </c>
      <c r="W210" s="1" t="str">
        <f t="shared" si="61"/>
        <v/>
      </c>
      <c r="X210" s="1">
        <f t="shared" si="62"/>
        <v>0</v>
      </c>
      <c r="AI210" s="1">
        <f>IF([1]TIM!P210=[1]TIM!P210,[1]TIM!P210,"")</f>
        <v>0</v>
      </c>
      <c r="AJ210" s="1" t="str">
        <f t="shared" si="63"/>
        <v/>
      </c>
      <c r="AK210" s="1" t="str">
        <f t="shared" si="64"/>
        <v>0</v>
      </c>
      <c r="AL210" s="1" t="str">
        <f t="shared" si="65"/>
        <v>0</v>
      </c>
      <c r="AM210" s="1">
        <f t="shared" si="66"/>
        <v>543</v>
      </c>
      <c r="AN210" s="1" t="str">
        <f t="shared" si="67"/>
        <v>/0/543</v>
      </c>
      <c r="AP210" s="1">
        <f>IF([1]TIM!O210=[1]TIM!O210,[1]TIM!O210,"")</f>
        <v>0</v>
      </c>
      <c r="AQ210" s="1" t="str">
        <f t="shared" si="68"/>
        <v/>
      </c>
      <c r="AR210" s="1" t="str">
        <f t="shared" si="69"/>
        <v>0</v>
      </c>
      <c r="AS210" s="1" t="str">
        <f t="shared" si="70"/>
        <v>0</v>
      </c>
      <c r="AT210" s="1">
        <f t="shared" si="71"/>
        <v>543</v>
      </c>
      <c r="AU210" s="1" t="str">
        <f t="shared" si="72"/>
        <v>/0/543</v>
      </c>
    </row>
    <row r="211" spans="2:47" x14ac:dyDescent="0.3">
      <c r="B211" s="5">
        <v>226</v>
      </c>
      <c r="C211" s="6" t="s">
        <v>672</v>
      </c>
      <c r="D211" s="6" t="s">
        <v>775</v>
      </c>
      <c r="E211" s="2"/>
      <c r="F211" s="5">
        <v>931</v>
      </c>
      <c r="G211" s="7" t="s">
        <v>776</v>
      </c>
      <c r="H211" s="7" t="s">
        <v>777</v>
      </c>
      <c r="K211" s="1" t="str">
        <f t="shared" si="56"/>
        <v>UZBEK</v>
      </c>
      <c r="L211" s="1">
        <f t="shared" si="57"/>
        <v>229</v>
      </c>
      <c r="V211" s="1" t="str">
        <f>IF([1]TIM!F211="","",[1]TIM!F211)</f>
        <v/>
      </c>
      <c r="W211" s="1" t="str">
        <f t="shared" si="61"/>
        <v/>
      </c>
      <c r="X211" s="1">
        <f t="shared" si="62"/>
        <v>0</v>
      </c>
      <c r="AI211" s="1">
        <f>IF([1]TIM!P211=[1]TIM!P211,[1]TIM!P211,"")</f>
        <v>0</v>
      </c>
      <c r="AJ211" s="1" t="str">
        <f t="shared" si="63"/>
        <v/>
      </c>
      <c r="AK211" s="1" t="str">
        <f t="shared" si="64"/>
        <v>0</v>
      </c>
      <c r="AL211" s="1" t="str">
        <f t="shared" si="65"/>
        <v>0</v>
      </c>
      <c r="AM211" s="1">
        <f t="shared" si="66"/>
        <v>543</v>
      </c>
      <c r="AN211" s="1" t="str">
        <f t="shared" si="67"/>
        <v>/0/543</v>
      </c>
      <c r="AP211" s="1">
        <f>IF([1]TIM!O211=[1]TIM!O211,[1]TIM!O211,"")</f>
        <v>0</v>
      </c>
      <c r="AQ211" s="1" t="str">
        <f t="shared" si="68"/>
        <v/>
      </c>
      <c r="AR211" s="1" t="str">
        <f t="shared" si="69"/>
        <v>0</v>
      </c>
      <c r="AS211" s="1" t="str">
        <f t="shared" si="70"/>
        <v>0</v>
      </c>
      <c r="AT211" s="1">
        <f t="shared" si="71"/>
        <v>543</v>
      </c>
      <c r="AU211" s="1" t="str">
        <f t="shared" si="72"/>
        <v>/0/543</v>
      </c>
    </row>
    <row r="212" spans="2:47" x14ac:dyDescent="0.3">
      <c r="B212" s="5">
        <v>227</v>
      </c>
      <c r="C212" s="6" t="s">
        <v>674</v>
      </c>
      <c r="D212" s="6" t="s">
        <v>778</v>
      </c>
      <c r="E212" s="2"/>
      <c r="F212" s="2"/>
      <c r="G212" s="2"/>
      <c r="H212" s="2"/>
      <c r="K212" s="1" t="str">
        <f t="shared" si="56"/>
        <v>THE MARSHALL ISLANDS</v>
      </c>
      <c r="L212" s="1">
        <f t="shared" si="57"/>
        <v>230</v>
      </c>
      <c r="V212" s="1" t="str">
        <f>IF([1]TIM!F212="","",[1]TIM!F212)</f>
        <v/>
      </c>
      <c r="W212" s="1" t="str">
        <f t="shared" si="61"/>
        <v/>
      </c>
      <c r="X212" s="1">
        <f t="shared" si="62"/>
        <v>0</v>
      </c>
      <c r="AI212" s="1">
        <f>IF([1]TIM!P212=[1]TIM!P212,[1]TIM!P212,"")</f>
        <v>0</v>
      </c>
      <c r="AJ212" s="1" t="str">
        <f t="shared" si="63"/>
        <v/>
      </c>
      <c r="AK212" s="1" t="str">
        <f t="shared" si="64"/>
        <v>0</v>
      </c>
      <c r="AL212" s="1" t="str">
        <f t="shared" si="65"/>
        <v>0</v>
      </c>
      <c r="AM212" s="1">
        <f t="shared" si="66"/>
        <v>543</v>
      </c>
      <c r="AN212" s="1" t="str">
        <f t="shared" si="67"/>
        <v>/0/543</v>
      </c>
      <c r="AP212" s="1">
        <f>IF([1]TIM!O212=[1]TIM!O212,[1]TIM!O212,"")</f>
        <v>0</v>
      </c>
      <c r="AQ212" s="1" t="str">
        <f t="shared" si="68"/>
        <v/>
      </c>
      <c r="AR212" s="1" t="str">
        <f t="shared" si="69"/>
        <v>0</v>
      </c>
      <c r="AS212" s="1" t="str">
        <f t="shared" si="70"/>
        <v>0</v>
      </c>
      <c r="AT212" s="1">
        <f t="shared" si="71"/>
        <v>543</v>
      </c>
      <c r="AU212" s="1" t="str">
        <f t="shared" si="72"/>
        <v>/0/543</v>
      </c>
    </row>
    <row r="213" spans="2:47" x14ac:dyDescent="0.3">
      <c r="B213" s="5">
        <v>228</v>
      </c>
      <c r="C213" s="6" t="s">
        <v>779</v>
      </c>
      <c r="D213" s="6" t="s">
        <v>780</v>
      </c>
      <c r="E213" s="2"/>
      <c r="F213" s="2"/>
      <c r="G213" s="2"/>
      <c r="H213" s="2"/>
      <c r="K213" s="1" t="str">
        <f t="shared" si="56"/>
        <v>MICRONESIA</v>
      </c>
      <c r="L213" s="1">
        <f t="shared" si="57"/>
        <v>231</v>
      </c>
      <c r="V213" s="1" t="str">
        <f>IF([1]TIM!F213="","",[1]TIM!F213)</f>
        <v/>
      </c>
      <c r="W213" s="1" t="str">
        <f t="shared" si="61"/>
        <v/>
      </c>
      <c r="X213" s="1">
        <f t="shared" si="62"/>
        <v>0</v>
      </c>
      <c r="AI213" s="1">
        <f>IF([1]TIM!P213=[1]TIM!P213,[1]TIM!P213,"")</f>
        <v>0</v>
      </c>
      <c r="AJ213" s="1" t="str">
        <f t="shared" si="63"/>
        <v/>
      </c>
      <c r="AK213" s="1" t="str">
        <f t="shared" si="64"/>
        <v>0</v>
      </c>
      <c r="AL213" s="1" t="str">
        <f t="shared" si="65"/>
        <v>0</v>
      </c>
      <c r="AM213" s="1">
        <f t="shared" si="66"/>
        <v>543</v>
      </c>
      <c r="AN213" s="1" t="str">
        <f t="shared" si="67"/>
        <v>/0/543</v>
      </c>
      <c r="AP213" s="1">
        <f>IF([1]TIM!O213=[1]TIM!O213,[1]TIM!O213,"")</f>
        <v>0</v>
      </c>
      <c r="AQ213" s="1" t="str">
        <f t="shared" si="68"/>
        <v/>
      </c>
      <c r="AR213" s="1" t="str">
        <f t="shared" si="69"/>
        <v>0</v>
      </c>
      <c r="AS213" s="1" t="str">
        <f t="shared" si="70"/>
        <v>0</v>
      </c>
      <c r="AT213" s="1">
        <f t="shared" si="71"/>
        <v>543</v>
      </c>
      <c r="AU213" s="1" t="str">
        <f t="shared" si="72"/>
        <v>/0/543</v>
      </c>
    </row>
    <row r="214" spans="2:47" x14ac:dyDescent="0.3">
      <c r="B214" s="5">
        <v>229</v>
      </c>
      <c r="C214" s="6" t="s">
        <v>781</v>
      </c>
      <c r="D214" s="6" t="s">
        <v>782</v>
      </c>
      <c r="E214" s="2"/>
      <c r="F214" s="2"/>
      <c r="G214" s="2"/>
      <c r="H214" s="2"/>
      <c r="K214" s="1" t="str">
        <f t="shared" si="56"/>
        <v>PALAU</v>
      </c>
      <c r="L214" s="1">
        <f t="shared" si="57"/>
        <v>232</v>
      </c>
      <c r="V214" s="1" t="str">
        <f>IF([1]TIM!F214="","",[1]TIM!F214)</f>
        <v/>
      </c>
      <c r="W214" s="1" t="str">
        <f t="shared" si="61"/>
        <v/>
      </c>
      <c r="X214" s="1">
        <f t="shared" si="62"/>
        <v>0</v>
      </c>
      <c r="AI214" s="1">
        <f>IF([1]TIM!P214=[1]TIM!P214,[1]TIM!P214,"")</f>
        <v>0</v>
      </c>
      <c r="AJ214" s="1" t="str">
        <f t="shared" si="63"/>
        <v/>
      </c>
      <c r="AK214" s="1" t="str">
        <f t="shared" si="64"/>
        <v>0</v>
      </c>
      <c r="AL214" s="1" t="str">
        <f t="shared" si="65"/>
        <v>0</v>
      </c>
      <c r="AM214" s="1">
        <f t="shared" si="66"/>
        <v>543</v>
      </c>
      <c r="AN214" s="1" t="str">
        <f t="shared" si="67"/>
        <v>/0/543</v>
      </c>
      <c r="AP214" s="1">
        <f>IF([1]TIM!O214=[1]TIM!O214,[1]TIM!O214,"")</f>
        <v>0</v>
      </c>
      <c r="AQ214" s="1" t="str">
        <f t="shared" si="68"/>
        <v/>
      </c>
      <c r="AR214" s="1" t="str">
        <f t="shared" si="69"/>
        <v>0</v>
      </c>
      <c r="AS214" s="1" t="str">
        <f t="shared" si="70"/>
        <v>0</v>
      </c>
      <c r="AT214" s="1">
        <f t="shared" si="71"/>
        <v>543</v>
      </c>
      <c r="AU214" s="1" t="str">
        <f t="shared" si="72"/>
        <v>/0/543</v>
      </c>
    </row>
    <row r="215" spans="2:47" x14ac:dyDescent="0.3">
      <c r="B215" s="5">
        <v>230</v>
      </c>
      <c r="C215" s="6" t="s">
        <v>682</v>
      </c>
      <c r="D215" s="6" t="s">
        <v>783</v>
      </c>
      <c r="E215" s="2"/>
      <c r="F215" s="2"/>
      <c r="G215" s="2"/>
      <c r="H215" s="2"/>
      <c r="K215" s="1" t="str">
        <f t="shared" si="56"/>
        <v>BELARUSIAN</v>
      </c>
      <c r="L215" s="1">
        <f t="shared" si="57"/>
        <v>233</v>
      </c>
      <c r="V215" s="1" t="str">
        <f>IF([1]TIM!F215="","",[1]TIM!F215)</f>
        <v/>
      </c>
      <c r="W215" s="1" t="str">
        <f t="shared" si="61"/>
        <v/>
      </c>
      <c r="X215" s="1">
        <f t="shared" si="62"/>
        <v>0</v>
      </c>
      <c r="AI215" s="1">
        <f>IF([1]TIM!P215=[1]TIM!P215,[1]TIM!P215,"")</f>
        <v>0</v>
      </c>
      <c r="AJ215" s="1" t="str">
        <f t="shared" si="63"/>
        <v/>
      </c>
      <c r="AK215" s="1" t="str">
        <f t="shared" si="64"/>
        <v>0</v>
      </c>
      <c r="AL215" s="1" t="str">
        <f t="shared" si="65"/>
        <v>0</v>
      </c>
      <c r="AM215" s="1">
        <f t="shared" si="66"/>
        <v>543</v>
      </c>
      <c r="AN215" s="1" t="str">
        <f t="shared" si="67"/>
        <v>/0/543</v>
      </c>
      <c r="AP215" s="1">
        <f>IF([1]TIM!O215=[1]TIM!O215,[1]TIM!O215,"")</f>
        <v>0</v>
      </c>
      <c r="AQ215" s="1" t="str">
        <f t="shared" si="68"/>
        <v/>
      </c>
      <c r="AR215" s="1" t="str">
        <f t="shared" si="69"/>
        <v>0</v>
      </c>
      <c r="AS215" s="1" t="str">
        <f t="shared" si="70"/>
        <v>0</v>
      </c>
      <c r="AT215" s="1">
        <f t="shared" si="71"/>
        <v>543</v>
      </c>
      <c r="AU215" s="1" t="str">
        <f t="shared" si="72"/>
        <v>/0/543</v>
      </c>
    </row>
    <row r="216" spans="2:47" x14ac:dyDescent="0.3">
      <c r="B216" s="5">
        <v>231</v>
      </c>
      <c r="C216" s="6" t="s">
        <v>685</v>
      </c>
      <c r="D216" s="6" t="s">
        <v>784</v>
      </c>
      <c r="E216" s="2"/>
      <c r="F216" s="2"/>
      <c r="G216" s="2"/>
      <c r="H216" s="2"/>
      <c r="K216" s="1" t="str">
        <f t="shared" si="56"/>
        <v>REPBLIC OF BOSNIA HERAEGO</v>
      </c>
      <c r="L216" s="1">
        <f t="shared" si="57"/>
        <v>234</v>
      </c>
      <c r="V216" s="1" t="str">
        <f>IF([1]TIM!F216="","",[1]TIM!F216)</f>
        <v/>
      </c>
      <c r="W216" s="1" t="str">
        <f t="shared" si="61"/>
        <v/>
      </c>
      <c r="X216" s="1">
        <f t="shared" si="62"/>
        <v>0</v>
      </c>
      <c r="AI216" s="1">
        <f>IF([1]TIM!P216=[1]TIM!P216,[1]TIM!P216,"")</f>
        <v>0</v>
      </c>
      <c r="AJ216" s="1" t="str">
        <f t="shared" si="63"/>
        <v/>
      </c>
      <c r="AK216" s="1" t="str">
        <f t="shared" si="64"/>
        <v>0</v>
      </c>
      <c r="AL216" s="1" t="str">
        <f t="shared" si="65"/>
        <v>0</v>
      </c>
      <c r="AM216" s="1">
        <f t="shared" si="66"/>
        <v>543</v>
      </c>
      <c r="AN216" s="1" t="str">
        <f t="shared" si="67"/>
        <v>/0/543</v>
      </c>
      <c r="AP216" s="1">
        <f>IF([1]TIM!O216=[1]TIM!O216,[1]TIM!O216,"")</f>
        <v>0</v>
      </c>
      <c r="AQ216" s="1" t="str">
        <f t="shared" si="68"/>
        <v/>
      </c>
      <c r="AR216" s="1" t="str">
        <f t="shared" si="69"/>
        <v>0</v>
      </c>
      <c r="AS216" s="1" t="str">
        <f t="shared" si="70"/>
        <v>0</v>
      </c>
      <c r="AT216" s="1">
        <f t="shared" si="71"/>
        <v>543</v>
      </c>
      <c r="AU216" s="1" t="str">
        <f t="shared" si="72"/>
        <v>/0/543</v>
      </c>
    </row>
    <row r="217" spans="2:47" x14ac:dyDescent="0.3">
      <c r="B217" s="5">
        <v>232</v>
      </c>
      <c r="C217" s="6" t="s">
        <v>688</v>
      </c>
      <c r="D217" s="6" t="s">
        <v>785</v>
      </c>
      <c r="E217" s="2"/>
      <c r="F217" s="2"/>
      <c r="G217" s="2"/>
      <c r="H217" s="2"/>
      <c r="K217" s="1" t="str">
        <f t="shared" si="56"/>
        <v>TURKMEN</v>
      </c>
      <c r="L217" s="1">
        <f t="shared" si="57"/>
        <v>235</v>
      </c>
      <c r="V217" s="1" t="str">
        <f>IF([1]TIM!F217="","",[1]TIM!F217)</f>
        <v/>
      </c>
      <c r="W217" s="1" t="str">
        <f t="shared" si="61"/>
        <v/>
      </c>
      <c r="X217" s="1">
        <f t="shared" si="62"/>
        <v>0</v>
      </c>
      <c r="AI217" s="1">
        <f>IF([1]TIM!P217=[1]TIM!P217,[1]TIM!P217,"")</f>
        <v>0</v>
      </c>
      <c r="AJ217" s="1" t="str">
        <f t="shared" si="63"/>
        <v/>
      </c>
      <c r="AK217" s="1" t="str">
        <f t="shared" si="64"/>
        <v>0</v>
      </c>
      <c r="AL217" s="1" t="str">
        <f t="shared" si="65"/>
        <v>0</v>
      </c>
      <c r="AM217" s="1">
        <f t="shared" si="66"/>
        <v>543</v>
      </c>
      <c r="AN217" s="1" t="str">
        <f t="shared" si="67"/>
        <v>/0/543</v>
      </c>
      <c r="AP217" s="1">
        <f>IF([1]TIM!O217=[1]TIM!O217,[1]TIM!O217,"")</f>
        <v>0</v>
      </c>
      <c r="AQ217" s="1" t="str">
        <f t="shared" si="68"/>
        <v/>
      </c>
      <c r="AR217" s="1" t="str">
        <f t="shared" si="69"/>
        <v>0</v>
      </c>
      <c r="AS217" s="1" t="str">
        <f t="shared" si="70"/>
        <v>0</v>
      </c>
      <c r="AT217" s="1">
        <f t="shared" si="71"/>
        <v>543</v>
      </c>
      <c r="AU217" s="1" t="str">
        <f t="shared" si="72"/>
        <v>/0/543</v>
      </c>
    </row>
    <row r="218" spans="2:47" x14ac:dyDescent="0.3">
      <c r="B218" s="5">
        <v>233</v>
      </c>
      <c r="C218" s="6" t="s">
        <v>691</v>
      </c>
      <c r="D218" s="6" t="s">
        <v>786</v>
      </c>
      <c r="E218" s="2"/>
      <c r="F218" s="2"/>
      <c r="G218" s="2"/>
      <c r="H218" s="2"/>
      <c r="K218" s="1" t="str">
        <f t="shared" si="56"/>
        <v>ESTONIAN</v>
      </c>
      <c r="L218" s="1">
        <f t="shared" si="57"/>
        <v>236</v>
      </c>
      <c r="V218" s="1" t="str">
        <f>IF([1]TIM!F218="","",[1]TIM!F218)</f>
        <v/>
      </c>
      <c r="W218" s="1" t="str">
        <f t="shared" si="61"/>
        <v/>
      </c>
      <c r="X218" s="1">
        <f t="shared" si="62"/>
        <v>0</v>
      </c>
      <c r="AI218" s="1">
        <f>IF([1]TIM!P218=[1]TIM!P218,[1]TIM!P218,"")</f>
        <v>0</v>
      </c>
      <c r="AJ218" s="1" t="str">
        <f t="shared" si="63"/>
        <v/>
      </c>
      <c r="AK218" s="1" t="str">
        <f t="shared" si="64"/>
        <v>0</v>
      </c>
      <c r="AL218" s="1" t="str">
        <f t="shared" si="65"/>
        <v>0</v>
      </c>
      <c r="AM218" s="1">
        <f t="shared" si="66"/>
        <v>543</v>
      </c>
      <c r="AN218" s="1" t="str">
        <f t="shared" si="67"/>
        <v>/0/543</v>
      </c>
      <c r="AP218" s="1">
        <f>IF([1]TIM!O218=[1]TIM!O218,[1]TIM!O218,"")</f>
        <v>0</v>
      </c>
      <c r="AQ218" s="1" t="str">
        <f t="shared" si="68"/>
        <v/>
      </c>
      <c r="AR218" s="1" t="str">
        <f t="shared" si="69"/>
        <v>0</v>
      </c>
      <c r="AS218" s="1" t="str">
        <f t="shared" si="70"/>
        <v>0</v>
      </c>
      <c r="AT218" s="1">
        <f t="shared" si="71"/>
        <v>543</v>
      </c>
      <c r="AU218" s="1" t="str">
        <f t="shared" si="72"/>
        <v>/0/543</v>
      </c>
    </row>
    <row r="219" spans="2:47" x14ac:dyDescent="0.3">
      <c r="B219" s="5">
        <v>234</v>
      </c>
      <c r="C219" s="6" t="s">
        <v>694</v>
      </c>
      <c r="D219" s="6" t="s">
        <v>787</v>
      </c>
      <c r="E219" s="2"/>
      <c r="F219" s="2"/>
      <c r="G219" s="2"/>
      <c r="H219" s="2"/>
      <c r="K219" s="1" t="str">
        <f t="shared" si="56"/>
        <v>LATVIAN</v>
      </c>
      <c r="L219" s="1">
        <f t="shared" si="57"/>
        <v>237</v>
      </c>
      <c r="V219" s="1" t="str">
        <f>IF([1]TIM!F219="","",[1]TIM!F219)</f>
        <v/>
      </c>
      <c r="W219" s="1" t="str">
        <f t="shared" si="61"/>
        <v/>
      </c>
      <c r="X219" s="1">
        <f t="shared" si="62"/>
        <v>0</v>
      </c>
      <c r="AI219" s="1">
        <f>IF([1]TIM!P219=[1]TIM!P219,[1]TIM!P219,"")</f>
        <v>0</v>
      </c>
      <c r="AJ219" s="1" t="str">
        <f t="shared" si="63"/>
        <v/>
      </c>
      <c r="AK219" s="1" t="str">
        <f t="shared" si="64"/>
        <v>0</v>
      </c>
      <c r="AL219" s="1" t="str">
        <f t="shared" si="65"/>
        <v>0</v>
      </c>
      <c r="AM219" s="1">
        <f t="shared" si="66"/>
        <v>543</v>
      </c>
      <c r="AN219" s="1" t="str">
        <f t="shared" si="67"/>
        <v>/0/543</v>
      </c>
      <c r="AP219" s="1">
        <f>IF([1]TIM!O219=[1]TIM!O219,[1]TIM!O219,"")</f>
        <v>0</v>
      </c>
      <c r="AQ219" s="1" t="str">
        <f t="shared" si="68"/>
        <v/>
      </c>
      <c r="AR219" s="1" t="str">
        <f t="shared" si="69"/>
        <v>0</v>
      </c>
      <c r="AS219" s="1" t="str">
        <f t="shared" si="70"/>
        <v>0</v>
      </c>
      <c r="AT219" s="1">
        <f t="shared" si="71"/>
        <v>543</v>
      </c>
      <c r="AU219" s="1" t="str">
        <f t="shared" si="72"/>
        <v>/0/543</v>
      </c>
    </row>
    <row r="220" spans="2:47" x14ac:dyDescent="0.3">
      <c r="B220" s="5">
        <v>235</v>
      </c>
      <c r="C220" s="6" t="s">
        <v>788</v>
      </c>
      <c r="D220" s="6" t="s">
        <v>789</v>
      </c>
      <c r="E220" s="2"/>
      <c r="F220" s="2"/>
      <c r="G220" s="2"/>
      <c r="H220" s="2"/>
      <c r="K220" s="1" t="str">
        <f t="shared" si="56"/>
        <v>LITHUANIAN</v>
      </c>
      <c r="L220" s="1">
        <f t="shared" si="57"/>
        <v>238</v>
      </c>
      <c r="V220" s="1" t="str">
        <f>IF([1]TIM!F220="","",[1]TIM!F220)</f>
        <v/>
      </c>
      <c r="W220" s="1" t="str">
        <f t="shared" si="61"/>
        <v/>
      </c>
      <c r="X220" s="1">
        <f t="shared" si="62"/>
        <v>0</v>
      </c>
      <c r="AI220" s="1">
        <f>IF([1]TIM!P220=[1]TIM!P220,[1]TIM!P220,"")</f>
        <v>0</v>
      </c>
      <c r="AJ220" s="1" t="str">
        <f t="shared" si="63"/>
        <v/>
      </c>
      <c r="AK220" s="1" t="str">
        <f t="shared" si="64"/>
        <v>0</v>
      </c>
      <c r="AL220" s="1" t="str">
        <f t="shared" si="65"/>
        <v>0</v>
      </c>
      <c r="AM220" s="1">
        <f t="shared" si="66"/>
        <v>543</v>
      </c>
      <c r="AN220" s="1" t="str">
        <f t="shared" si="67"/>
        <v>/0/543</v>
      </c>
      <c r="AP220" s="1">
        <f>IF([1]TIM!O220=[1]TIM!O220,[1]TIM!O220,"")</f>
        <v>0</v>
      </c>
      <c r="AQ220" s="1" t="str">
        <f t="shared" si="68"/>
        <v/>
      </c>
      <c r="AR220" s="1" t="str">
        <f t="shared" si="69"/>
        <v>0</v>
      </c>
      <c r="AS220" s="1" t="str">
        <f t="shared" si="70"/>
        <v>0</v>
      </c>
      <c r="AT220" s="1">
        <f t="shared" si="71"/>
        <v>543</v>
      </c>
      <c r="AU220" s="1" t="str">
        <f t="shared" si="72"/>
        <v>/0/543</v>
      </c>
    </row>
    <row r="221" spans="2:47" x14ac:dyDescent="0.3">
      <c r="B221" s="5">
        <v>236</v>
      </c>
      <c r="C221" s="6" t="s">
        <v>700</v>
      </c>
      <c r="D221" s="6" t="s">
        <v>790</v>
      </c>
      <c r="E221" s="2"/>
      <c r="F221" s="2"/>
      <c r="G221" s="2"/>
      <c r="H221" s="2"/>
      <c r="K221" s="1" t="str">
        <f t="shared" si="56"/>
        <v>MACEDONIA</v>
      </c>
      <c r="L221" s="1">
        <f t="shared" si="57"/>
        <v>239</v>
      </c>
      <c r="V221" s="1" t="str">
        <f>IF([1]TIM!F221="","",[1]TIM!F221)</f>
        <v/>
      </c>
      <c r="W221" s="1" t="str">
        <f t="shared" si="61"/>
        <v/>
      </c>
      <c r="X221" s="1">
        <f t="shared" si="62"/>
        <v>0</v>
      </c>
      <c r="AI221" s="1">
        <f>IF([1]TIM!P221=[1]TIM!P221,[1]TIM!P221,"")</f>
        <v>0</v>
      </c>
      <c r="AJ221" s="1" t="str">
        <f t="shared" si="63"/>
        <v/>
      </c>
      <c r="AK221" s="1" t="str">
        <f t="shared" si="64"/>
        <v>0</v>
      </c>
      <c r="AL221" s="1" t="str">
        <f t="shared" si="65"/>
        <v>0</v>
      </c>
      <c r="AM221" s="1">
        <f t="shared" si="66"/>
        <v>543</v>
      </c>
      <c r="AN221" s="1" t="str">
        <f t="shared" si="67"/>
        <v>/0/543</v>
      </c>
      <c r="AP221" s="1">
        <f>IF([1]TIM!O221=[1]TIM!O221,[1]TIM!O221,"")</f>
        <v>0</v>
      </c>
      <c r="AQ221" s="1" t="str">
        <f t="shared" si="68"/>
        <v/>
      </c>
      <c r="AR221" s="1" t="str">
        <f t="shared" si="69"/>
        <v>0</v>
      </c>
      <c r="AS221" s="1" t="str">
        <f t="shared" si="70"/>
        <v>0</v>
      </c>
      <c r="AT221" s="1">
        <f t="shared" si="71"/>
        <v>543</v>
      </c>
      <c r="AU221" s="1" t="str">
        <f t="shared" si="72"/>
        <v>/0/543</v>
      </c>
    </row>
    <row r="222" spans="2:47" x14ac:dyDescent="0.3">
      <c r="B222" s="5">
        <v>237</v>
      </c>
      <c r="C222" s="6" t="s">
        <v>704</v>
      </c>
      <c r="D222" s="6" t="s">
        <v>791</v>
      </c>
      <c r="E222" s="2"/>
      <c r="F222" s="2"/>
      <c r="G222" s="2"/>
      <c r="H222" s="2"/>
      <c r="K222" s="1" t="str">
        <f t="shared" si="56"/>
        <v>MOLDOVAN</v>
      </c>
      <c r="L222" s="1">
        <f t="shared" si="57"/>
        <v>240</v>
      </c>
      <c r="V222" s="1" t="str">
        <f>IF([1]TIM!F222="","",[1]TIM!F222)</f>
        <v/>
      </c>
      <c r="W222" s="1" t="str">
        <f t="shared" si="61"/>
        <v/>
      </c>
      <c r="X222" s="1">
        <f t="shared" si="62"/>
        <v>0</v>
      </c>
      <c r="AI222" s="1">
        <f>IF([1]TIM!P222=[1]TIM!P222,[1]TIM!P222,"")</f>
        <v>0</v>
      </c>
      <c r="AJ222" s="1" t="str">
        <f t="shared" si="63"/>
        <v/>
      </c>
      <c r="AK222" s="1" t="str">
        <f t="shared" si="64"/>
        <v>0</v>
      </c>
      <c r="AL222" s="1" t="str">
        <f t="shared" si="65"/>
        <v>0</v>
      </c>
      <c r="AM222" s="1">
        <f t="shared" si="66"/>
        <v>543</v>
      </c>
      <c r="AN222" s="1" t="str">
        <f t="shared" si="67"/>
        <v>/0/543</v>
      </c>
      <c r="AP222" s="1">
        <f>IF([1]TIM!O222=[1]TIM!O222,[1]TIM!O222,"")</f>
        <v>0</v>
      </c>
      <c r="AQ222" s="1" t="str">
        <f t="shared" si="68"/>
        <v/>
      </c>
      <c r="AR222" s="1" t="str">
        <f t="shared" si="69"/>
        <v>0</v>
      </c>
      <c r="AS222" s="1" t="str">
        <f t="shared" si="70"/>
        <v>0</v>
      </c>
      <c r="AT222" s="1">
        <f t="shared" si="71"/>
        <v>543</v>
      </c>
      <c r="AU222" s="1" t="str">
        <f t="shared" si="72"/>
        <v>/0/543</v>
      </c>
    </row>
    <row r="223" spans="2:47" x14ac:dyDescent="0.3">
      <c r="B223" s="5">
        <v>238</v>
      </c>
      <c r="C223" s="6" t="s">
        <v>708</v>
      </c>
      <c r="D223" s="6" t="s">
        <v>792</v>
      </c>
      <c r="E223" s="2"/>
      <c r="F223" s="2"/>
      <c r="G223" s="2"/>
      <c r="H223" s="2"/>
      <c r="K223" s="1" t="str">
        <f t="shared" si="56"/>
        <v>SLOVAK</v>
      </c>
      <c r="L223" s="1">
        <f t="shared" si="57"/>
        <v>241</v>
      </c>
      <c r="V223" s="1" t="str">
        <f>IF([1]TIM!F223="","",[1]TIM!F223)</f>
        <v/>
      </c>
      <c r="W223" s="1" t="str">
        <f t="shared" si="61"/>
        <v/>
      </c>
      <c r="X223" s="1">
        <f t="shared" si="62"/>
        <v>0</v>
      </c>
      <c r="AI223" s="1">
        <f>IF([1]TIM!P223=[1]TIM!P223,[1]TIM!P223,"")</f>
        <v>0</v>
      </c>
      <c r="AJ223" s="1" t="str">
        <f t="shared" si="63"/>
        <v/>
      </c>
      <c r="AK223" s="1" t="str">
        <f t="shared" si="64"/>
        <v>0</v>
      </c>
      <c r="AL223" s="1" t="str">
        <f t="shared" si="65"/>
        <v>0</v>
      </c>
      <c r="AM223" s="1">
        <f t="shared" si="66"/>
        <v>543</v>
      </c>
      <c r="AN223" s="1" t="str">
        <f t="shared" si="67"/>
        <v>/0/543</v>
      </c>
      <c r="AP223" s="1">
        <f>IF([1]TIM!O223=[1]TIM!O223,[1]TIM!O223,"")</f>
        <v>0</v>
      </c>
      <c r="AQ223" s="1" t="str">
        <f t="shared" si="68"/>
        <v/>
      </c>
      <c r="AR223" s="1" t="str">
        <f t="shared" si="69"/>
        <v>0</v>
      </c>
      <c r="AS223" s="1" t="str">
        <f t="shared" si="70"/>
        <v>0</v>
      </c>
      <c r="AT223" s="1">
        <f t="shared" si="71"/>
        <v>543</v>
      </c>
      <c r="AU223" s="1" t="str">
        <f t="shared" si="72"/>
        <v>/0/543</v>
      </c>
    </row>
    <row r="224" spans="2:47" x14ac:dyDescent="0.3">
      <c r="B224" s="5">
        <v>239</v>
      </c>
      <c r="C224" s="6" t="s">
        <v>712</v>
      </c>
      <c r="D224" s="6" t="s">
        <v>793</v>
      </c>
      <c r="E224" s="2"/>
      <c r="F224" s="2"/>
      <c r="G224" s="2"/>
      <c r="H224" s="2"/>
      <c r="K224" s="1" t="str">
        <f t="shared" si="56"/>
        <v>SLOVENE</v>
      </c>
      <c r="L224" s="1">
        <f t="shared" si="57"/>
        <v>242</v>
      </c>
      <c r="V224" s="1" t="str">
        <f>IF([1]TIM!F224="","",[1]TIM!F224)</f>
        <v/>
      </c>
      <c r="W224" s="1" t="str">
        <f t="shared" si="61"/>
        <v/>
      </c>
      <c r="X224" s="1">
        <f t="shared" si="62"/>
        <v>0</v>
      </c>
      <c r="AI224" s="1">
        <f>IF([1]TIM!P224=[1]TIM!P224,[1]TIM!P224,"")</f>
        <v>0</v>
      </c>
      <c r="AJ224" s="1" t="str">
        <f t="shared" si="63"/>
        <v/>
      </c>
      <c r="AK224" s="1" t="str">
        <f t="shared" si="64"/>
        <v>0</v>
      </c>
      <c r="AL224" s="1" t="str">
        <f t="shared" si="65"/>
        <v>0</v>
      </c>
      <c r="AM224" s="1">
        <f t="shared" si="66"/>
        <v>543</v>
      </c>
      <c r="AN224" s="1" t="str">
        <f t="shared" si="67"/>
        <v>/0/543</v>
      </c>
      <c r="AP224" s="1">
        <f>IF([1]TIM!O224=[1]TIM!O224,[1]TIM!O224,"")</f>
        <v>0</v>
      </c>
      <c r="AQ224" s="1" t="str">
        <f t="shared" si="68"/>
        <v/>
      </c>
      <c r="AR224" s="1" t="str">
        <f t="shared" si="69"/>
        <v>0</v>
      </c>
      <c r="AS224" s="1" t="str">
        <f t="shared" si="70"/>
        <v>0</v>
      </c>
      <c r="AT224" s="1">
        <f t="shared" si="71"/>
        <v>543</v>
      </c>
      <c r="AU224" s="1" t="str">
        <f t="shared" si="72"/>
        <v>/0/543</v>
      </c>
    </row>
    <row r="225" spans="2:47" x14ac:dyDescent="0.3">
      <c r="B225" s="5">
        <v>240</v>
      </c>
      <c r="C225" s="6" t="s">
        <v>716</v>
      </c>
      <c r="D225" s="6" t="s">
        <v>794</v>
      </c>
      <c r="E225" s="2"/>
      <c r="F225" s="2"/>
      <c r="G225" s="2"/>
      <c r="H225" s="2"/>
      <c r="K225" s="1" t="str">
        <f t="shared" si="56"/>
        <v>ERITREAN</v>
      </c>
      <c r="L225" s="1">
        <f t="shared" si="57"/>
        <v>243</v>
      </c>
      <c r="V225" s="1" t="str">
        <f>IF([1]TIM!F225="","",[1]TIM!F225)</f>
        <v/>
      </c>
      <c r="W225" s="1" t="str">
        <f t="shared" si="61"/>
        <v/>
      </c>
      <c r="X225" s="1">
        <f t="shared" si="62"/>
        <v>0</v>
      </c>
      <c r="AI225" s="1">
        <f>IF([1]TIM!P225=[1]TIM!P225,[1]TIM!P225,"")</f>
        <v>0</v>
      </c>
      <c r="AJ225" s="1" t="str">
        <f t="shared" si="63"/>
        <v/>
      </c>
      <c r="AK225" s="1" t="str">
        <f t="shared" si="64"/>
        <v>0</v>
      </c>
      <c r="AL225" s="1" t="str">
        <f t="shared" si="65"/>
        <v>0</v>
      </c>
      <c r="AM225" s="1">
        <f t="shared" si="66"/>
        <v>543</v>
      </c>
      <c r="AN225" s="1" t="str">
        <f t="shared" si="67"/>
        <v>/0/543</v>
      </c>
      <c r="AP225" s="1">
        <f>IF([1]TIM!O225=[1]TIM!O225,[1]TIM!O225,"")</f>
        <v>0</v>
      </c>
      <c r="AQ225" s="1" t="str">
        <f t="shared" si="68"/>
        <v/>
      </c>
      <c r="AR225" s="1" t="str">
        <f t="shared" si="69"/>
        <v>0</v>
      </c>
      <c r="AS225" s="1" t="str">
        <f t="shared" si="70"/>
        <v>0</v>
      </c>
      <c r="AT225" s="1">
        <f t="shared" si="71"/>
        <v>543</v>
      </c>
      <c r="AU225" s="1" t="str">
        <f t="shared" si="72"/>
        <v>/0/543</v>
      </c>
    </row>
    <row r="226" spans="2:47" x14ac:dyDescent="0.3">
      <c r="B226" s="5">
        <v>241</v>
      </c>
      <c r="C226" s="6" t="s">
        <v>795</v>
      </c>
      <c r="D226" s="6" t="s">
        <v>796</v>
      </c>
      <c r="E226" s="2"/>
      <c r="F226" s="2"/>
      <c r="G226" s="2"/>
      <c r="H226" s="2"/>
      <c r="K226" s="1" t="str">
        <f t="shared" si="56"/>
        <v>NAMIBIAN</v>
      </c>
      <c r="L226" s="1">
        <f t="shared" si="57"/>
        <v>244</v>
      </c>
      <c r="V226" s="1" t="str">
        <f>IF([1]TIM!F226="","",[1]TIM!F226)</f>
        <v/>
      </c>
      <c r="W226" s="1" t="str">
        <f t="shared" si="61"/>
        <v/>
      </c>
      <c r="X226" s="1">
        <f t="shared" si="62"/>
        <v>0</v>
      </c>
      <c r="AI226" s="1">
        <f>IF([1]TIM!P226=[1]TIM!P226,[1]TIM!P226,"")</f>
        <v>0</v>
      </c>
      <c r="AJ226" s="1" t="str">
        <f t="shared" si="63"/>
        <v/>
      </c>
      <c r="AK226" s="1" t="str">
        <f t="shared" si="64"/>
        <v>0</v>
      </c>
      <c r="AL226" s="1" t="str">
        <f t="shared" si="65"/>
        <v>0</v>
      </c>
      <c r="AM226" s="1">
        <f t="shared" si="66"/>
        <v>543</v>
      </c>
      <c r="AN226" s="1" t="str">
        <f t="shared" si="67"/>
        <v>/0/543</v>
      </c>
      <c r="AP226" s="1">
        <f>IF([1]TIM!O226=[1]TIM!O226,[1]TIM!O226,"")</f>
        <v>0</v>
      </c>
      <c r="AQ226" s="1" t="str">
        <f t="shared" si="68"/>
        <v/>
      </c>
      <c r="AR226" s="1" t="str">
        <f t="shared" si="69"/>
        <v>0</v>
      </c>
      <c r="AS226" s="1" t="str">
        <f t="shared" si="70"/>
        <v>0</v>
      </c>
      <c r="AT226" s="1">
        <f t="shared" si="71"/>
        <v>543</v>
      </c>
      <c r="AU226" s="1" t="str">
        <f t="shared" si="72"/>
        <v>/0/543</v>
      </c>
    </row>
    <row r="227" spans="2:47" x14ac:dyDescent="0.3">
      <c r="B227" s="5">
        <v>242</v>
      </c>
      <c r="C227" s="6" t="s">
        <v>797</v>
      </c>
      <c r="D227" s="6" t="s">
        <v>798</v>
      </c>
      <c r="E227" s="2"/>
      <c r="F227" s="2"/>
      <c r="G227" s="2"/>
      <c r="H227" s="2"/>
      <c r="K227" s="1" t="str">
        <f t="shared" si="56"/>
        <v>BOLIVIAN</v>
      </c>
      <c r="L227" s="1">
        <f t="shared" si="57"/>
        <v>245</v>
      </c>
      <c r="V227" s="1" t="str">
        <f>IF([1]TIM!F227="","",[1]TIM!F227)</f>
        <v/>
      </c>
      <c r="W227" s="1" t="str">
        <f t="shared" si="61"/>
        <v/>
      </c>
      <c r="X227" s="1">
        <f t="shared" si="62"/>
        <v>0</v>
      </c>
      <c r="AI227" s="1">
        <f>IF([1]TIM!P227=[1]TIM!P227,[1]TIM!P227,"")</f>
        <v>0</v>
      </c>
      <c r="AJ227" s="1" t="str">
        <f t="shared" si="63"/>
        <v/>
      </c>
      <c r="AK227" s="1" t="str">
        <f t="shared" si="64"/>
        <v>0</v>
      </c>
      <c r="AL227" s="1" t="str">
        <f t="shared" si="65"/>
        <v>0</v>
      </c>
      <c r="AM227" s="1">
        <f t="shared" si="66"/>
        <v>543</v>
      </c>
      <c r="AN227" s="1" t="str">
        <f t="shared" si="67"/>
        <v>/0/543</v>
      </c>
      <c r="AP227" s="1">
        <f>IF([1]TIM!O227=[1]TIM!O227,[1]TIM!O227,"")</f>
        <v>0</v>
      </c>
      <c r="AQ227" s="1" t="str">
        <f t="shared" si="68"/>
        <v/>
      </c>
      <c r="AR227" s="1" t="str">
        <f t="shared" si="69"/>
        <v>0</v>
      </c>
      <c r="AS227" s="1" t="str">
        <f t="shared" si="70"/>
        <v>0</v>
      </c>
      <c r="AT227" s="1">
        <f t="shared" si="71"/>
        <v>543</v>
      </c>
      <c r="AU227" s="1" t="str">
        <f t="shared" si="72"/>
        <v>/0/543</v>
      </c>
    </row>
    <row r="228" spans="2:47" x14ac:dyDescent="0.3">
      <c r="B228" s="5">
        <v>243</v>
      </c>
      <c r="C228" s="6" t="s">
        <v>728</v>
      </c>
      <c r="D228" s="6" t="s">
        <v>799</v>
      </c>
      <c r="E228" s="2"/>
      <c r="F228" s="2"/>
      <c r="G228" s="2"/>
      <c r="H228" s="2"/>
      <c r="K228" s="1" t="str">
        <f t="shared" si="56"/>
        <v>COOK ISLANDS</v>
      </c>
      <c r="L228" s="1">
        <f t="shared" si="57"/>
        <v>246</v>
      </c>
      <c r="V228" s="1" t="str">
        <f>IF([1]TIM!F228="","",[1]TIM!F228)</f>
        <v/>
      </c>
      <c r="W228" s="1" t="str">
        <f t="shared" si="61"/>
        <v/>
      </c>
      <c r="X228" s="1">
        <f t="shared" si="62"/>
        <v>0</v>
      </c>
      <c r="AI228" s="1">
        <f>IF([1]TIM!P228=[1]TIM!P228,[1]TIM!P228,"")</f>
        <v>0</v>
      </c>
      <c r="AJ228" s="1" t="str">
        <f t="shared" si="63"/>
        <v/>
      </c>
      <c r="AK228" s="1" t="str">
        <f t="shared" si="64"/>
        <v>0</v>
      </c>
      <c r="AL228" s="1" t="str">
        <f t="shared" si="65"/>
        <v>0</v>
      </c>
      <c r="AM228" s="1">
        <f t="shared" si="66"/>
        <v>543</v>
      </c>
      <c r="AN228" s="1" t="str">
        <f t="shared" si="67"/>
        <v>/0/543</v>
      </c>
      <c r="AP228" s="1">
        <f>IF([1]TIM!O228=[1]TIM!O228,[1]TIM!O228,"")</f>
        <v>0</v>
      </c>
      <c r="AQ228" s="1" t="str">
        <f t="shared" si="68"/>
        <v/>
      </c>
      <c r="AR228" s="1" t="str">
        <f t="shared" si="69"/>
        <v>0</v>
      </c>
      <c r="AS228" s="1" t="str">
        <f t="shared" si="70"/>
        <v>0</v>
      </c>
      <c r="AT228" s="1">
        <f t="shared" si="71"/>
        <v>543</v>
      </c>
      <c r="AU228" s="1" t="str">
        <f t="shared" si="72"/>
        <v>/0/543</v>
      </c>
    </row>
    <row r="229" spans="2:47" x14ac:dyDescent="0.3">
      <c r="B229" s="5">
        <v>244</v>
      </c>
      <c r="C229" s="6" t="s">
        <v>732</v>
      </c>
      <c r="D229" s="6" t="s">
        <v>800</v>
      </c>
      <c r="E229" s="2"/>
      <c r="F229" s="2"/>
      <c r="G229" s="2"/>
      <c r="H229" s="2"/>
      <c r="K229" s="1" t="str">
        <f t="shared" si="56"/>
        <v xml:space="preserve"> </v>
      </c>
      <c r="L229" s="1">
        <f t="shared" si="57"/>
        <v>248</v>
      </c>
      <c r="V229" s="1" t="str">
        <f>IF([1]TIM!F229="","",[1]TIM!F229)</f>
        <v/>
      </c>
      <c r="W229" s="1" t="str">
        <f t="shared" si="61"/>
        <v/>
      </c>
      <c r="X229" s="1">
        <f t="shared" si="62"/>
        <v>0</v>
      </c>
      <c r="AI229" s="1">
        <f>IF([1]TIM!P229=[1]TIM!P229,[1]TIM!P229,"")</f>
        <v>0</v>
      </c>
      <c r="AJ229" s="1" t="str">
        <f t="shared" si="63"/>
        <v/>
      </c>
      <c r="AK229" s="1" t="str">
        <f t="shared" si="64"/>
        <v>0</v>
      </c>
      <c r="AL229" s="1" t="str">
        <f t="shared" si="65"/>
        <v>0</v>
      </c>
      <c r="AM229" s="1">
        <f t="shared" si="66"/>
        <v>543</v>
      </c>
      <c r="AN229" s="1" t="str">
        <f t="shared" si="67"/>
        <v>/0/543</v>
      </c>
      <c r="AP229" s="1">
        <f>IF([1]TIM!O229=[1]TIM!O229,[1]TIM!O229,"")</f>
        <v>0</v>
      </c>
      <c r="AQ229" s="1" t="str">
        <f t="shared" si="68"/>
        <v/>
      </c>
      <c r="AR229" s="1" t="str">
        <f t="shared" si="69"/>
        <v>0</v>
      </c>
      <c r="AS229" s="1" t="str">
        <f t="shared" si="70"/>
        <v>0</v>
      </c>
      <c r="AT229" s="1">
        <f t="shared" si="71"/>
        <v>543</v>
      </c>
      <c r="AU229" s="1" t="str">
        <f t="shared" si="72"/>
        <v>/0/543</v>
      </c>
    </row>
    <row r="230" spans="2:47" x14ac:dyDescent="0.3">
      <c r="B230" s="5">
        <v>245</v>
      </c>
      <c r="C230" s="6" t="s">
        <v>736</v>
      </c>
      <c r="D230" s="6" t="s">
        <v>801</v>
      </c>
      <c r="E230" s="2"/>
      <c r="F230" s="2"/>
      <c r="G230" s="2"/>
      <c r="H230" s="2"/>
      <c r="K230" s="1" t="str">
        <f t="shared" si="56"/>
        <v xml:space="preserve"> </v>
      </c>
      <c r="L230" s="1">
        <f t="shared" si="57"/>
        <v>249</v>
      </c>
      <c r="V230" s="1" t="str">
        <f>IF([1]TIM!F230="","",[1]TIM!F230)</f>
        <v/>
      </c>
      <c r="W230" s="1" t="str">
        <f t="shared" si="61"/>
        <v/>
      </c>
      <c r="X230" s="1">
        <f t="shared" si="62"/>
        <v>0</v>
      </c>
      <c r="AI230" s="1">
        <f>IF([1]TIM!P230=[1]TIM!P230,[1]TIM!P230,"")</f>
        <v>0</v>
      </c>
      <c r="AJ230" s="1" t="str">
        <f t="shared" si="63"/>
        <v/>
      </c>
      <c r="AK230" s="1" t="str">
        <f t="shared" si="64"/>
        <v>0</v>
      </c>
      <c r="AL230" s="1" t="str">
        <f t="shared" si="65"/>
        <v>0</v>
      </c>
      <c r="AM230" s="1">
        <f t="shared" si="66"/>
        <v>543</v>
      </c>
      <c r="AN230" s="1" t="str">
        <f t="shared" si="67"/>
        <v>/0/543</v>
      </c>
      <c r="AP230" s="1">
        <f>IF([1]TIM!O230=[1]TIM!O230,[1]TIM!O230,"")</f>
        <v>0</v>
      </c>
      <c r="AQ230" s="1" t="str">
        <f t="shared" si="68"/>
        <v/>
      </c>
      <c r="AR230" s="1" t="str">
        <f t="shared" si="69"/>
        <v>0</v>
      </c>
      <c r="AS230" s="1" t="str">
        <f t="shared" si="70"/>
        <v>0</v>
      </c>
      <c r="AT230" s="1">
        <f t="shared" si="71"/>
        <v>543</v>
      </c>
      <c r="AU230" s="1" t="str">
        <f t="shared" si="72"/>
        <v>/0/543</v>
      </c>
    </row>
    <row r="231" spans="2:47" x14ac:dyDescent="0.3">
      <c r="B231" s="5">
        <v>246</v>
      </c>
      <c r="C231" s="6" t="s">
        <v>740</v>
      </c>
      <c r="D231" s="6" t="s">
        <v>741</v>
      </c>
      <c r="E231" s="2"/>
      <c r="F231" s="2"/>
      <c r="G231" s="2"/>
      <c r="H231" s="2"/>
      <c r="K231" s="1" t="str">
        <f t="shared" si="56"/>
        <v xml:space="preserve"> </v>
      </c>
      <c r="L231" s="1">
        <f t="shared" si="57"/>
        <v>250</v>
      </c>
      <c r="V231" s="1" t="str">
        <f>IF([1]TIM!F231="","",[1]TIM!F231)</f>
        <v/>
      </c>
      <c r="W231" s="1" t="str">
        <f t="shared" si="61"/>
        <v/>
      </c>
      <c r="X231" s="1">
        <f t="shared" si="62"/>
        <v>0</v>
      </c>
      <c r="AI231" s="1">
        <f>IF([1]TIM!P231=[1]TIM!P231,[1]TIM!P231,"")</f>
        <v>0</v>
      </c>
      <c r="AJ231" s="1" t="str">
        <f t="shared" si="63"/>
        <v/>
      </c>
      <c r="AK231" s="1" t="str">
        <f t="shared" si="64"/>
        <v>0</v>
      </c>
      <c r="AL231" s="1" t="str">
        <f t="shared" si="65"/>
        <v>0</v>
      </c>
      <c r="AM231" s="1">
        <f t="shared" si="66"/>
        <v>543</v>
      </c>
      <c r="AN231" s="1" t="str">
        <f t="shared" si="67"/>
        <v>/0/543</v>
      </c>
      <c r="AP231" s="1">
        <f>IF([1]TIM!O231=[1]TIM!O231,[1]TIM!O231,"")</f>
        <v>0</v>
      </c>
      <c r="AQ231" s="1" t="str">
        <f t="shared" si="68"/>
        <v/>
      </c>
      <c r="AR231" s="1" t="str">
        <f t="shared" si="69"/>
        <v>0</v>
      </c>
      <c r="AS231" s="1" t="str">
        <f t="shared" si="70"/>
        <v>0</v>
      </c>
      <c r="AT231" s="1">
        <f t="shared" si="71"/>
        <v>543</v>
      </c>
      <c r="AU231" s="1" t="str">
        <f t="shared" si="72"/>
        <v>/0/543</v>
      </c>
    </row>
    <row r="232" spans="2:47" x14ac:dyDescent="0.3">
      <c r="B232" s="5">
        <v>248</v>
      </c>
      <c r="C232" s="6" t="s">
        <v>802</v>
      </c>
      <c r="D232" s="6" t="s">
        <v>279</v>
      </c>
      <c r="E232" s="2"/>
      <c r="F232" s="2"/>
      <c r="G232" s="2"/>
      <c r="H232" s="2"/>
      <c r="K232" s="1" t="str">
        <f t="shared" si="56"/>
        <v xml:space="preserve"> </v>
      </c>
      <c r="L232" s="1">
        <f t="shared" si="57"/>
        <v>251</v>
      </c>
      <c r="V232" s="1" t="str">
        <f>IF([1]TIM!F232="","",[1]TIM!F232)</f>
        <v/>
      </c>
      <c r="W232" s="1" t="str">
        <f t="shared" si="61"/>
        <v/>
      </c>
      <c r="X232" s="1">
        <f t="shared" si="62"/>
        <v>0</v>
      </c>
      <c r="AI232" s="1">
        <f>IF([1]TIM!P232=[1]TIM!P232,[1]TIM!P232,"")</f>
        <v>0</v>
      </c>
      <c r="AJ232" s="1" t="str">
        <f t="shared" si="63"/>
        <v/>
      </c>
      <c r="AK232" s="1" t="str">
        <f t="shared" si="64"/>
        <v>0</v>
      </c>
      <c r="AL232" s="1" t="str">
        <f t="shared" si="65"/>
        <v>0</v>
      </c>
      <c r="AM232" s="1">
        <f t="shared" si="66"/>
        <v>543</v>
      </c>
      <c r="AN232" s="1" t="str">
        <f t="shared" si="67"/>
        <v>/0/543</v>
      </c>
      <c r="AP232" s="1">
        <f>IF([1]TIM!O232=[1]TIM!O232,[1]TIM!O232,"")</f>
        <v>0</v>
      </c>
      <c r="AQ232" s="1" t="str">
        <f t="shared" si="68"/>
        <v/>
      </c>
      <c r="AR232" s="1" t="str">
        <f t="shared" si="69"/>
        <v>0</v>
      </c>
      <c r="AS232" s="1" t="str">
        <f t="shared" si="70"/>
        <v>0</v>
      </c>
      <c r="AT232" s="1">
        <f t="shared" si="71"/>
        <v>543</v>
      </c>
      <c r="AU232" s="1" t="str">
        <f t="shared" si="72"/>
        <v>/0/543</v>
      </c>
    </row>
    <row r="233" spans="2:47" x14ac:dyDescent="0.3">
      <c r="B233" s="5">
        <v>249</v>
      </c>
      <c r="C233" s="6" t="s">
        <v>803</v>
      </c>
      <c r="D233" s="6" t="s">
        <v>279</v>
      </c>
      <c r="E233" s="2"/>
      <c r="F233" s="2"/>
      <c r="G233" s="2"/>
      <c r="H233" s="2"/>
      <c r="K233" s="1" t="str">
        <f t="shared" si="56"/>
        <v xml:space="preserve"> </v>
      </c>
      <c r="L233" s="1">
        <f t="shared" si="57"/>
        <v>252</v>
      </c>
      <c r="V233" s="1" t="str">
        <f>IF([1]TIM!F233="","",[1]TIM!F233)</f>
        <v/>
      </c>
      <c r="W233" s="1" t="str">
        <f t="shared" si="61"/>
        <v/>
      </c>
      <c r="X233" s="1">
        <f t="shared" si="62"/>
        <v>0</v>
      </c>
      <c r="AI233" s="1">
        <f>IF([1]TIM!P233=[1]TIM!P233,[1]TIM!P233,"")</f>
        <v>0</v>
      </c>
      <c r="AJ233" s="1" t="str">
        <f t="shared" si="63"/>
        <v/>
      </c>
      <c r="AK233" s="1" t="str">
        <f t="shared" si="64"/>
        <v>0</v>
      </c>
      <c r="AL233" s="1" t="str">
        <f t="shared" si="65"/>
        <v>0</v>
      </c>
      <c r="AM233" s="1">
        <f t="shared" si="66"/>
        <v>543</v>
      </c>
      <c r="AN233" s="1" t="str">
        <f t="shared" si="67"/>
        <v>/0/543</v>
      </c>
      <c r="AP233" s="1">
        <f>IF([1]TIM!O233=[1]TIM!O233,[1]TIM!O233,"")</f>
        <v>0</v>
      </c>
      <c r="AQ233" s="1" t="str">
        <f t="shared" si="68"/>
        <v/>
      </c>
      <c r="AR233" s="1" t="str">
        <f t="shared" si="69"/>
        <v>0</v>
      </c>
      <c r="AS233" s="1" t="str">
        <f t="shared" si="70"/>
        <v>0</v>
      </c>
      <c r="AT233" s="1">
        <f t="shared" si="71"/>
        <v>543</v>
      </c>
      <c r="AU233" s="1" t="str">
        <f t="shared" si="72"/>
        <v>/0/543</v>
      </c>
    </row>
    <row r="234" spans="2:47" x14ac:dyDescent="0.3">
      <c r="B234" s="5">
        <v>250</v>
      </c>
      <c r="C234" s="6" t="s">
        <v>804</v>
      </c>
      <c r="D234" s="6" t="s">
        <v>279</v>
      </c>
      <c r="E234" s="2"/>
      <c r="F234" s="2"/>
      <c r="G234" s="2"/>
      <c r="H234" s="2"/>
      <c r="K234" s="1" t="str">
        <f t="shared" si="56"/>
        <v xml:space="preserve"> </v>
      </c>
      <c r="L234" s="1">
        <f t="shared" si="57"/>
        <v>253</v>
      </c>
      <c r="V234" s="1" t="str">
        <f>IF([1]TIM!F234="","",[1]TIM!F234)</f>
        <v/>
      </c>
      <c r="W234" s="1" t="str">
        <f t="shared" si="61"/>
        <v/>
      </c>
      <c r="X234" s="1">
        <f t="shared" si="62"/>
        <v>0</v>
      </c>
      <c r="AI234" s="1">
        <f>IF([1]TIM!P234=[1]TIM!P234,[1]TIM!P234,"")</f>
        <v>0</v>
      </c>
      <c r="AJ234" s="1" t="str">
        <f t="shared" si="63"/>
        <v/>
      </c>
      <c r="AK234" s="1" t="str">
        <f t="shared" si="64"/>
        <v>0</v>
      </c>
      <c r="AL234" s="1" t="str">
        <f t="shared" si="65"/>
        <v>0</v>
      </c>
      <c r="AM234" s="1">
        <f t="shared" si="66"/>
        <v>543</v>
      </c>
      <c r="AN234" s="1" t="str">
        <f t="shared" si="67"/>
        <v>/0/543</v>
      </c>
      <c r="AP234" s="1">
        <f>IF([1]TIM!O234=[1]TIM!O234,[1]TIM!O234,"")</f>
        <v>0</v>
      </c>
      <c r="AQ234" s="1" t="str">
        <f t="shared" si="68"/>
        <v/>
      </c>
      <c r="AR234" s="1" t="str">
        <f t="shared" si="69"/>
        <v>0</v>
      </c>
      <c r="AS234" s="1" t="str">
        <f t="shared" si="70"/>
        <v>0</v>
      </c>
      <c r="AT234" s="1">
        <f t="shared" si="71"/>
        <v>543</v>
      </c>
      <c r="AU234" s="1" t="str">
        <f t="shared" si="72"/>
        <v>/0/543</v>
      </c>
    </row>
    <row r="235" spans="2:47" x14ac:dyDescent="0.3">
      <c r="B235" s="5">
        <v>251</v>
      </c>
      <c r="C235" s="6" t="s">
        <v>805</v>
      </c>
      <c r="D235" s="6" t="s">
        <v>279</v>
      </c>
      <c r="E235" s="2"/>
      <c r="F235" s="2"/>
      <c r="G235" s="2"/>
      <c r="H235" s="2"/>
      <c r="K235" s="1" t="str">
        <f t="shared" si="56"/>
        <v xml:space="preserve"> </v>
      </c>
      <c r="L235" s="1">
        <f t="shared" si="57"/>
        <v>254</v>
      </c>
      <c r="V235" s="1" t="str">
        <f>IF([1]TIM!F235="","",[1]TIM!F235)</f>
        <v/>
      </c>
      <c r="W235" s="1" t="str">
        <f t="shared" si="61"/>
        <v/>
      </c>
      <c r="X235" s="1">
        <f t="shared" si="62"/>
        <v>0</v>
      </c>
      <c r="AI235" s="1">
        <f>IF([1]TIM!P235=[1]TIM!P235,[1]TIM!P235,"")</f>
        <v>0</v>
      </c>
      <c r="AJ235" s="1" t="str">
        <f t="shared" si="63"/>
        <v/>
      </c>
      <c r="AK235" s="1" t="str">
        <f t="shared" si="64"/>
        <v>0</v>
      </c>
      <c r="AL235" s="1" t="str">
        <f t="shared" si="65"/>
        <v>0</v>
      </c>
      <c r="AM235" s="1">
        <f t="shared" si="66"/>
        <v>543</v>
      </c>
      <c r="AN235" s="1" t="str">
        <f t="shared" si="67"/>
        <v>/0/543</v>
      </c>
      <c r="AP235" s="1">
        <f>IF([1]TIM!O235=[1]TIM!O235,[1]TIM!O235,"")</f>
        <v>0</v>
      </c>
      <c r="AQ235" s="1" t="str">
        <f t="shared" si="68"/>
        <v/>
      </c>
      <c r="AR235" s="1" t="str">
        <f t="shared" si="69"/>
        <v>0</v>
      </c>
      <c r="AS235" s="1" t="str">
        <f t="shared" si="70"/>
        <v>0</v>
      </c>
      <c r="AT235" s="1">
        <f t="shared" si="71"/>
        <v>543</v>
      </c>
      <c r="AU235" s="1" t="str">
        <f t="shared" si="72"/>
        <v>/0/543</v>
      </c>
    </row>
    <row r="236" spans="2:47" x14ac:dyDescent="0.3">
      <c r="B236" s="5">
        <v>252</v>
      </c>
      <c r="C236" s="6" t="s">
        <v>806</v>
      </c>
      <c r="D236" s="6" t="s">
        <v>279</v>
      </c>
      <c r="E236" s="2"/>
      <c r="F236" s="2"/>
      <c r="G236" s="2"/>
      <c r="H236" s="2"/>
      <c r="K236" s="1" t="str">
        <f t="shared" si="56"/>
        <v xml:space="preserve"> </v>
      </c>
      <c r="L236" s="1">
        <f t="shared" si="57"/>
        <v>255</v>
      </c>
      <c r="V236" s="1" t="str">
        <f>IF([1]TIM!F236="","",[1]TIM!F236)</f>
        <v/>
      </c>
      <c r="W236" s="1" t="str">
        <f t="shared" si="61"/>
        <v/>
      </c>
      <c r="X236" s="1">
        <f t="shared" si="62"/>
        <v>0</v>
      </c>
      <c r="AI236" s="1">
        <f>IF([1]TIM!P236=[1]TIM!P236,[1]TIM!P236,"")</f>
        <v>0</v>
      </c>
      <c r="AJ236" s="1" t="str">
        <f t="shared" si="63"/>
        <v/>
      </c>
      <c r="AK236" s="1" t="str">
        <f t="shared" si="64"/>
        <v>0</v>
      </c>
      <c r="AL236" s="1" t="str">
        <f t="shared" si="65"/>
        <v>0</v>
      </c>
      <c r="AM236" s="1">
        <f t="shared" si="66"/>
        <v>543</v>
      </c>
      <c r="AN236" s="1" t="str">
        <f t="shared" si="67"/>
        <v>/0/543</v>
      </c>
      <c r="AP236" s="1">
        <f>IF([1]TIM!O236=[1]TIM!O236,[1]TIM!O236,"")</f>
        <v>0</v>
      </c>
      <c r="AQ236" s="1" t="str">
        <f t="shared" si="68"/>
        <v/>
      </c>
      <c r="AR236" s="1" t="str">
        <f t="shared" si="69"/>
        <v>0</v>
      </c>
      <c r="AS236" s="1" t="str">
        <f t="shared" si="70"/>
        <v>0</v>
      </c>
      <c r="AT236" s="1">
        <f t="shared" si="71"/>
        <v>543</v>
      </c>
      <c r="AU236" s="1" t="str">
        <f t="shared" si="72"/>
        <v>/0/543</v>
      </c>
    </row>
    <row r="237" spans="2:47" x14ac:dyDescent="0.3">
      <c r="B237" s="5">
        <v>253</v>
      </c>
      <c r="C237" s="6" t="s">
        <v>807</v>
      </c>
      <c r="D237" s="6" t="s">
        <v>279</v>
      </c>
      <c r="E237" s="2"/>
      <c r="F237" s="2"/>
      <c r="G237" s="2"/>
      <c r="H237" s="2"/>
      <c r="K237" s="1" t="str">
        <f t="shared" si="56"/>
        <v xml:space="preserve"> </v>
      </c>
      <c r="L237" s="1">
        <f t="shared" si="57"/>
        <v>256</v>
      </c>
      <c r="V237" s="1" t="str">
        <f>IF([1]TIM!F237="","",[1]TIM!F237)</f>
        <v/>
      </c>
      <c r="W237" s="1" t="str">
        <f t="shared" si="61"/>
        <v/>
      </c>
      <c r="X237" s="1">
        <f t="shared" si="62"/>
        <v>0</v>
      </c>
      <c r="AI237" s="1">
        <f>IF([1]TIM!P237=[1]TIM!P237,[1]TIM!P237,"")</f>
        <v>0</v>
      </c>
      <c r="AJ237" s="1" t="str">
        <f t="shared" si="63"/>
        <v/>
      </c>
      <c r="AK237" s="1" t="str">
        <f t="shared" si="64"/>
        <v>0</v>
      </c>
      <c r="AL237" s="1" t="str">
        <f t="shared" si="65"/>
        <v>0</v>
      </c>
      <c r="AM237" s="1">
        <f t="shared" si="66"/>
        <v>543</v>
      </c>
      <c r="AN237" s="1" t="str">
        <f t="shared" si="67"/>
        <v>/0/543</v>
      </c>
      <c r="AP237" s="1">
        <f>IF([1]TIM!O237=[1]TIM!O237,[1]TIM!O237,"")</f>
        <v>0</v>
      </c>
      <c r="AQ237" s="1" t="str">
        <f t="shared" si="68"/>
        <v/>
      </c>
      <c r="AR237" s="1" t="str">
        <f t="shared" si="69"/>
        <v>0</v>
      </c>
      <c r="AS237" s="1" t="str">
        <f t="shared" si="70"/>
        <v>0</v>
      </c>
      <c r="AT237" s="1">
        <f t="shared" si="71"/>
        <v>543</v>
      </c>
      <c r="AU237" s="1" t="str">
        <f t="shared" si="72"/>
        <v>/0/543</v>
      </c>
    </row>
    <row r="238" spans="2:47" x14ac:dyDescent="0.3">
      <c r="B238" s="5">
        <v>254</v>
      </c>
      <c r="C238" s="6" t="s">
        <v>808</v>
      </c>
      <c r="D238" s="6" t="s">
        <v>279</v>
      </c>
      <c r="E238" s="2"/>
      <c r="F238" s="2"/>
      <c r="G238" s="2"/>
      <c r="H238" s="2"/>
      <c r="K238" s="1" t="str">
        <f t="shared" si="56"/>
        <v xml:space="preserve"> </v>
      </c>
      <c r="L238" s="1">
        <f t="shared" si="57"/>
        <v>257</v>
      </c>
      <c r="V238" s="1" t="str">
        <f>IF([1]TIM!F238="","",[1]TIM!F238)</f>
        <v/>
      </c>
      <c r="W238" s="1" t="str">
        <f t="shared" si="61"/>
        <v/>
      </c>
      <c r="X238" s="1">
        <f t="shared" si="62"/>
        <v>0</v>
      </c>
      <c r="AI238" s="1">
        <f>IF([1]TIM!P238=[1]TIM!P238,[1]TIM!P238,"")</f>
        <v>0</v>
      </c>
      <c r="AJ238" s="1" t="str">
        <f t="shared" si="63"/>
        <v/>
      </c>
      <c r="AK238" s="1" t="str">
        <f t="shared" si="64"/>
        <v>0</v>
      </c>
      <c r="AL238" s="1" t="str">
        <f t="shared" si="65"/>
        <v>0</v>
      </c>
      <c r="AM238" s="1">
        <f t="shared" si="66"/>
        <v>543</v>
      </c>
      <c r="AN238" s="1" t="str">
        <f t="shared" si="67"/>
        <v>/0/543</v>
      </c>
      <c r="AP238" s="1">
        <f>IF([1]TIM!O238=[1]TIM!O238,[1]TIM!O238,"")</f>
        <v>0</v>
      </c>
      <c r="AQ238" s="1" t="str">
        <f t="shared" si="68"/>
        <v/>
      </c>
      <c r="AR238" s="1" t="str">
        <f t="shared" si="69"/>
        <v>0</v>
      </c>
      <c r="AS238" s="1" t="str">
        <f t="shared" si="70"/>
        <v>0</v>
      </c>
      <c r="AT238" s="1">
        <f t="shared" si="71"/>
        <v>543</v>
      </c>
      <c r="AU238" s="1" t="str">
        <f t="shared" si="72"/>
        <v>/0/543</v>
      </c>
    </row>
    <row r="239" spans="2:47" x14ac:dyDescent="0.3">
      <c r="B239" s="5">
        <v>255</v>
      </c>
      <c r="C239" s="6" t="s">
        <v>809</v>
      </c>
      <c r="D239" s="6" t="s">
        <v>279</v>
      </c>
      <c r="E239" s="2"/>
      <c r="F239" s="2"/>
      <c r="G239" s="2"/>
      <c r="H239" s="2"/>
      <c r="K239" s="1" t="str">
        <f t="shared" si="56"/>
        <v xml:space="preserve"> </v>
      </c>
      <c r="L239" s="1">
        <f t="shared" si="57"/>
        <v>258</v>
      </c>
      <c r="V239" s="1" t="str">
        <f>IF([1]TIM!F239="","",[1]TIM!F239)</f>
        <v/>
      </c>
      <c r="W239" s="1" t="str">
        <f t="shared" si="61"/>
        <v/>
      </c>
      <c r="X239" s="1">
        <f t="shared" si="62"/>
        <v>0</v>
      </c>
      <c r="AI239" s="1">
        <f>IF([1]TIM!P239=[1]TIM!P239,[1]TIM!P239,"")</f>
        <v>0</v>
      </c>
      <c r="AJ239" s="1" t="str">
        <f t="shared" si="63"/>
        <v/>
      </c>
      <c r="AK239" s="1" t="str">
        <f t="shared" si="64"/>
        <v>0</v>
      </c>
      <c r="AL239" s="1" t="str">
        <f t="shared" si="65"/>
        <v>0</v>
      </c>
      <c r="AM239" s="1">
        <f t="shared" si="66"/>
        <v>543</v>
      </c>
      <c r="AN239" s="1" t="str">
        <f t="shared" si="67"/>
        <v>/0/543</v>
      </c>
      <c r="AP239" s="1">
        <f>IF([1]TIM!O239=[1]TIM!O239,[1]TIM!O239,"")</f>
        <v>0</v>
      </c>
      <c r="AQ239" s="1" t="str">
        <f t="shared" si="68"/>
        <v/>
      </c>
      <c r="AR239" s="1" t="str">
        <f t="shared" si="69"/>
        <v>0</v>
      </c>
      <c r="AS239" s="1" t="str">
        <f t="shared" si="70"/>
        <v>0</v>
      </c>
      <c r="AT239" s="1">
        <f t="shared" si="71"/>
        <v>543</v>
      </c>
      <c r="AU239" s="1" t="str">
        <f t="shared" si="72"/>
        <v>/0/543</v>
      </c>
    </row>
    <row r="240" spans="2:47" x14ac:dyDescent="0.3">
      <c r="B240" s="5">
        <v>256</v>
      </c>
      <c r="C240" s="6" t="s">
        <v>810</v>
      </c>
      <c r="D240" s="6" t="s">
        <v>279</v>
      </c>
      <c r="E240" s="2"/>
      <c r="F240" s="2"/>
      <c r="G240" s="2"/>
      <c r="H240" s="2"/>
      <c r="K240" s="1" t="str">
        <f t="shared" si="56"/>
        <v xml:space="preserve"> </v>
      </c>
      <c r="L240" s="1">
        <f t="shared" si="57"/>
        <v>259</v>
      </c>
      <c r="V240" s="1" t="str">
        <f>IF([1]TIM!F240="","",[1]TIM!F240)</f>
        <v/>
      </c>
      <c r="W240" s="1" t="str">
        <f t="shared" si="61"/>
        <v/>
      </c>
      <c r="X240" s="1">
        <f t="shared" si="62"/>
        <v>0</v>
      </c>
      <c r="AI240" s="1">
        <f>IF([1]TIM!P240=[1]TIM!P240,[1]TIM!P240,"")</f>
        <v>0</v>
      </c>
      <c r="AJ240" s="1" t="str">
        <f t="shared" si="63"/>
        <v/>
      </c>
      <c r="AK240" s="1" t="str">
        <f t="shared" si="64"/>
        <v>0</v>
      </c>
      <c r="AL240" s="1" t="str">
        <f t="shared" si="65"/>
        <v>0</v>
      </c>
      <c r="AM240" s="1">
        <f t="shared" si="66"/>
        <v>543</v>
      </c>
      <c r="AN240" s="1" t="str">
        <f t="shared" si="67"/>
        <v>/0/543</v>
      </c>
      <c r="AP240" s="1">
        <f>IF([1]TIM!O240=[1]TIM!O240,[1]TIM!O240,"")</f>
        <v>0</v>
      </c>
      <c r="AQ240" s="1" t="str">
        <f t="shared" si="68"/>
        <v/>
      </c>
      <c r="AR240" s="1" t="str">
        <f t="shared" si="69"/>
        <v>0</v>
      </c>
      <c r="AS240" s="1" t="str">
        <f t="shared" si="70"/>
        <v>0</v>
      </c>
      <c r="AT240" s="1">
        <f t="shared" si="71"/>
        <v>543</v>
      </c>
      <c r="AU240" s="1" t="str">
        <f t="shared" si="72"/>
        <v>/0/543</v>
      </c>
    </row>
    <row r="241" spans="2:47" x14ac:dyDescent="0.3">
      <c r="B241" s="5">
        <v>257</v>
      </c>
      <c r="C241" s="6" t="s">
        <v>811</v>
      </c>
      <c r="D241" s="6" t="s">
        <v>279</v>
      </c>
      <c r="E241" s="2"/>
      <c r="F241" s="2"/>
      <c r="G241" s="2"/>
      <c r="H241" s="2"/>
      <c r="K241" s="1" t="str">
        <f t="shared" si="56"/>
        <v>PALESTINE</v>
      </c>
      <c r="L241" s="1">
        <f t="shared" si="57"/>
        <v>260</v>
      </c>
      <c r="V241" s="1" t="str">
        <f>IF([1]TIM!F241="","",[1]TIM!F241)</f>
        <v/>
      </c>
      <c r="W241" s="1" t="str">
        <f t="shared" si="61"/>
        <v/>
      </c>
      <c r="X241" s="1">
        <f t="shared" si="62"/>
        <v>0</v>
      </c>
      <c r="AI241" s="1">
        <f>IF([1]TIM!P241=[1]TIM!P241,[1]TIM!P241,"")</f>
        <v>0</v>
      </c>
      <c r="AJ241" s="1" t="str">
        <f t="shared" si="63"/>
        <v/>
      </c>
      <c r="AK241" s="1" t="str">
        <f t="shared" si="64"/>
        <v>0</v>
      </c>
      <c r="AL241" s="1" t="str">
        <f t="shared" si="65"/>
        <v>0</v>
      </c>
      <c r="AM241" s="1">
        <f t="shared" si="66"/>
        <v>543</v>
      </c>
      <c r="AN241" s="1" t="str">
        <f t="shared" si="67"/>
        <v>/0/543</v>
      </c>
      <c r="AP241" s="1">
        <f>IF([1]TIM!O241=[1]TIM!O241,[1]TIM!O241,"")</f>
        <v>0</v>
      </c>
      <c r="AQ241" s="1" t="str">
        <f t="shared" si="68"/>
        <v/>
      </c>
      <c r="AR241" s="1" t="str">
        <f t="shared" si="69"/>
        <v>0</v>
      </c>
      <c r="AS241" s="1" t="str">
        <f t="shared" si="70"/>
        <v>0</v>
      </c>
      <c r="AT241" s="1">
        <f t="shared" si="71"/>
        <v>543</v>
      </c>
      <c r="AU241" s="1" t="str">
        <f t="shared" si="72"/>
        <v>/0/543</v>
      </c>
    </row>
    <row r="242" spans="2:47" x14ac:dyDescent="0.3">
      <c r="B242" s="5">
        <v>258</v>
      </c>
      <c r="C242" s="6" t="s">
        <v>812</v>
      </c>
      <c r="D242" s="6" t="s">
        <v>279</v>
      </c>
      <c r="E242" s="2"/>
      <c r="F242" s="2"/>
      <c r="G242" s="2"/>
      <c r="H242" s="2"/>
      <c r="K242" s="1" t="str">
        <f t="shared" si="56"/>
        <v>TIMOR - LESTE</v>
      </c>
      <c r="L242" s="1">
        <f t="shared" si="57"/>
        <v>261</v>
      </c>
      <c r="V242" s="1" t="str">
        <f>IF([1]TIM!F242="","",[1]TIM!F242)</f>
        <v/>
      </c>
      <c r="W242" s="1" t="str">
        <f t="shared" si="61"/>
        <v/>
      </c>
      <c r="X242" s="1">
        <f t="shared" si="62"/>
        <v>0</v>
      </c>
      <c r="AI242" s="1">
        <f>IF([1]TIM!P242=[1]TIM!P242,[1]TIM!P242,"")</f>
        <v>0</v>
      </c>
      <c r="AJ242" s="1" t="str">
        <f t="shared" si="63"/>
        <v/>
      </c>
      <c r="AK242" s="1" t="str">
        <f t="shared" si="64"/>
        <v>0</v>
      </c>
      <c r="AL242" s="1" t="str">
        <f t="shared" si="65"/>
        <v>0</v>
      </c>
      <c r="AM242" s="1">
        <f t="shared" si="66"/>
        <v>543</v>
      </c>
      <c r="AN242" s="1" t="str">
        <f t="shared" si="67"/>
        <v>/0/543</v>
      </c>
      <c r="AP242" s="1">
        <f>IF([1]TIM!O242=[1]TIM!O242,[1]TIM!O242,"")</f>
        <v>0</v>
      </c>
      <c r="AQ242" s="1" t="str">
        <f t="shared" si="68"/>
        <v/>
      </c>
      <c r="AR242" s="1" t="str">
        <f t="shared" si="69"/>
        <v>0</v>
      </c>
      <c r="AS242" s="1" t="str">
        <f t="shared" si="70"/>
        <v>0</v>
      </c>
      <c r="AT242" s="1">
        <f t="shared" si="71"/>
        <v>543</v>
      </c>
      <c r="AU242" s="1" t="str">
        <f t="shared" si="72"/>
        <v>/0/543</v>
      </c>
    </row>
    <row r="243" spans="2:47" x14ac:dyDescent="0.3">
      <c r="B243" s="5">
        <v>259</v>
      </c>
      <c r="C243" s="6" t="s">
        <v>813</v>
      </c>
      <c r="D243" s="6" t="s">
        <v>279</v>
      </c>
      <c r="E243" s="2"/>
      <c r="F243" s="2"/>
      <c r="G243" s="2"/>
      <c r="H243" s="2"/>
      <c r="K243" s="1" t="str">
        <f t="shared" si="56"/>
        <v>THE RENUNCIATION OF THAI NATIO</v>
      </c>
      <c r="L243" s="1">
        <f t="shared" si="57"/>
        <v>262</v>
      </c>
      <c r="V243" s="1" t="str">
        <f>IF([1]TIM!F243="","",[1]TIM!F243)</f>
        <v/>
      </c>
      <c r="W243" s="1" t="str">
        <f t="shared" si="61"/>
        <v/>
      </c>
      <c r="X243" s="1">
        <f t="shared" si="62"/>
        <v>0</v>
      </c>
      <c r="AI243" s="1">
        <f>IF([1]TIM!P243=[1]TIM!P243,[1]TIM!P243,"")</f>
        <v>0</v>
      </c>
      <c r="AJ243" s="1" t="str">
        <f t="shared" si="63"/>
        <v/>
      </c>
      <c r="AK243" s="1" t="str">
        <f t="shared" si="64"/>
        <v>0</v>
      </c>
      <c r="AL243" s="1" t="str">
        <f t="shared" si="65"/>
        <v>0</v>
      </c>
      <c r="AM243" s="1">
        <f t="shared" si="66"/>
        <v>543</v>
      </c>
      <c r="AN243" s="1" t="str">
        <f t="shared" si="67"/>
        <v>/0/543</v>
      </c>
      <c r="AP243" s="1">
        <f>IF([1]TIM!O243=[1]TIM!O243,[1]TIM!O243,"")</f>
        <v>0</v>
      </c>
      <c r="AQ243" s="1" t="str">
        <f t="shared" si="68"/>
        <v/>
      </c>
      <c r="AR243" s="1" t="str">
        <f t="shared" si="69"/>
        <v>0</v>
      </c>
      <c r="AS243" s="1" t="str">
        <f t="shared" si="70"/>
        <v>0</v>
      </c>
      <c r="AT243" s="1">
        <f t="shared" si="71"/>
        <v>543</v>
      </c>
      <c r="AU243" s="1" t="str">
        <f t="shared" si="72"/>
        <v>/0/543</v>
      </c>
    </row>
    <row r="244" spans="2:47" x14ac:dyDescent="0.3">
      <c r="B244" s="5">
        <v>260</v>
      </c>
      <c r="C244" s="6" t="s">
        <v>747</v>
      </c>
      <c r="D244" s="6" t="s">
        <v>748</v>
      </c>
      <c r="E244" s="2"/>
      <c r="F244" s="2"/>
      <c r="G244" s="2"/>
      <c r="H244" s="2"/>
      <c r="K244" s="1" t="str">
        <f t="shared" si="56"/>
        <v>SERBIA AND MONTENEGRO</v>
      </c>
      <c r="L244" s="1">
        <f t="shared" si="57"/>
        <v>263</v>
      </c>
      <c r="V244" s="1" t="str">
        <f>IF([1]TIM!F244="","",[1]TIM!F244)</f>
        <v/>
      </c>
      <c r="W244" s="1" t="str">
        <f t="shared" si="61"/>
        <v/>
      </c>
      <c r="X244" s="1">
        <f t="shared" si="62"/>
        <v>0</v>
      </c>
      <c r="AI244" s="1">
        <f>IF([1]TIM!P244=[1]TIM!P244,[1]TIM!P244,"")</f>
        <v>0</v>
      </c>
      <c r="AJ244" s="1" t="str">
        <f t="shared" si="63"/>
        <v/>
      </c>
      <c r="AK244" s="1" t="str">
        <f t="shared" si="64"/>
        <v>0</v>
      </c>
      <c r="AL244" s="1" t="str">
        <f t="shared" si="65"/>
        <v>0</v>
      </c>
      <c r="AM244" s="1">
        <f t="shared" si="66"/>
        <v>543</v>
      </c>
      <c r="AN244" s="1" t="str">
        <f t="shared" si="67"/>
        <v>/0/543</v>
      </c>
      <c r="AP244" s="1">
        <f>IF([1]TIM!O244=[1]TIM!O244,[1]TIM!O244,"")</f>
        <v>0</v>
      </c>
      <c r="AQ244" s="1" t="str">
        <f t="shared" si="68"/>
        <v/>
      </c>
      <c r="AR244" s="1" t="str">
        <f t="shared" si="69"/>
        <v>0</v>
      </c>
      <c r="AS244" s="1" t="str">
        <f t="shared" si="70"/>
        <v>0</v>
      </c>
      <c r="AT244" s="1">
        <f t="shared" si="71"/>
        <v>543</v>
      </c>
      <c r="AU244" s="1" t="str">
        <f t="shared" si="72"/>
        <v>/0/543</v>
      </c>
    </row>
    <row r="245" spans="2:47" x14ac:dyDescent="0.3">
      <c r="B245" s="5">
        <v>261</v>
      </c>
      <c r="C245" s="6" t="s">
        <v>814</v>
      </c>
      <c r="D245" s="6" t="s">
        <v>815</v>
      </c>
      <c r="E245" s="2"/>
      <c r="F245" s="2"/>
      <c r="G245" s="2"/>
      <c r="H245" s="2"/>
      <c r="K245" s="1" t="str">
        <f t="shared" si="56"/>
        <v>Combodian</v>
      </c>
      <c r="L245" s="1">
        <f t="shared" si="57"/>
        <v>264</v>
      </c>
      <c r="V245" s="1" t="str">
        <f>IF([1]TIM!F245="","",[1]TIM!F245)</f>
        <v/>
      </c>
      <c r="W245" s="1" t="str">
        <f t="shared" si="61"/>
        <v/>
      </c>
      <c r="X245" s="1">
        <f t="shared" si="62"/>
        <v>0</v>
      </c>
      <c r="AI245" s="1">
        <f>IF([1]TIM!P245=[1]TIM!P245,[1]TIM!P245,"")</f>
        <v>0</v>
      </c>
      <c r="AJ245" s="1" t="str">
        <f t="shared" si="63"/>
        <v/>
      </c>
      <c r="AK245" s="1" t="str">
        <f t="shared" si="64"/>
        <v>0</v>
      </c>
      <c r="AL245" s="1" t="str">
        <f t="shared" si="65"/>
        <v>0</v>
      </c>
      <c r="AM245" s="1">
        <f t="shared" si="66"/>
        <v>543</v>
      </c>
      <c r="AN245" s="1" t="str">
        <f t="shared" si="67"/>
        <v>/0/543</v>
      </c>
      <c r="AP245" s="1">
        <f>IF([1]TIM!O245=[1]TIM!O245,[1]TIM!O245,"")</f>
        <v>0</v>
      </c>
      <c r="AQ245" s="1" t="str">
        <f t="shared" si="68"/>
        <v/>
      </c>
      <c r="AR245" s="1" t="str">
        <f t="shared" si="69"/>
        <v>0</v>
      </c>
      <c r="AS245" s="1" t="str">
        <f t="shared" si="70"/>
        <v>0</v>
      </c>
      <c r="AT245" s="1">
        <f t="shared" si="71"/>
        <v>543</v>
      </c>
      <c r="AU245" s="1" t="str">
        <f t="shared" si="72"/>
        <v>/0/543</v>
      </c>
    </row>
    <row r="246" spans="2:47" x14ac:dyDescent="0.3">
      <c r="B246" s="5">
        <v>262</v>
      </c>
      <c r="C246" s="6" t="s">
        <v>816</v>
      </c>
      <c r="D246" s="6" t="s">
        <v>817</v>
      </c>
      <c r="E246" s="2"/>
      <c r="F246" s="2"/>
      <c r="G246" s="2"/>
      <c r="H246" s="2"/>
      <c r="K246" s="1" t="str">
        <f t="shared" si="56"/>
        <v>Myanmar</v>
      </c>
      <c r="L246" s="1">
        <f t="shared" si="57"/>
        <v>265</v>
      </c>
      <c r="V246" s="1" t="str">
        <f>IF([1]TIM!F246="","",[1]TIM!F246)</f>
        <v/>
      </c>
      <c r="W246" s="1" t="str">
        <f t="shared" si="61"/>
        <v/>
      </c>
      <c r="X246" s="1">
        <f t="shared" si="62"/>
        <v>0</v>
      </c>
      <c r="AI246" s="1">
        <f>IF([1]TIM!P246=[1]TIM!P246,[1]TIM!P246,"")</f>
        <v>0</v>
      </c>
      <c r="AJ246" s="1" t="str">
        <f t="shared" si="63"/>
        <v/>
      </c>
      <c r="AK246" s="1" t="str">
        <f t="shared" si="64"/>
        <v>0</v>
      </c>
      <c r="AL246" s="1" t="str">
        <f t="shared" si="65"/>
        <v>0</v>
      </c>
      <c r="AM246" s="1">
        <f t="shared" si="66"/>
        <v>543</v>
      </c>
      <c r="AN246" s="1" t="str">
        <f t="shared" si="67"/>
        <v>/0/543</v>
      </c>
      <c r="AP246" s="1">
        <f>IF([1]TIM!O246=[1]TIM!O246,[1]TIM!O246,"")</f>
        <v>0</v>
      </c>
      <c r="AQ246" s="1" t="str">
        <f t="shared" si="68"/>
        <v/>
      </c>
      <c r="AR246" s="1" t="str">
        <f t="shared" si="69"/>
        <v>0</v>
      </c>
      <c r="AS246" s="1" t="str">
        <f t="shared" si="70"/>
        <v>0</v>
      </c>
      <c r="AT246" s="1">
        <f t="shared" si="71"/>
        <v>543</v>
      </c>
      <c r="AU246" s="1" t="str">
        <f t="shared" si="72"/>
        <v>/0/543</v>
      </c>
    </row>
    <row r="247" spans="2:47" x14ac:dyDescent="0.3">
      <c r="B247" s="5">
        <v>263</v>
      </c>
      <c r="C247" s="6" t="s">
        <v>818</v>
      </c>
      <c r="D247" s="6" t="s">
        <v>753</v>
      </c>
      <c r="E247" s="2"/>
      <c r="F247" s="2"/>
      <c r="G247" s="2"/>
      <c r="H247" s="2"/>
      <c r="K247" s="1" t="str">
        <f t="shared" si="56"/>
        <v>LAO</v>
      </c>
      <c r="L247" s="1">
        <f t="shared" si="57"/>
        <v>266</v>
      </c>
      <c r="V247" s="1" t="str">
        <f>IF([1]TIM!F247="","",[1]TIM!F247)</f>
        <v/>
      </c>
      <c r="W247" s="1" t="str">
        <f t="shared" si="61"/>
        <v/>
      </c>
      <c r="X247" s="1">
        <f t="shared" si="62"/>
        <v>0</v>
      </c>
      <c r="AI247" s="1">
        <f>IF([1]TIM!P247=[1]TIM!P247,[1]TIM!P247,"")</f>
        <v>0</v>
      </c>
      <c r="AJ247" s="1" t="str">
        <f t="shared" si="63"/>
        <v/>
      </c>
      <c r="AK247" s="1" t="str">
        <f t="shared" si="64"/>
        <v>0</v>
      </c>
      <c r="AL247" s="1" t="str">
        <f t="shared" si="65"/>
        <v>0</v>
      </c>
      <c r="AM247" s="1">
        <f t="shared" si="66"/>
        <v>543</v>
      </c>
      <c r="AN247" s="1" t="str">
        <f t="shared" si="67"/>
        <v>/0/543</v>
      </c>
      <c r="AP247" s="1">
        <f>IF([1]TIM!O247=[1]TIM!O247,[1]TIM!O247,"")</f>
        <v>0</v>
      </c>
      <c r="AQ247" s="1" t="str">
        <f t="shared" si="68"/>
        <v/>
      </c>
      <c r="AR247" s="1" t="str">
        <f t="shared" si="69"/>
        <v>0</v>
      </c>
      <c r="AS247" s="1" t="str">
        <f t="shared" si="70"/>
        <v>0</v>
      </c>
      <c r="AT247" s="1">
        <f t="shared" si="71"/>
        <v>543</v>
      </c>
      <c r="AU247" s="1" t="str">
        <f t="shared" si="72"/>
        <v>/0/543</v>
      </c>
    </row>
    <row r="248" spans="2:47" x14ac:dyDescent="0.3">
      <c r="B248" s="5">
        <v>264</v>
      </c>
      <c r="C248" s="6" t="s">
        <v>819</v>
      </c>
      <c r="D248" s="6" t="s">
        <v>820</v>
      </c>
      <c r="E248" s="2"/>
      <c r="F248" s="2"/>
      <c r="G248" s="2"/>
      <c r="H248" s="2"/>
      <c r="K248" s="1" t="str">
        <f t="shared" si="56"/>
        <v>SERBIAN</v>
      </c>
      <c r="L248" s="1">
        <f t="shared" si="57"/>
        <v>267</v>
      </c>
      <c r="V248" s="1" t="str">
        <f>IF([1]TIM!F248="","",[1]TIM!F248)</f>
        <v/>
      </c>
      <c r="W248" s="1" t="str">
        <f t="shared" si="61"/>
        <v/>
      </c>
      <c r="X248" s="1">
        <f t="shared" si="62"/>
        <v>0</v>
      </c>
      <c r="AI248" s="1">
        <f>IF([1]TIM!P248=[1]TIM!P248,[1]TIM!P248,"")</f>
        <v>0</v>
      </c>
      <c r="AJ248" s="1" t="str">
        <f t="shared" si="63"/>
        <v/>
      </c>
      <c r="AK248" s="1" t="str">
        <f t="shared" si="64"/>
        <v>0</v>
      </c>
      <c r="AL248" s="1" t="str">
        <f t="shared" si="65"/>
        <v>0</v>
      </c>
      <c r="AM248" s="1">
        <f t="shared" si="66"/>
        <v>543</v>
      </c>
      <c r="AN248" s="1" t="str">
        <f t="shared" si="67"/>
        <v>/0/543</v>
      </c>
      <c r="AP248" s="1">
        <f>IF([1]TIM!O248=[1]TIM!O248,[1]TIM!O248,"")</f>
        <v>0</v>
      </c>
      <c r="AQ248" s="1" t="str">
        <f t="shared" si="68"/>
        <v/>
      </c>
      <c r="AR248" s="1" t="str">
        <f t="shared" si="69"/>
        <v>0</v>
      </c>
      <c r="AS248" s="1" t="str">
        <f t="shared" si="70"/>
        <v>0</v>
      </c>
      <c r="AT248" s="1">
        <f t="shared" si="71"/>
        <v>543</v>
      </c>
      <c r="AU248" s="1" t="str">
        <f t="shared" si="72"/>
        <v>/0/543</v>
      </c>
    </row>
    <row r="249" spans="2:47" x14ac:dyDescent="0.3">
      <c r="B249" s="5">
        <v>265</v>
      </c>
      <c r="C249" s="6" t="s">
        <v>821</v>
      </c>
      <c r="D249" s="6" t="s">
        <v>209</v>
      </c>
      <c r="E249" s="2"/>
      <c r="F249" s="2"/>
      <c r="G249" s="2"/>
      <c r="H249" s="2"/>
      <c r="K249" s="1" t="str">
        <f t="shared" si="56"/>
        <v>MONTENEGRIN</v>
      </c>
      <c r="L249" s="1">
        <f t="shared" si="57"/>
        <v>268</v>
      </c>
      <c r="V249" s="1" t="str">
        <f>IF([1]TIM!F249="","",[1]TIM!F249)</f>
        <v/>
      </c>
      <c r="W249" s="1" t="str">
        <f t="shared" si="61"/>
        <v/>
      </c>
      <c r="X249" s="1">
        <f t="shared" si="62"/>
        <v>0</v>
      </c>
      <c r="AI249" s="1">
        <f>IF([1]TIM!P249=[1]TIM!P249,[1]TIM!P249,"")</f>
        <v>0</v>
      </c>
      <c r="AJ249" s="1" t="str">
        <f t="shared" si="63"/>
        <v/>
      </c>
      <c r="AK249" s="1" t="str">
        <f t="shared" si="64"/>
        <v>0</v>
      </c>
      <c r="AL249" s="1" t="str">
        <f t="shared" si="65"/>
        <v>0</v>
      </c>
      <c r="AM249" s="1">
        <f t="shared" si="66"/>
        <v>543</v>
      </c>
      <c r="AN249" s="1" t="str">
        <f t="shared" si="67"/>
        <v>/0/543</v>
      </c>
      <c r="AP249" s="1">
        <f>IF([1]TIM!O249=[1]TIM!O249,[1]TIM!O249,"")</f>
        <v>0</v>
      </c>
      <c r="AQ249" s="1" t="str">
        <f t="shared" si="68"/>
        <v/>
      </c>
      <c r="AR249" s="1" t="str">
        <f t="shared" si="69"/>
        <v>0</v>
      </c>
      <c r="AS249" s="1" t="str">
        <f t="shared" si="70"/>
        <v>0</v>
      </c>
      <c r="AT249" s="1">
        <f t="shared" si="71"/>
        <v>543</v>
      </c>
      <c r="AU249" s="1" t="str">
        <f t="shared" si="72"/>
        <v>/0/543</v>
      </c>
    </row>
    <row r="250" spans="2:47" x14ac:dyDescent="0.3">
      <c r="B250" s="5">
        <v>266</v>
      </c>
      <c r="C250" s="6" t="s">
        <v>822</v>
      </c>
      <c r="D250" s="6" t="s">
        <v>242</v>
      </c>
      <c r="E250" s="2"/>
      <c r="F250" s="2"/>
      <c r="G250" s="2"/>
      <c r="H250" s="2"/>
      <c r="K250" s="1" t="str">
        <f t="shared" si="56"/>
        <v>Cabo Verde</v>
      </c>
      <c r="L250" s="1">
        <f t="shared" si="57"/>
        <v>270</v>
      </c>
      <c r="V250" s="1" t="str">
        <f>IF([1]TIM!F250="","",[1]TIM!F250)</f>
        <v/>
      </c>
      <c r="W250" s="1" t="str">
        <f t="shared" si="61"/>
        <v/>
      </c>
      <c r="X250" s="1">
        <f t="shared" si="62"/>
        <v>0</v>
      </c>
      <c r="AI250" s="1">
        <f>IF([1]TIM!P250=[1]TIM!P250,[1]TIM!P250,"")</f>
        <v>0</v>
      </c>
      <c r="AJ250" s="1" t="str">
        <f t="shared" si="63"/>
        <v/>
      </c>
      <c r="AK250" s="1" t="str">
        <f t="shared" si="64"/>
        <v>0</v>
      </c>
      <c r="AL250" s="1" t="str">
        <f t="shared" si="65"/>
        <v>0</v>
      </c>
      <c r="AM250" s="1">
        <f t="shared" si="66"/>
        <v>543</v>
      </c>
      <c r="AN250" s="1" t="str">
        <f t="shared" si="67"/>
        <v>/0/543</v>
      </c>
      <c r="AP250" s="1">
        <f>IF([1]TIM!O250=[1]TIM!O250,[1]TIM!O250,"")</f>
        <v>0</v>
      </c>
      <c r="AQ250" s="1" t="str">
        <f t="shared" si="68"/>
        <v/>
      </c>
      <c r="AR250" s="1" t="str">
        <f t="shared" si="69"/>
        <v>0</v>
      </c>
      <c r="AS250" s="1" t="str">
        <f t="shared" si="70"/>
        <v>0</v>
      </c>
      <c r="AT250" s="1">
        <f t="shared" si="71"/>
        <v>543</v>
      </c>
      <c r="AU250" s="1" t="str">
        <f t="shared" si="72"/>
        <v>/0/543</v>
      </c>
    </row>
    <row r="251" spans="2:47" x14ac:dyDescent="0.3">
      <c r="B251" s="5">
        <v>267</v>
      </c>
      <c r="C251" s="6" t="s">
        <v>823</v>
      </c>
      <c r="D251" s="6" t="s">
        <v>824</v>
      </c>
      <c r="E251" s="2"/>
      <c r="F251" s="2"/>
      <c r="G251" s="2"/>
      <c r="H251" s="2"/>
      <c r="K251" s="1" t="str">
        <f t="shared" si="56"/>
        <v>KOSOVO</v>
      </c>
      <c r="L251" s="1">
        <f t="shared" si="57"/>
        <v>271</v>
      </c>
      <c r="V251" s="1" t="str">
        <f>IF([1]TIM!F251="","",[1]TIM!F251)</f>
        <v/>
      </c>
      <c r="W251" s="1" t="str">
        <f t="shared" si="61"/>
        <v/>
      </c>
      <c r="X251" s="1">
        <f t="shared" si="62"/>
        <v>0</v>
      </c>
      <c r="AI251" s="1">
        <f>IF([1]TIM!P251=[1]TIM!P251,[1]TIM!P251,"")</f>
        <v>0</v>
      </c>
      <c r="AJ251" s="1" t="str">
        <f t="shared" si="63"/>
        <v/>
      </c>
      <c r="AK251" s="1" t="str">
        <f t="shared" si="64"/>
        <v>0</v>
      </c>
      <c r="AL251" s="1" t="str">
        <f t="shared" si="65"/>
        <v>0</v>
      </c>
      <c r="AM251" s="1">
        <f t="shared" si="66"/>
        <v>543</v>
      </c>
      <c r="AN251" s="1" t="str">
        <f t="shared" si="67"/>
        <v>/0/543</v>
      </c>
      <c r="AP251" s="1">
        <f>IF([1]TIM!O251=[1]TIM!O251,[1]TIM!O251,"")</f>
        <v>0</v>
      </c>
      <c r="AQ251" s="1" t="str">
        <f t="shared" si="68"/>
        <v/>
      </c>
      <c r="AR251" s="1" t="str">
        <f t="shared" si="69"/>
        <v>0</v>
      </c>
      <c r="AS251" s="1" t="str">
        <f t="shared" si="70"/>
        <v>0</v>
      </c>
      <c r="AT251" s="1">
        <f t="shared" si="71"/>
        <v>543</v>
      </c>
      <c r="AU251" s="1" t="str">
        <f t="shared" si="72"/>
        <v>/0/543</v>
      </c>
    </row>
    <row r="252" spans="2:47" x14ac:dyDescent="0.3">
      <c r="B252" s="5">
        <v>268</v>
      </c>
      <c r="C252" s="6" t="s">
        <v>825</v>
      </c>
      <c r="D252" s="6" t="s">
        <v>826</v>
      </c>
      <c r="E252" s="2"/>
      <c r="F252" s="2"/>
      <c r="G252" s="2"/>
      <c r="H252" s="2"/>
      <c r="K252" s="1" t="str">
        <f t="shared" si="56"/>
        <v>South Sudan</v>
      </c>
      <c r="L252" s="1">
        <f t="shared" si="57"/>
        <v>272</v>
      </c>
      <c r="V252" s="1" t="str">
        <f>IF([1]TIM!F252="","",[1]TIM!F252)</f>
        <v/>
      </c>
      <c r="W252" s="1" t="str">
        <f t="shared" si="61"/>
        <v/>
      </c>
      <c r="X252" s="1">
        <f t="shared" si="62"/>
        <v>0</v>
      </c>
      <c r="AI252" s="1">
        <f>IF([1]TIM!P252=[1]TIM!P252,[1]TIM!P252,"")</f>
        <v>0</v>
      </c>
      <c r="AJ252" s="1" t="str">
        <f t="shared" si="63"/>
        <v/>
      </c>
      <c r="AK252" s="1" t="str">
        <f t="shared" si="64"/>
        <v>0</v>
      </c>
      <c r="AL252" s="1" t="str">
        <f t="shared" si="65"/>
        <v>0</v>
      </c>
      <c r="AM252" s="1">
        <f t="shared" si="66"/>
        <v>543</v>
      </c>
      <c r="AN252" s="1" t="str">
        <f t="shared" si="67"/>
        <v>/0/543</v>
      </c>
      <c r="AP252" s="1">
        <f>IF([1]TIM!O252=[1]TIM!O252,[1]TIM!O252,"")</f>
        <v>0</v>
      </c>
      <c r="AQ252" s="1" t="str">
        <f t="shared" si="68"/>
        <v/>
      </c>
      <c r="AR252" s="1" t="str">
        <f t="shared" si="69"/>
        <v>0</v>
      </c>
      <c r="AS252" s="1" t="str">
        <f t="shared" si="70"/>
        <v>0</v>
      </c>
      <c r="AT252" s="1">
        <f t="shared" si="71"/>
        <v>543</v>
      </c>
      <c r="AU252" s="1" t="str">
        <f t="shared" si="72"/>
        <v>/0/543</v>
      </c>
    </row>
    <row r="253" spans="2:47" x14ac:dyDescent="0.3">
      <c r="B253" s="5">
        <v>270</v>
      </c>
      <c r="C253" s="6" t="s">
        <v>827</v>
      </c>
      <c r="D253" s="6" t="s">
        <v>828</v>
      </c>
      <c r="E253" s="2"/>
      <c r="F253" s="2"/>
      <c r="G253" s="2"/>
      <c r="H253" s="2"/>
      <c r="K253" s="1" t="str">
        <f t="shared" si="56"/>
        <v>-</v>
      </c>
      <c r="L253" s="1">
        <f t="shared" si="57"/>
        <v>273</v>
      </c>
      <c r="V253" s="1" t="str">
        <f>IF([1]TIM!F253="","",[1]TIM!F253)</f>
        <v/>
      </c>
      <c r="W253" s="1" t="str">
        <f t="shared" si="61"/>
        <v/>
      </c>
      <c r="X253" s="1">
        <f t="shared" si="62"/>
        <v>0</v>
      </c>
      <c r="AI253" s="1">
        <f>IF([1]TIM!P253=[1]TIM!P253,[1]TIM!P253,"")</f>
        <v>0</v>
      </c>
      <c r="AJ253" s="1" t="str">
        <f t="shared" si="63"/>
        <v/>
      </c>
      <c r="AK253" s="1" t="str">
        <f t="shared" si="64"/>
        <v>0</v>
      </c>
      <c r="AL253" s="1" t="str">
        <f t="shared" si="65"/>
        <v>0</v>
      </c>
      <c r="AM253" s="1">
        <f t="shared" si="66"/>
        <v>543</v>
      </c>
      <c r="AN253" s="1" t="str">
        <f t="shared" si="67"/>
        <v>/0/543</v>
      </c>
      <c r="AP253" s="1">
        <f>IF([1]TIM!O253=[1]TIM!O253,[1]TIM!O253,"")</f>
        <v>0</v>
      </c>
      <c r="AQ253" s="1" t="str">
        <f t="shared" si="68"/>
        <v/>
      </c>
      <c r="AR253" s="1" t="str">
        <f t="shared" si="69"/>
        <v>0</v>
      </c>
      <c r="AS253" s="1" t="str">
        <f t="shared" si="70"/>
        <v>0</v>
      </c>
      <c r="AT253" s="1">
        <f t="shared" si="71"/>
        <v>543</v>
      </c>
      <c r="AU253" s="1" t="str">
        <f t="shared" si="72"/>
        <v>/0/543</v>
      </c>
    </row>
    <row r="254" spans="2:47" x14ac:dyDescent="0.3">
      <c r="B254" s="5">
        <v>271</v>
      </c>
      <c r="C254" s="6" t="s">
        <v>829</v>
      </c>
      <c r="D254" s="6" t="s">
        <v>830</v>
      </c>
      <c r="E254" s="2"/>
      <c r="F254" s="2"/>
      <c r="G254" s="2"/>
      <c r="H254" s="2"/>
      <c r="K254" s="1" t="str">
        <f t="shared" si="56"/>
        <v>-</v>
      </c>
      <c r="L254" s="1">
        <f t="shared" si="57"/>
        <v>274</v>
      </c>
      <c r="V254" s="1" t="str">
        <f>IF([1]TIM!F254="","",[1]TIM!F254)</f>
        <v/>
      </c>
      <c r="W254" s="1" t="str">
        <f t="shared" si="61"/>
        <v/>
      </c>
      <c r="X254" s="1">
        <f t="shared" si="62"/>
        <v>0</v>
      </c>
      <c r="AI254" s="1">
        <f>IF([1]TIM!P254=[1]TIM!P254,[1]TIM!P254,"")</f>
        <v>0</v>
      </c>
      <c r="AJ254" s="1" t="str">
        <f t="shared" si="63"/>
        <v/>
      </c>
      <c r="AK254" s="1" t="str">
        <f t="shared" si="64"/>
        <v>0</v>
      </c>
      <c r="AL254" s="1" t="str">
        <f t="shared" si="65"/>
        <v>0</v>
      </c>
      <c r="AM254" s="1">
        <f t="shared" si="66"/>
        <v>543</v>
      </c>
      <c r="AN254" s="1" t="str">
        <f t="shared" si="67"/>
        <v>/0/543</v>
      </c>
      <c r="AP254" s="1">
        <f>IF([1]TIM!O254=[1]TIM!O254,[1]TIM!O254,"")</f>
        <v>0</v>
      </c>
      <c r="AQ254" s="1" t="str">
        <f t="shared" si="68"/>
        <v/>
      </c>
      <c r="AR254" s="1" t="str">
        <f t="shared" si="69"/>
        <v>0</v>
      </c>
      <c r="AS254" s="1" t="str">
        <f t="shared" si="70"/>
        <v>0</v>
      </c>
      <c r="AT254" s="1">
        <f t="shared" si="71"/>
        <v>543</v>
      </c>
      <c r="AU254" s="1" t="str">
        <f t="shared" si="72"/>
        <v>/0/543</v>
      </c>
    </row>
    <row r="255" spans="2:47" x14ac:dyDescent="0.3">
      <c r="B255" s="5">
        <v>272</v>
      </c>
      <c r="C255" s="6" t="s">
        <v>831</v>
      </c>
      <c r="D255" s="6" t="s">
        <v>832</v>
      </c>
      <c r="E255" s="2"/>
      <c r="F255" s="2"/>
      <c r="G255" s="2"/>
      <c r="H255" s="2"/>
      <c r="K255" s="1" t="str">
        <f t="shared" si="56"/>
        <v>-</v>
      </c>
      <c r="L255" s="1">
        <f t="shared" si="57"/>
        <v>275</v>
      </c>
      <c r="V255" s="1" t="str">
        <f>IF([1]TIM!F255="","",[1]TIM!F255)</f>
        <v/>
      </c>
      <c r="W255" s="1" t="str">
        <f t="shared" si="61"/>
        <v/>
      </c>
      <c r="X255" s="1">
        <f t="shared" si="62"/>
        <v>0</v>
      </c>
      <c r="AI255" s="1">
        <f>IF([1]TIM!P255=[1]TIM!P255,[1]TIM!P255,"")</f>
        <v>0</v>
      </c>
      <c r="AJ255" s="1" t="str">
        <f t="shared" si="63"/>
        <v/>
      </c>
      <c r="AK255" s="1" t="str">
        <f t="shared" si="64"/>
        <v>0</v>
      </c>
      <c r="AL255" s="1" t="str">
        <f t="shared" si="65"/>
        <v>0</v>
      </c>
      <c r="AM255" s="1">
        <f t="shared" si="66"/>
        <v>543</v>
      </c>
      <c r="AN255" s="1" t="str">
        <f t="shared" si="67"/>
        <v>/0/543</v>
      </c>
      <c r="AP255" s="1">
        <f>IF([1]TIM!O255=[1]TIM!O255,[1]TIM!O255,"")</f>
        <v>0</v>
      </c>
      <c r="AQ255" s="1" t="str">
        <f t="shared" si="68"/>
        <v/>
      </c>
      <c r="AR255" s="1" t="str">
        <f t="shared" si="69"/>
        <v>0</v>
      </c>
      <c r="AS255" s="1" t="str">
        <f t="shared" si="70"/>
        <v>0</v>
      </c>
      <c r="AT255" s="1">
        <f t="shared" si="71"/>
        <v>543</v>
      </c>
      <c r="AU255" s="1" t="str">
        <f t="shared" si="72"/>
        <v>/0/543</v>
      </c>
    </row>
    <row r="256" spans="2:47" x14ac:dyDescent="0.3">
      <c r="B256" s="5">
        <v>273</v>
      </c>
      <c r="C256" s="6" t="s">
        <v>833</v>
      </c>
      <c r="D256" s="6" t="s">
        <v>834</v>
      </c>
      <c r="E256" s="2"/>
      <c r="F256" s="2"/>
      <c r="G256" s="2"/>
      <c r="H256" s="2"/>
      <c r="K256" s="1" t="str">
        <f t="shared" si="56"/>
        <v>-</v>
      </c>
      <c r="L256" s="1">
        <f t="shared" si="57"/>
        <v>276</v>
      </c>
      <c r="V256" s="1" t="str">
        <f>IF([1]TIM!F256="","",[1]TIM!F256)</f>
        <v/>
      </c>
      <c r="W256" s="1" t="str">
        <f t="shared" si="61"/>
        <v/>
      </c>
      <c r="X256" s="1">
        <f t="shared" si="62"/>
        <v>0</v>
      </c>
      <c r="AI256" s="1">
        <f>IF([1]TIM!P256=[1]TIM!P256,[1]TIM!P256,"")</f>
        <v>0</v>
      </c>
      <c r="AJ256" s="1" t="str">
        <f t="shared" si="63"/>
        <v/>
      </c>
      <c r="AK256" s="1" t="str">
        <f t="shared" si="64"/>
        <v>0</v>
      </c>
      <c r="AL256" s="1" t="str">
        <f t="shared" si="65"/>
        <v>0</v>
      </c>
      <c r="AM256" s="1">
        <f t="shared" si="66"/>
        <v>543</v>
      </c>
      <c r="AN256" s="1" t="str">
        <f t="shared" si="67"/>
        <v>/0/543</v>
      </c>
      <c r="AP256" s="1">
        <f>IF([1]TIM!O256=[1]TIM!O256,[1]TIM!O256,"")</f>
        <v>0</v>
      </c>
      <c r="AQ256" s="1" t="str">
        <f t="shared" si="68"/>
        <v/>
      </c>
      <c r="AR256" s="1" t="str">
        <f t="shared" si="69"/>
        <v>0</v>
      </c>
      <c r="AS256" s="1" t="str">
        <f t="shared" si="70"/>
        <v>0</v>
      </c>
      <c r="AT256" s="1">
        <f t="shared" si="71"/>
        <v>543</v>
      </c>
      <c r="AU256" s="1" t="str">
        <f t="shared" si="72"/>
        <v>/0/543</v>
      </c>
    </row>
    <row r="257" spans="2:47" x14ac:dyDescent="0.3">
      <c r="B257" s="5">
        <v>274</v>
      </c>
      <c r="C257" s="6" t="s">
        <v>835</v>
      </c>
      <c r="D257" s="6" t="s">
        <v>834</v>
      </c>
      <c r="E257" s="2"/>
      <c r="F257" s="2"/>
      <c r="G257" s="2"/>
      <c r="H257" s="2"/>
      <c r="K257" s="1" t="str">
        <f t="shared" si="56"/>
        <v>-</v>
      </c>
      <c r="L257" s="1">
        <f t="shared" si="57"/>
        <v>282</v>
      </c>
      <c r="V257" s="1" t="str">
        <f>IF([1]TIM!F257="","",[1]TIM!F257)</f>
        <v/>
      </c>
      <c r="W257" s="1" t="str">
        <f t="shared" si="61"/>
        <v/>
      </c>
      <c r="X257" s="1">
        <f t="shared" si="62"/>
        <v>0</v>
      </c>
      <c r="AI257" s="1">
        <f>IF([1]TIM!P257=[1]TIM!P257,[1]TIM!P257,"")</f>
        <v>0</v>
      </c>
      <c r="AJ257" s="1" t="str">
        <f t="shared" si="63"/>
        <v/>
      </c>
      <c r="AK257" s="1" t="str">
        <f t="shared" si="64"/>
        <v>0</v>
      </c>
      <c r="AL257" s="1" t="str">
        <f t="shared" si="65"/>
        <v>0</v>
      </c>
      <c r="AM257" s="1">
        <f t="shared" si="66"/>
        <v>543</v>
      </c>
      <c r="AN257" s="1" t="str">
        <f t="shared" si="67"/>
        <v>/0/543</v>
      </c>
      <c r="AP257" s="1">
        <f>IF([1]TIM!O257=[1]TIM!O257,[1]TIM!O257,"")</f>
        <v>0</v>
      </c>
      <c r="AQ257" s="1" t="str">
        <f t="shared" si="68"/>
        <v/>
      </c>
      <c r="AR257" s="1" t="str">
        <f t="shared" si="69"/>
        <v>0</v>
      </c>
      <c r="AS257" s="1" t="str">
        <f t="shared" si="70"/>
        <v>0</v>
      </c>
      <c r="AT257" s="1">
        <f t="shared" si="71"/>
        <v>543</v>
      </c>
      <c r="AU257" s="1" t="str">
        <f t="shared" si="72"/>
        <v>/0/543</v>
      </c>
    </row>
    <row r="258" spans="2:47" x14ac:dyDescent="0.3">
      <c r="B258" s="5">
        <v>275</v>
      </c>
      <c r="C258" s="6" t="s">
        <v>836</v>
      </c>
      <c r="D258" s="6" t="s">
        <v>834</v>
      </c>
      <c r="E258" s="2"/>
      <c r="F258" s="2"/>
      <c r="G258" s="2"/>
      <c r="H258" s="2"/>
      <c r="K258" s="1" t="str">
        <f t="shared" si="56"/>
        <v>-</v>
      </c>
      <c r="L258" s="1">
        <f t="shared" si="57"/>
        <v>989</v>
      </c>
      <c r="V258" s="1" t="str">
        <f>IF([1]TIM!F258="","",[1]TIM!F258)</f>
        <v/>
      </c>
      <c r="W258" s="1" t="str">
        <f t="shared" si="61"/>
        <v/>
      </c>
      <c r="X258" s="1">
        <f t="shared" si="62"/>
        <v>0</v>
      </c>
      <c r="AI258" s="1">
        <f>IF([1]TIM!P258=[1]TIM!P258,[1]TIM!P258,"")</f>
        <v>0</v>
      </c>
      <c r="AJ258" s="1" t="str">
        <f t="shared" si="63"/>
        <v/>
      </c>
      <c r="AK258" s="1" t="str">
        <f t="shared" si="64"/>
        <v>0</v>
      </c>
      <c r="AL258" s="1" t="str">
        <f t="shared" si="65"/>
        <v>0</v>
      </c>
      <c r="AM258" s="1">
        <f t="shared" si="66"/>
        <v>543</v>
      </c>
      <c r="AN258" s="1" t="str">
        <f t="shared" si="67"/>
        <v>/0/543</v>
      </c>
      <c r="AP258" s="1">
        <f>IF([1]TIM!O258=[1]TIM!O258,[1]TIM!O258,"")</f>
        <v>0</v>
      </c>
      <c r="AQ258" s="1" t="str">
        <f t="shared" si="68"/>
        <v/>
      </c>
      <c r="AR258" s="1" t="str">
        <f t="shared" si="69"/>
        <v>0</v>
      </c>
      <c r="AS258" s="1" t="str">
        <f t="shared" si="70"/>
        <v>0</v>
      </c>
      <c r="AT258" s="1">
        <f t="shared" si="71"/>
        <v>543</v>
      </c>
      <c r="AU258" s="1" t="str">
        <f t="shared" si="72"/>
        <v>/0/543</v>
      </c>
    </row>
    <row r="259" spans="2:47" x14ac:dyDescent="0.3">
      <c r="B259" s="5">
        <v>276</v>
      </c>
      <c r="C259" s="6" t="s">
        <v>837</v>
      </c>
      <c r="D259" s="6" t="s">
        <v>834</v>
      </c>
      <c r="E259" s="2"/>
      <c r="F259" s="2"/>
      <c r="G259" s="2"/>
      <c r="H259" s="2"/>
      <c r="V259" s="1" t="str">
        <f>IF([1]TIM!F259="","",[1]TIM!F259)</f>
        <v/>
      </c>
      <c r="W259" s="1" t="str">
        <f t="shared" ref="W259:W322" si="73">IFERROR(VLOOKUP(V259,$J$2:$N$258,5,FALSE),"")</f>
        <v/>
      </c>
      <c r="X259" s="1">
        <f t="shared" ref="X259:X322" si="74">IFERROR(VLOOKUP(V259,$P$2:$T$208,5,FALSE),"")</f>
        <v>0</v>
      </c>
      <c r="AI259" s="1">
        <f>IF([1]TIM!P259=[1]TIM!P259,[1]TIM!P259,"")</f>
        <v>0</v>
      </c>
      <c r="AJ259" s="1" t="str">
        <f t="shared" ref="AJ259:AJ322" si="75">MID(AI259,4,2)</f>
        <v/>
      </c>
      <c r="AK259" s="1" t="str">
        <f t="shared" ref="AK259:AK322" si="76">LEFT(AI259,2)</f>
        <v>0</v>
      </c>
      <c r="AL259" s="1" t="str">
        <f t="shared" ref="AL259:AL322" si="77">RIGHT(AI259,4)</f>
        <v>0</v>
      </c>
      <c r="AM259" s="1">
        <f t="shared" ref="AM259:AM322" si="78">AL259+543</f>
        <v>543</v>
      </c>
      <c r="AN259" s="1" t="str">
        <f t="shared" ref="AN259:AN322" si="79">AJ259&amp;"/"&amp;AK259&amp;"/"&amp;AM259</f>
        <v>/0/543</v>
      </c>
      <c r="AP259" s="1">
        <f>IF([1]TIM!O259=[1]TIM!O259,[1]TIM!O259,"")</f>
        <v>0</v>
      </c>
      <c r="AQ259" s="1" t="str">
        <f t="shared" ref="AQ259:AQ322" si="80">MID(AP259,4,2)</f>
        <v/>
      </c>
      <c r="AR259" s="1" t="str">
        <f t="shared" ref="AR259:AR322" si="81">LEFT(AP259,2)</f>
        <v>0</v>
      </c>
      <c r="AS259" s="1" t="str">
        <f t="shared" ref="AS259:AS322" si="82">RIGHT(AP259,4)</f>
        <v>0</v>
      </c>
      <c r="AT259" s="1">
        <f t="shared" ref="AT259:AT322" si="83">AS259+543</f>
        <v>543</v>
      </c>
      <c r="AU259" s="1" t="str">
        <f t="shared" ref="AU259:AU322" si="84">AQ259&amp;"/"&amp;AR259&amp;"/"&amp;AT259</f>
        <v>/0/543</v>
      </c>
    </row>
    <row r="260" spans="2:47" x14ac:dyDescent="0.3">
      <c r="B260" s="5">
        <v>282</v>
      </c>
      <c r="C260" s="6" t="s">
        <v>838</v>
      </c>
      <c r="D260" s="6" t="s">
        <v>834</v>
      </c>
      <c r="E260" s="2"/>
      <c r="F260" s="2"/>
      <c r="G260" s="2"/>
      <c r="H260" s="2"/>
      <c r="V260" s="1" t="str">
        <f>IF([1]TIM!F260="","",[1]TIM!F260)</f>
        <v/>
      </c>
      <c r="W260" s="1" t="str">
        <f t="shared" si="73"/>
        <v/>
      </c>
      <c r="X260" s="1">
        <f t="shared" si="74"/>
        <v>0</v>
      </c>
      <c r="AI260" s="1">
        <f>IF([1]TIM!P260=[1]TIM!P260,[1]TIM!P260,"")</f>
        <v>0</v>
      </c>
      <c r="AJ260" s="1" t="str">
        <f t="shared" si="75"/>
        <v/>
      </c>
      <c r="AK260" s="1" t="str">
        <f t="shared" si="76"/>
        <v>0</v>
      </c>
      <c r="AL260" s="1" t="str">
        <f t="shared" si="77"/>
        <v>0</v>
      </c>
      <c r="AM260" s="1">
        <f t="shared" si="78"/>
        <v>543</v>
      </c>
      <c r="AN260" s="1" t="str">
        <f t="shared" si="79"/>
        <v>/0/543</v>
      </c>
      <c r="AP260" s="1">
        <f>IF([1]TIM!O260=[1]TIM!O260,[1]TIM!O260,"")</f>
        <v>0</v>
      </c>
      <c r="AQ260" s="1" t="str">
        <f t="shared" si="80"/>
        <v/>
      </c>
      <c r="AR260" s="1" t="str">
        <f t="shared" si="81"/>
        <v>0</v>
      </c>
      <c r="AS260" s="1" t="str">
        <f t="shared" si="82"/>
        <v>0</v>
      </c>
      <c r="AT260" s="1">
        <f t="shared" si="83"/>
        <v>543</v>
      </c>
      <c r="AU260" s="1" t="str">
        <f t="shared" si="84"/>
        <v>/0/543</v>
      </c>
    </row>
    <row r="261" spans="2:47" x14ac:dyDescent="0.3">
      <c r="B261" s="5">
        <v>989</v>
      </c>
      <c r="C261" s="6" t="s">
        <v>839</v>
      </c>
      <c r="D261" s="6" t="s">
        <v>834</v>
      </c>
      <c r="E261" s="2"/>
      <c r="F261" s="2"/>
      <c r="G261" s="2"/>
      <c r="H261" s="2"/>
      <c r="V261" s="1" t="str">
        <f>IF([1]TIM!F261="","",[1]TIM!F261)</f>
        <v/>
      </c>
      <c r="W261" s="1" t="str">
        <f t="shared" si="73"/>
        <v/>
      </c>
      <c r="X261" s="1">
        <f t="shared" si="74"/>
        <v>0</v>
      </c>
      <c r="AI261" s="1">
        <f>IF([1]TIM!P261=[1]TIM!P261,[1]TIM!P261,"")</f>
        <v>0</v>
      </c>
      <c r="AJ261" s="1" t="str">
        <f t="shared" si="75"/>
        <v/>
      </c>
      <c r="AK261" s="1" t="str">
        <f t="shared" si="76"/>
        <v>0</v>
      </c>
      <c r="AL261" s="1" t="str">
        <f t="shared" si="77"/>
        <v>0</v>
      </c>
      <c r="AM261" s="1">
        <f t="shared" si="78"/>
        <v>543</v>
      </c>
      <c r="AN261" s="1" t="str">
        <f t="shared" si="79"/>
        <v>/0/543</v>
      </c>
      <c r="AP261" s="1">
        <f>IF([1]TIM!O261=[1]TIM!O261,[1]TIM!O261,"")</f>
        <v>0</v>
      </c>
      <c r="AQ261" s="1" t="str">
        <f t="shared" si="80"/>
        <v/>
      </c>
      <c r="AR261" s="1" t="str">
        <f t="shared" si="81"/>
        <v>0</v>
      </c>
      <c r="AS261" s="1" t="str">
        <f t="shared" si="82"/>
        <v>0</v>
      </c>
      <c r="AT261" s="1">
        <f t="shared" si="83"/>
        <v>543</v>
      </c>
      <c r="AU261" s="1" t="str">
        <f t="shared" si="84"/>
        <v>/0/543</v>
      </c>
    </row>
    <row r="262" spans="2:47" x14ac:dyDescent="0.3">
      <c r="E262" s="2"/>
      <c r="F262" s="2"/>
      <c r="G262" s="2"/>
      <c r="H262" s="2"/>
      <c r="V262" s="1" t="str">
        <f>IF([1]TIM!F262="","",[1]TIM!F262)</f>
        <v/>
      </c>
      <c r="W262" s="1" t="str">
        <f t="shared" si="73"/>
        <v/>
      </c>
      <c r="X262" s="1">
        <f t="shared" si="74"/>
        <v>0</v>
      </c>
      <c r="AI262" s="1">
        <f>IF([1]TIM!P262=[1]TIM!P262,[1]TIM!P262,"")</f>
        <v>0</v>
      </c>
      <c r="AJ262" s="1" t="str">
        <f t="shared" si="75"/>
        <v/>
      </c>
      <c r="AK262" s="1" t="str">
        <f t="shared" si="76"/>
        <v>0</v>
      </c>
      <c r="AL262" s="1" t="str">
        <f t="shared" si="77"/>
        <v>0</v>
      </c>
      <c r="AM262" s="1">
        <f t="shared" si="78"/>
        <v>543</v>
      </c>
      <c r="AN262" s="1" t="str">
        <f t="shared" si="79"/>
        <v>/0/543</v>
      </c>
      <c r="AP262" s="1">
        <f>IF([1]TIM!O262=[1]TIM!O262,[1]TIM!O262,"")</f>
        <v>0</v>
      </c>
      <c r="AQ262" s="1" t="str">
        <f t="shared" si="80"/>
        <v/>
      </c>
      <c r="AR262" s="1" t="str">
        <f t="shared" si="81"/>
        <v>0</v>
      </c>
      <c r="AS262" s="1" t="str">
        <f t="shared" si="82"/>
        <v>0</v>
      </c>
      <c r="AT262" s="1">
        <f t="shared" si="83"/>
        <v>543</v>
      </c>
      <c r="AU262" s="1" t="str">
        <f t="shared" si="84"/>
        <v>/0/543</v>
      </c>
    </row>
    <row r="263" spans="2:47" x14ac:dyDescent="0.3">
      <c r="E263" s="2"/>
      <c r="F263" s="2"/>
      <c r="G263" s="2"/>
      <c r="H263" s="2"/>
      <c r="V263" s="1" t="str">
        <f>IF([1]TIM!F263="","",[1]TIM!F263)</f>
        <v/>
      </c>
      <c r="W263" s="1" t="str">
        <f t="shared" si="73"/>
        <v/>
      </c>
      <c r="X263" s="1">
        <f t="shared" si="74"/>
        <v>0</v>
      </c>
      <c r="AI263" s="1">
        <f>IF([1]TIM!P263=[1]TIM!P263,[1]TIM!P263,"")</f>
        <v>0</v>
      </c>
      <c r="AJ263" s="1" t="str">
        <f t="shared" si="75"/>
        <v/>
      </c>
      <c r="AK263" s="1" t="str">
        <f t="shared" si="76"/>
        <v>0</v>
      </c>
      <c r="AL263" s="1" t="str">
        <f t="shared" si="77"/>
        <v>0</v>
      </c>
      <c r="AM263" s="1">
        <f t="shared" si="78"/>
        <v>543</v>
      </c>
      <c r="AN263" s="1" t="str">
        <f t="shared" si="79"/>
        <v>/0/543</v>
      </c>
      <c r="AP263" s="1">
        <f>IF([1]TIM!O263=[1]TIM!O263,[1]TIM!O263,"")</f>
        <v>0</v>
      </c>
      <c r="AQ263" s="1" t="str">
        <f t="shared" si="80"/>
        <v/>
      </c>
      <c r="AR263" s="1" t="str">
        <f t="shared" si="81"/>
        <v>0</v>
      </c>
      <c r="AS263" s="1" t="str">
        <f t="shared" si="82"/>
        <v>0</v>
      </c>
      <c r="AT263" s="1">
        <f t="shared" si="83"/>
        <v>543</v>
      </c>
      <c r="AU263" s="1" t="str">
        <f t="shared" si="84"/>
        <v>/0/543</v>
      </c>
    </row>
    <row r="264" spans="2:47" x14ac:dyDescent="0.3">
      <c r="E264" s="2"/>
      <c r="F264" s="2"/>
      <c r="G264" s="2"/>
      <c r="H264" s="2"/>
      <c r="V264" s="1" t="str">
        <f>IF([1]TIM!F264="","",[1]TIM!F264)</f>
        <v/>
      </c>
      <c r="W264" s="1" t="str">
        <f t="shared" si="73"/>
        <v/>
      </c>
      <c r="X264" s="1">
        <f t="shared" si="74"/>
        <v>0</v>
      </c>
      <c r="AI264" s="1">
        <f>IF([1]TIM!P264=[1]TIM!P264,[1]TIM!P264,"")</f>
        <v>0</v>
      </c>
      <c r="AJ264" s="1" t="str">
        <f t="shared" si="75"/>
        <v/>
      </c>
      <c r="AK264" s="1" t="str">
        <f t="shared" si="76"/>
        <v>0</v>
      </c>
      <c r="AL264" s="1" t="str">
        <f t="shared" si="77"/>
        <v>0</v>
      </c>
      <c r="AM264" s="1">
        <f t="shared" si="78"/>
        <v>543</v>
      </c>
      <c r="AN264" s="1" t="str">
        <f t="shared" si="79"/>
        <v>/0/543</v>
      </c>
      <c r="AP264" s="1">
        <f>IF([1]TIM!O264=[1]TIM!O264,[1]TIM!O264,"")</f>
        <v>0</v>
      </c>
      <c r="AQ264" s="1" t="str">
        <f t="shared" si="80"/>
        <v/>
      </c>
      <c r="AR264" s="1" t="str">
        <f t="shared" si="81"/>
        <v>0</v>
      </c>
      <c r="AS264" s="1" t="str">
        <f t="shared" si="82"/>
        <v>0</v>
      </c>
      <c r="AT264" s="1">
        <f t="shared" si="83"/>
        <v>543</v>
      </c>
      <c r="AU264" s="1" t="str">
        <f t="shared" si="84"/>
        <v>/0/543</v>
      </c>
    </row>
    <row r="265" spans="2:47" x14ac:dyDescent="0.3">
      <c r="E265" s="2"/>
      <c r="F265" s="2"/>
      <c r="G265" s="2"/>
      <c r="H265" s="2"/>
      <c r="V265" s="1" t="str">
        <f>IF([1]TIM!F265="","",[1]TIM!F265)</f>
        <v/>
      </c>
      <c r="W265" s="1" t="str">
        <f t="shared" si="73"/>
        <v/>
      </c>
      <c r="X265" s="1">
        <f t="shared" si="74"/>
        <v>0</v>
      </c>
      <c r="AI265" s="1">
        <f>IF([1]TIM!P265=[1]TIM!P265,[1]TIM!P265,"")</f>
        <v>0</v>
      </c>
      <c r="AJ265" s="1" t="str">
        <f t="shared" si="75"/>
        <v/>
      </c>
      <c r="AK265" s="1" t="str">
        <f t="shared" si="76"/>
        <v>0</v>
      </c>
      <c r="AL265" s="1" t="str">
        <f t="shared" si="77"/>
        <v>0</v>
      </c>
      <c r="AM265" s="1">
        <f t="shared" si="78"/>
        <v>543</v>
      </c>
      <c r="AN265" s="1" t="str">
        <f t="shared" si="79"/>
        <v>/0/543</v>
      </c>
      <c r="AP265" s="1">
        <f>IF([1]TIM!O265=[1]TIM!O265,[1]TIM!O265,"")</f>
        <v>0</v>
      </c>
      <c r="AQ265" s="1" t="str">
        <f t="shared" si="80"/>
        <v/>
      </c>
      <c r="AR265" s="1" t="str">
        <f t="shared" si="81"/>
        <v>0</v>
      </c>
      <c r="AS265" s="1" t="str">
        <f t="shared" si="82"/>
        <v>0</v>
      </c>
      <c r="AT265" s="1">
        <f t="shared" si="83"/>
        <v>543</v>
      </c>
      <c r="AU265" s="1" t="str">
        <f t="shared" si="84"/>
        <v>/0/543</v>
      </c>
    </row>
    <row r="266" spans="2:47" x14ac:dyDescent="0.3">
      <c r="E266" s="2"/>
      <c r="F266" s="2"/>
      <c r="G266" s="2"/>
      <c r="H266" s="2"/>
      <c r="V266" s="1" t="str">
        <f>IF([1]TIM!F266="","",[1]TIM!F266)</f>
        <v/>
      </c>
      <c r="W266" s="1" t="str">
        <f t="shared" si="73"/>
        <v/>
      </c>
      <c r="X266" s="1">
        <f t="shared" si="74"/>
        <v>0</v>
      </c>
      <c r="AI266" s="1">
        <f>IF([1]TIM!P266=[1]TIM!P266,[1]TIM!P266,"")</f>
        <v>0</v>
      </c>
      <c r="AJ266" s="1" t="str">
        <f t="shared" si="75"/>
        <v/>
      </c>
      <c r="AK266" s="1" t="str">
        <f t="shared" si="76"/>
        <v>0</v>
      </c>
      <c r="AL266" s="1" t="str">
        <f t="shared" si="77"/>
        <v>0</v>
      </c>
      <c r="AM266" s="1">
        <f t="shared" si="78"/>
        <v>543</v>
      </c>
      <c r="AN266" s="1" t="str">
        <f t="shared" si="79"/>
        <v>/0/543</v>
      </c>
      <c r="AP266" s="1">
        <f>IF([1]TIM!O266=[1]TIM!O266,[1]TIM!O266,"")</f>
        <v>0</v>
      </c>
      <c r="AQ266" s="1" t="str">
        <f t="shared" si="80"/>
        <v/>
      </c>
      <c r="AR266" s="1" t="str">
        <f t="shared" si="81"/>
        <v>0</v>
      </c>
      <c r="AS266" s="1" t="str">
        <f t="shared" si="82"/>
        <v>0</v>
      </c>
      <c r="AT266" s="1">
        <f t="shared" si="83"/>
        <v>543</v>
      </c>
      <c r="AU266" s="1" t="str">
        <f t="shared" si="84"/>
        <v>/0/543</v>
      </c>
    </row>
    <row r="267" spans="2:47" x14ac:dyDescent="0.3">
      <c r="E267" s="2"/>
      <c r="F267" s="2"/>
      <c r="G267" s="2"/>
      <c r="H267" s="2"/>
      <c r="V267" s="1" t="str">
        <f>IF([1]TIM!F267="","",[1]TIM!F267)</f>
        <v/>
      </c>
      <c r="W267" s="1" t="str">
        <f t="shared" si="73"/>
        <v/>
      </c>
      <c r="X267" s="1">
        <f t="shared" si="74"/>
        <v>0</v>
      </c>
      <c r="AI267" s="1">
        <f>IF([1]TIM!P267=[1]TIM!P267,[1]TIM!P267,"")</f>
        <v>0</v>
      </c>
      <c r="AJ267" s="1" t="str">
        <f t="shared" si="75"/>
        <v/>
      </c>
      <c r="AK267" s="1" t="str">
        <f t="shared" si="76"/>
        <v>0</v>
      </c>
      <c r="AL267" s="1" t="str">
        <f t="shared" si="77"/>
        <v>0</v>
      </c>
      <c r="AM267" s="1">
        <f t="shared" si="78"/>
        <v>543</v>
      </c>
      <c r="AN267" s="1" t="str">
        <f t="shared" si="79"/>
        <v>/0/543</v>
      </c>
      <c r="AP267" s="1">
        <f>IF([1]TIM!O267=[1]TIM!O267,[1]TIM!O267,"")</f>
        <v>0</v>
      </c>
      <c r="AQ267" s="1" t="str">
        <f t="shared" si="80"/>
        <v/>
      </c>
      <c r="AR267" s="1" t="str">
        <f t="shared" si="81"/>
        <v>0</v>
      </c>
      <c r="AS267" s="1" t="str">
        <f t="shared" si="82"/>
        <v>0</v>
      </c>
      <c r="AT267" s="1">
        <f t="shared" si="83"/>
        <v>543</v>
      </c>
      <c r="AU267" s="1" t="str">
        <f t="shared" si="84"/>
        <v>/0/543</v>
      </c>
    </row>
    <row r="268" spans="2:47" x14ac:dyDescent="0.3">
      <c r="E268" s="2"/>
      <c r="F268" s="2"/>
      <c r="G268" s="2"/>
      <c r="H268" s="2"/>
      <c r="V268" s="1" t="str">
        <f>IF([1]TIM!F268="","",[1]TIM!F268)</f>
        <v/>
      </c>
      <c r="W268" s="1" t="str">
        <f t="shared" si="73"/>
        <v/>
      </c>
      <c r="X268" s="1">
        <f t="shared" si="74"/>
        <v>0</v>
      </c>
      <c r="AI268" s="1">
        <f>IF([1]TIM!P268=[1]TIM!P268,[1]TIM!P268,"")</f>
        <v>0</v>
      </c>
      <c r="AJ268" s="1" t="str">
        <f t="shared" si="75"/>
        <v/>
      </c>
      <c r="AK268" s="1" t="str">
        <f t="shared" si="76"/>
        <v>0</v>
      </c>
      <c r="AL268" s="1" t="str">
        <f t="shared" si="77"/>
        <v>0</v>
      </c>
      <c r="AM268" s="1">
        <f t="shared" si="78"/>
        <v>543</v>
      </c>
      <c r="AN268" s="1" t="str">
        <f t="shared" si="79"/>
        <v>/0/543</v>
      </c>
      <c r="AP268" s="1">
        <f>IF([1]TIM!O268=[1]TIM!O268,[1]TIM!O268,"")</f>
        <v>0</v>
      </c>
      <c r="AQ268" s="1" t="str">
        <f t="shared" si="80"/>
        <v/>
      </c>
      <c r="AR268" s="1" t="str">
        <f t="shared" si="81"/>
        <v>0</v>
      </c>
      <c r="AS268" s="1" t="str">
        <f t="shared" si="82"/>
        <v>0</v>
      </c>
      <c r="AT268" s="1">
        <f t="shared" si="83"/>
        <v>543</v>
      </c>
      <c r="AU268" s="1" t="str">
        <f t="shared" si="84"/>
        <v>/0/543</v>
      </c>
    </row>
    <row r="269" spans="2:47" x14ac:dyDescent="0.3">
      <c r="E269" s="2"/>
      <c r="F269" s="2"/>
      <c r="G269" s="2"/>
      <c r="H269" s="2"/>
      <c r="V269" s="1" t="str">
        <f>IF([1]TIM!F269="","",[1]TIM!F269)</f>
        <v/>
      </c>
      <c r="W269" s="1" t="str">
        <f t="shared" si="73"/>
        <v/>
      </c>
      <c r="X269" s="1">
        <f t="shared" si="74"/>
        <v>0</v>
      </c>
      <c r="AI269" s="1">
        <f>IF([1]TIM!P269=[1]TIM!P269,[1]TIM!P269,"")</f>
        <v>0</v>
      </c>
      <c r="AJ269" s="1" t="str">
        <f t="shared" si="75"/>
        <v/>
      </c>
      <c r="AK269" s="1" t="str">
        <f t="shared" si="76"/>
        <v>0</v>
      </c>
      <c r="AL269" s="1" t="str">
        <f t="shared" si="77"/>
        <v>0</v>
      </c>
      <c r="AM269" s="1">
        <f t="shared" si="78"/>
        <v>543</v>
      </c>
      <c r="AN269" s="1" t="str">
        <f t="shared" si="79"/>
        <v>/0/543</v>
      </c>
      <c r="AP269" s="1">
        <f>IF([1]TIM!O269=[1]TIM!O269,[1]TIM!O269,"")</f>
        <v>0</v>
      </c>
      <c r="AQ269" s="1" t="str">
        <f t="shared" si="80"/>
        <v/>
      </c>
      <c r="AR269" s="1" t="str">
        <f t="shared" si="81"/>
        <v>0</v>
      </c>
      <c r="AS269" s="1" t="str">
        <f t="shared" si="82"/>
        <v>0</v>
      </c>
      <c r="AT269" s="1">
        <f t="shared" si="83"/>
        <v>543</v>
      </c>
      <c r="AU269" s="1" t="str">
        <f t="shared" si="84"/>
        <v>/0/543</v>
      </c>
    </row>
    <row r="270" spans="2:47" x14ac:dyDescent="0.3">
      <c r="E270" s="2"/>
      <c r="F270" s="2"/>
      <c r="G270" s="2"/>
      <c r="H270" s="2"/>
      <c r="V270" s="1" t="str">
        <f>IF([1]TIM!F270="","",[1]TIM!F270)</f>
        <v/>
      </c>
      <c r="W270" s="1" t="str">
        <f t="shared" si="73"/>
        <v/>
      </c>
      <c r="X270" s="1">
        <f t="shared" si="74"/>
        <v>0</v>
      </c>
      <c r="AI270" s="1">
        <f>IF([1]TIM!P270=[1]TIM!P270,[1]TIM!P270,"")</f>
        <v>0</v>
      </c>
      <c r="AJ270" s="1" t="str">
        <f t="shared" si="75"/>
        <v/>
      </c>
      <c r="AK270" s="1" t="str">
        <f t="shared" si="76"/>
        <v>0</v>
      </c>
      <c r="AL270" s="1" t="str">
        <f t="shared" si="77"/>
        <v>0</v>
      </c>
      <c r="AM270" s="1">
        <f t="shared" si="78"/>
        <v>543</v>
      </c>
      <c r="AN270" s="1" t="str">
        <f t="shared" si="79"/>
        <v>/0/543</v>
      </c>
      <c r="AP270" s="1">
        <f>IF([1]TIM!O270=[1]TIM!O270,[1]TIM!O270,"")</f>
        <v>0</v>
      </c>
      <c r="AQ270" s="1" t="str">
        <f t="shared" si="80"/>
        <v/>
      </c>
      <c r="AR270" s="1" t="str">
        <f t="shared" si="81"/>
        <v>0</v>
      </c>
      <c r="AS270" s="1" t="str">
        <f t="shared" si="82"/>
        <v>0</v>
      </c>
      <c r="AT270" s="1">
        <f t="shared" si="83"/>
        <v>543</v>
      </c>
      <c r="AU270" s="1" t="str">
        <f t="shared" si="84"/>
        <v>/0/543</v>
      </c>
    </row>
    <row r="271" spans="2:47" x14ac:dyDescent="0.3">
      <c r="V271" s="1" t="str">
        <f>IF([1]TIM!F271="","",[1]TIM!F271)</f>
        <v/>
      </c>
      <c r="W271" s="1" t="str">
        <f t="shared" si="73"/>
        <v/>
      </c>
      <c r="X271" s="1">
        <f t="shared" si="74"/>
        <v>0</v>
      </c>
      <c r="AI271" s="1">
        <f>IF([1]TIM!P271=[1]TIM!P271,[1]TIM!P271,"")</f>
        <v>0</v>
      </c>
      <c r="AJ271" s="1" t="str">
        <f t="shared" si="75"/>
        <v/>
      </c>
      <c r="AK271" s="1" t="str">
        <f t="shared" si="76"/>
        <v>0</v>
      </c>
      <c r="AL271" s="1" t="str">
        <f t="shared" si="77"/>
        <v>0</v>
      </c>
      <c r="AM271" s="1">
        <f t="shared" si="78"/>
        <v>543</v>
      </c>
      <c r="AN271" s="1" t="str">
        <f t="shared" si="79"/>
        <v>/0/543</v>
      </c>
      <c r="AP271" s="1">
        <f>IF([1]TIM!O271=[1]TIM!O271,[1]TIM!O271,"")</f>
        <v>0</v>
      </c>
      <c r="AQ271" s="1" t="str">
        <f t="shared" si="80"/>
        <v/>
      </c>
      <c r="AR271" s="1" t="str">
        <f t="shared" si="81"/>
        <v>0</v>
      </c>
      <c r="AS271" s="1" t="str">
        <f t="shared" si="82"/>
        <v>0</v>
      </c>
      <c r="AT271" s="1">
        <f t="shared" si="83"/>
        <v>543</v>
      </c>
      <c r="AU271" s="1" t="str">
        <f t="shared" si="84"/>
        <v>/0/543</v>
      </c>
    </row>
    <row r="272" spans="2:47" x14ac:dyDescent="0.3">
      <c r="V272" s="1" t="str">
        <f>IF([1]TIM!F272="","",[1]TIM!F272)</f>
        <v/>
      </c>
      <c r="W272" s="1" t="str">
        <f t="shared" si="73"/>
        <v/>
      </c>
      <c r="X272" s="1">
        <f t="shared" si="74"/>
        <v>0</v>
      </c>
      <c r="AI272" s="1">
        <f>IF([1]TIM!P272=[1]TIM!P272,[1]TIM!P272,"")</f>
        <v>0</v>
      </c>
      <c r="AJ272" s="1" t="str">
        <f t="shared" si="75"/>
        <v/>
      </c>
      <c r="AK272" s="1" t="str">
        <f t="shared" si="76"/>
        <v>0</v>
      </c>
      <c r="AL272" s="1" t="str">
        <f t="shared" si="77"/>
        <v>0</v>
      </c>
      <c r="AM272" s="1">
        <f t="shared" si="78"/>
        <v>543</v>
      </c>
      <c r="AN272" s="1" t="str">
        <f t="shared" si="79"/>
        <v>/0/543</v>
      </c>
      <c r="AP272" s="1">
        <f>IF([1]TIM!O272=[1]TIM!O272,[1]TIM!O272,"")</f>
        <v>0</v>
      </c>
      <c r="AQ272" s="1" t="str">
        <f t="shared" si="80"/>
        <v/>
      </c>
      <c r="AR272" s="1" t="str">
        <f t="shared" si="81"/>
        <v>0</v>
      </c>
      <c r="AS272" s="1" t="str">
        <f t="shared" si="82"/>
        <v>0</v>
      </c>
      <c r="AT272" s="1">
        <f t="shared" si="83"/>
        <v>543</v>
      </c>
      <c r="AU272" s="1" t="str">
        <f t="shared" si="84"/>
        <v>/0/543</v>
      </c>
    </row>
    <row r="273" spans="22:47" x14ac:dyDescent="0.3">
      <c r="V273" s="1" t="str">
        <f>IF([1]TIM!F273="","",[1]TIM!F273)</f>
        <v/>
      </c>
      <c r="W273" s="1" t="str">
        <f t="shared" si="73"/>
        <v/>
      </c>
      <c r="X273" s="1">
        <f t="shared" si="74"/>
        <v>0</v>
      </c>
      <c r="AI273" s="1">
        <f>IF([1]TIM!P273=[1]TIM!P273,[1]TIM!P273,"")</f>
        <v>0</v>
      </c>
      <c r="AJ273" s="1" t="str">
        <f t="shared" si="75"/>
        <v/>
      </c>
      <c r="AK273" s="1" t="str">
        <f t="shared" si="76"/>
        <v>0</v>
      </c>
      <c r="AL273" s="1" t="str">
        <f t="shared" si="77"/>
        <v>0</v>
      </c>
      <c r="AM273" s="1">
        <f t="shared" si="78"/>
        <v>543</v>
      </c>
      <c r="AN273" s="1" t="str">
        <f t="shared" si="79"/>
        <v>/0/543</v>
      </c>
      <c r="AP273" s="1">
        <f>IF([1]TIM!O273=[1]TIM!O273,[1]TIM!O273,"")</f>
        <v>0</v>
      </c>
      <c r="AQ273" s="1" t="str">
        <f t="shared" si="80"/>
        <v/>
      </c>
      <c r="AR273" s="1" t="str">
        <f t="shared" si="81"/>
        <v>0</v>
      </c>
      <c r="AS273" s="1" t="str">
        <f t="shared" si="82"/>
        <v>0</v>
      </c>
      <c r="AT273" s="1">
        <f t="shared" si="83"/>
        <v>543</v>
      </c>
      <c r="AU273" s="1" t="str">
        <f t="shared" si="84"/>
        <v>/0/543</v>
      </c>
    </row>
    <row r="274" spans="22:47" x14ac:dyDescent="0.3">
      <c r="V274" s="1" t="str">
        <f>IF([1]TIM!F274="","",[1]TIM!F274)</f>
        <v/>
      </c>
      <c r="W274" s="1" t="str">
        <f t="shared" si="73"/>
        <v/>
      </c>
      <c r="X274" s="1">
        <f t="shared" si="74"/>
        <v>0</v>
      </c>
      <c r="AI274" s="1">
        <f>IF([1]TIM!P274=[1]TIM!P274,[1]TIM!P274,"")</f>
        <v>0</v>
      </c>
      <c r="AJ274" s="1" t="str">
        <f t="shared" si="75"/>
        <v/>
      </c>
      <c r="AK274" s="1" t="str">
        <f t="shared" si="76"/>
        <v>0</v>
      </c>
      <c r="AL274" s="1" t="str">
        <f t="shared" si="77"/>
        <v>0</v>
      </c>
      <c r="AM274" s="1">
        <f t="shared" si="78"/>
        <v>543</v>
      </c>
      <c r="AN274" s="1" t="str">
        <f t="shared" si="79"/>
        <v>/0/543</v>
      </c>
      <c r="AP274" s="1">
        <f>IF([1]TIM!O274=[1]TIM!O274,[1]TIM!O274,"")</f>
        <v>0</v>
      </c>
      <c r="AQ274" s="1" t="str">
        <f t="shared" si="80"/>
        <v/>
      </c>
      <c r="AR274" s="1" t="str">
        <f t="shared" si="81"/>
        <v>0</v>
      </c>
      <c r="AS274" s="1" t="str">
        <f t="shared" si="82"/>
        <v>0</v>
      </c>
      <c r="AT274" s="1">
        <f t="shared" si="83"/>
        <v>543</v>
      </c>
      <c r="AU274" s="1" t="str">
        <f t="shared" si="84"/>
        <v>/0/543</v>
      </c>
    </row>
    <row r="275" spans="22:47" x14ac:dyDescent="0.3">
      <c r="V275" s="1" t="str">
        <f>IF([1]TIM!F275="","",[1]TIM!F275)</f>
        <v/>
      </c>
      <c r="W275" s="1" t="str">
        <f t="shared" si="73"/>
        <v/>
      </c>
      <c r="X275" s="1">
        <f t="shared" si="74"/>
        <v>0</v>
      </c>
      <c r="AI275" s="1">
        <f>IF([1]TIM!P275=[1]TIM!P275,[1]TIM!P275,"")</f>
        <v>0</v>
      </c>
      <c r="AJ275" s="1" t="str">
        <f t="shared" si="75"/>
        <v/>
      </c>
      <c r="AK275" s="1" t="str">
        <f t="shared" si="76"/>
        <v>0</v>
      </c>
      <c r="AL275" s="1" t="str">
        <f t="shared" si="77"/>
        <v>0</v>
      </c>
      <c r="AM275" s="1">
        <f t="shared" si="78"/>
        <v>543</v>
      </c>
      <c r="AN275" s="1" t="str">
        <f t="shared" si="79"/>
        <v>/0/543</v>
      </c>
      <c r="AP275" s="1">
        <f>IF([1]TIM!O275=[1]TIM!O275,[1]TIM!O275,"")</f>
        <v>0</v>
      </c>
      <c r="AQ275" s="1" t="str">
        <f t="shared" si="80"/>
        <v/>
      </c>
      <c r="AR275" s="1" t="str">
        <f t="shared" si="81"/>
        <v>0</v>
      </c>
      <c r="AS275" s="1" t="str">
        <f t="shared" si="82"/>
        <v>0</v>
      </c>
      <c r="AT275" s="1">
        <f t="shared" si="83"/>
        <v>543</v>
      </c>
      <c r="AU275" s="1" t="str">
        <f t="shared" si="84"/>
        <v>/0/543</v>
      </c>
    </row>
    <row r="276" spans="22:47" x14ac:dyDescent="0.3">
      <c r="V276" s="1" t="str">
        <f>IF([1]TIM!F276="","",[1]TIM!F276)</f>
        <v/>
      </c>
      <c r="W276" s="1" t="str">
        <f t="shared" si="73"/>
        <v/>
      </c>
      <c r="X276" s="1">
        <f t="shared" si="74"/>
        <v>0</v>
      </c>
      <c r="AI276" s="1">
        <f>IF([1]TIM!P276=[1]TIM!P276,[1]TIM!P276,"")</f>
        <v>0</v>
      </c>
      <c r="AJ276" s="1" t="str">
        <f t="shared" si="75"/>
        <v/>
      </c>
      <c r="AK276" s="1" t="str">
        <f t="shared" si="76"/>
        <v>0</v>
      </c>
      <c r="AL276" s="1" t="str">
        <f t="shared" si="77"/>
        <v>0</v>
      </c>
      <c r="AM276" s="1">
        <f t="shared" si="78"/>
        <v>543</v>
      </c>
      <c r="AN276" s="1" t="str">
        <f t="shared" si="79"/>
        <v>/0/543</v>
      </c>
      <c r="AP276" s="1">
        <f>IF([1]TIM!O276=[1]TIM!O276,[1]TIM!O276,"")</f>
        <v>0</v>
      </c>
      <c r="AQ276" s="1" t="str">
        <f t="shared" si="80"/>
        <v/>
      </c>
      <c r="AR276" s="1" t="str">
        <f t="shared" si="81"/>
        <v>0</v>
      </c>
      <c r="AS276" s="1" t="str">
        <f t="shared" si="82"/>
        <v>0</v>
      </c>
      <c r="AT276" s="1">
        <f t="shared" si="83"/>
        <v>543</v>
      </c>
      <c r="AU276" s="1" t="str">
        <f t="shared" si="84"/>
        <v>/0/543</v>
      </c>
    </row>
    <row r="277" spans="22:47" x14ac:dyDescent="0.3">
      <c r="V277" s="1" t="str">
        <f>IF([1]TIM!F277="","",[1]TIM!F277)</f>
        <v/>
      </c>
      <c r="W277" s="1" t="str">
        <f t="shared" si="73"/>
        <v/>
      </c>
      <c r="X277" s="1">
        <f t="shared" si="74"/>
        <v>0</v>
      </c>
      <c r="AI277" s="1">
        <f>IF([1]TIM!P277=[1]TIM!P277,[1]TIM!P277,"")</f>
        <v>0</v>
      </c>
      <c r="AJ277" s="1" t="str">
        <f t="shared" si="75"/>
        <v/>
      </c>
      <c r="AK277" s="1" t="str">
        <f t="shared" si="76"/>
        <v>0</v>
      </c>
      <c r="AL277" s="1" t="str">
        <f t="shared" si="77"/>
        <v>0</v>
      </c>
      <c r="AM277" s="1">
        <f t="shared" si="78"/>
        <v>543</v>
      </c>
      <c r="AN277" s="1" t="str">
        <f t="shared" si="79"/>
        <v>/0/543</v>
      </c>
      <c r="AP277" s="1">
        <f>IF([1]TIM!O277=[1]TIM!O277,[1]TIM!O277,"")</f>
        <v>0</v>
      </c>
      <c r="AQ277" s="1" t="str">
        <f t="shared" si="80"/>
        <v/>
      </c>
      <c r="AR277" s="1" t="str">
        <f t="shared" si="81"/>
        <v>0</v>
      </c>
      <c r="AS277" s="1" t="str">
        <f t="shared" si="82"/>
        <v>0</v>
      </c>
      <c r="AT277" s="1">
        <f t="shared" si="83"/>
        <v>543</v>
      </c>
      <c r="AU277" s="1" t="str">
        <f t="shared" si="84"/>
        <v>/0/543</v>
      </c>
    </row>
    <row r="278" spans="22:47" x14ac:dyDescent="0.3">
      <c r="V278" s="1" t="str">
        <f>IF([1]TIM!F278="","",[1]TIM!F278)</f>
        <v/>
      </c>
      <c r="W278" s="1" t="str">
        <f t="shared" si="73"/>
        <v/>
      </c>
      <c r="X278" s="1">
        <f t="shared" si="74"/>
        <v>0</v>
      </c>
      <c r="AI278" s="1">
        <f>IF([1]TIM!P278=[1]TIM!P278,[1]TIM!P278,"")</f>
        <v>0</v>
      </c>
      <c r="AJ278" s="1" t="str">
        <f t="shared" si="75"/>
        <v/>
      </c>
      <c r="AK278" s="1" t="str">
        <f t="shared" si="76"/>
        <v>0</v>
      </c>
      <c r="AL278" s="1" t="str">
        <f t="shared" si="77"/>
        <v>0</v>
      </c>
      <c r="AM278" s="1">
        <f t="shared" si="78"/>
        <v>543</v>
      </c>
      <c r="AN278" s="1" t="str">
        <f t="shared" si="79"/>
        <v>/0/543</v>
      </c>
      <c r="AP278" s="1">
        <f>IF([1]TIM!O278=[1]TIM!O278,[1]TIM!O278,"")</f>
        <v>0</v>
      </c>
      <c r="AQ278" s="1" t="str">
        <f t="shared" si="80"/>
        <v/>
      </c>
      <c r="AR278" s="1" t="str">
        <f t="shared" si="81"/>
        <v>0</v>
      </c>
      <c r="AS278" s="1" t="str">
        <f t="shared" si="82"/>
        <v>0</v>
      </c>
      <c r="AT278" s="1">
        <f t="shared" si="83"/>
        <v>543</v>
      </c>
      <c r="AU278" s="1" t="str">
        <f t="shared" si="84"/>
        <v>/0/543</v>
      </c>
    </row>
    <row r="279" spans="22:47" x14ac:dyDescent="0.3">
      <c r="V279" s="1" t="str">
        <f>IF([1]TIM!F279="","",[1]TIM!F279)</f>
        <v/>
      </c>
      <c r="W279" s="1" t="str">
        <f t="shared" si="73"/>
        <v/>
      </c>
      <c r="X279" s="1">
        <f t="shared" si="74"/>
        <v>0</v>
      </c>
      <c r="AI279" s="1">
        <f>IF([1]TIM!P279=[1]TIM!P279,[1]TIM!P279,"")</f>
        <v>0</v>
      </c>
      <c r="AJ279" s="1" t="str">
        <f t="shared" si="75"/>
        <v/>
      </c>
      <c r="AK279" s="1" t="str">
        <f t="shared" si="76"/>
        <v>0</v>
      </c>
      <c r="AL279" s="1" t="str">
        <f t="shared" si="77"/>
        <v>0</v>
      </c>
      <c r="AM279" s="1">
        <f t="shared" si="78"/>
        <v>543</v>
      </c>
      <c r="AN279" s="1" t="str">
        <f t="shared" si="79"/>
        <v>/0/543</v>
      </c>
      <c r="AP279" s="1">
        <f>IF([1]TIM!O279=[1]TIM!O279,[1]TIM!O279,"")</f>
        <v>0</v>
      </c>
      <c r="AQ279" s="1" t="str">
        <f t="shared" si="80"/>
        <v/>
      </c>
      <c r="AR279" s="1" t="str">
        <f t="shared" si="81"/>
        <v>0</v>
      </c>
      <c r="AS279" s="1" t="str">
        <f t="shared" si="82"/>
        <v>0</v>
      </c>
      <c r="AT279" s="1">
        <f t="shared" si="83"/>
        <v>543</v>
      </c>
      <c r="AU279" s="1" t="str">
        <f t="shared" si="84"/>
        <v>/0/543</v>
      </c>
    </row>
    <row r="280" spans="22:47" x14ac:dyDescent="0.3">
      <c r="V280" s="1" t="str">
        <f>IF([1]TIM!F280="","",[1]TIM!F280)</f>
        <v/>
      </c>
      <c r="W280" s="1" t="str">
        <f t="shared" si="73"/>
        <v/>
      </c>
      <c r="X280" s="1">
        <f t="shared" si="74"/>
        <v>0</v>
      </c>
      <c r="AI280" s="1">
        <f>IF([1]TIM!P280=[1]TIM!P280,[1]TIM!P280,"")</f>
        <v>0</v>
      </c>
      <c r="AJ280" s="1" t="str">
        <f t="shared" si="75"/>
        <v/>
      </c>
      <c r="AK280" s="1" t="str">
        <f t="shared" si="76"/>
        <v>0</v>
      </c>
      <c r="AL280" s="1" t="str">
        <f t="shared" si="77"/>
        <v>0</v>
      </c>
      <c r="AM280" s="1">
        <f t="shared" si="78"/>
        <v>543</v>
      </c>
      <c r="AN280" s="1" t="str">
        <f t="shared" si="79"/>
        <v>/0/543</v>
      </c>
      <c r="AP280" s="1">
        <f>IF([1]TIM!O280=[1]TIM!O280,[1]TIM!O280,"")</f>
        <v>0</v>
      </c>
      <c r="AQ280" s="1" t="str">
        <f t="shared" si="80"/>
        <v/>
      </c>
      <c r="AR280" s="1" t="str">
        <f t="shared" si="81"/>
        <v>0</v>
      </c>
      <c r="AS280" s="1" t="str">
        <f t="shared" si="82"/>
        <v>0</v>
      </c>
      <c r="AT280" s="1">
        <f t="shared" si="83"/>
        <v>543</v>
      </c>
      <c r="AU280" s="1" t="str">
        <f t="shared" si="84"/>
        <v>/0/543</v>
      </c>
    </row>
    <row r="281" spans="22:47" x14ac:dyDescent="0.3">
      <c r="V281" s="1" t="str">
        <f>IF([1]TIM!F281="","",[1]TIM!F281)</f>
        <v/>
      </c>
      <c r="W281" s="1" t="str">
        <f t="shared" si="73"/>
        <v/>
      </c>
      <c r="X281" s="1">
        <f t="shared" si="74"/>
        <v>0</v>
      </c>
      <c r="AI281" s="1">
        <f>IF([1]TIM!P281=[1]TIM!P281,[1]TIM!P281,"")</f>
        <v>0</v>
      </c>
      <c r="AJ281" s="1" t="str">
        <f t="shared" si="75"/>
        <v/>
      </c>
      <c r="AK281" s="1" t="str">
        <f t="shared" si="76"/>
        <v>0</v>
      </c>
      <c r="AL281" s="1" t="str">
        <f t="shared" si="77"/>
        <v>0</v>
      </c>
      <c r="AM281" s="1">
        <f t="shared" si="78"/>
        <v>543</v>
      </c>
      <c r="AN281" s="1" t="str">
        <f t="shared" si="79"/>
        <v>/0/543</v>
      </c>
      <c r="AP281" s="1">
        <f>IF([1]TIM!O281=[1]TIM!O281,[1]TIM!O281,"")</f>
        <v>0</v>
      </c>
      <c r="AQ281" s="1" t="str">
        <f t="shared" si="80"/>
        <v/>
      </c>
      <c r="AR281" s="1" t="str">
        <f t="shared" si="81"/>
        <v>0</v>
      </c>
      <c r="AS281" s="1" t="str">
        <f t="shared" si="82"/>
        <v>0</v>
      </c>
      <c r="AT281" s="1">
        <f t="shared" si="83"/>
        <v>543</v>
      </c>
      <c r="AU281" s="1" t="str">
        <f t="shared" si="84"/>
        <v>/0/543</v>
      </c>
    </row>
    <row r="282" spans="22:47" x14ac:dyDescent="0.3">
      <c r="V282" s="1" t="str">
        <f>IF([1]TIM!F282="","",[1]TIM!F282)</f>
        <v/>
      </c>
      <c r="W282" s="1" t="str">
        <f t="shared" si="73"/>
        <v/>
      </c>
      <c r="X282" s="1">
        <f t="shared" si="74"/>
        <v>0</v>
      </c>
      <c r="AI282" s="1">
        <f>IF([1]TIM!P282=[1]TIM!P282,[1]TIM!P282,"")</f>
        <v>0</v>
      </c>
      <c r="AJ282" s="1" t="str">
        <f t="shared" si="75"/>
        <v/>
      </c>
      <c r="AK282" s="1" t="str">
        <f t="shared" si="76"/>
        <v>0</v>
      </c>
      <c r="AL282" s="1" t="str">
        <f t="shared" si="77"/>
        <v>0</v>
      </c>
      <c r="AM282" s="1">
        <f t="shared" si="78"/>
        <v>543</v>
      </c>
      <c r="AN282" s="1" t="str">
        <f t="shared" si="79"/>
        <v>/0/543</v>
      </c>
      <c r="AP282" s="1">
        <f>IF([1]TIM!O282=[1]TIM!O282,[1]TIM!O282,"")</f>
        <v>0</v>
      </c>
      <c r="AQ282" s="1" t="str">
        <f t="shared" si="80"/>
        <v/>
      </c>
      <c r="AR282" s="1" t="str">
        <f t="shared" si="81"/>
        <v>0</v>
      </c>
      <c r="AS282" s="1" t="str">
        <f t="shared" si="82"/>
        <v>0</v>
      </c>
      <c r="AT282" s="1">
        <f t="shared" si="83"/>
        <v>543</v>
      </c>
      <c r="AU282" s="1" t="str">
        <f t="shared" si="84"/>
        <v>/0/543</v>
      </c>
    </row>
    <row r="283" spans="22:47" x14ac:dyDescent="0.3">
      <c r="V283" s="1" t="str">
        <f>IF([1]TIM!F283="","",[1]TIM!F283)</f>
        <v/>
      </c>
      <c r="W283" s="1" t="str">
        <f t="shared" si="73"/>
        <v/>
      </c>
      <c r="X283" s="1">
        <f t="shared" si="74"/>
        <v>0</v>
      </c>
      <c r="AI283" s="1">
        <f>IF([1]TIM!P283=[1]TIM!P283,[1]TIM!P283,"")</f>
        <v>0</v>
      </c>
      <c r="AJ283" s="1" t="str">
        <f t="shared" si="75"/>
        <v/>
      </c>
      <c r="AK283" s="1" t="str">
        <f t="shared" si="76"/>
        <v>0</v>
      </c>
      <c r="AL283" s="1" t="str">
        <f t="shared" si="77"/>
        <v>0</v>
      </c>
      <c r="AM283" s="1">
        <f t="shared" si="78"/>
        <v>543</v>
      </c>
      <c r="AN283" s="1" t="str">
        <f t="shared" si="79"/>
        <v>/0/543</v>
      </c>
      <c r="AP283" s="1">
        <f>IF([1]TIM!O283=[1]TIM!O283,[1]TIM!O283,"")</f>
        <v>0</v>
      </c>
      <c r="AQ283" s="1" t="str">
        <f t="shared" si="80"/>
        <v/>
      </c>
      <c r="AR283" s="1" t="str">
        <f t="shared" si="81"/>
        <v>0</v>
      </c>
      <c r="AS283" s="1" t="str">
        <f t="shared" si="82"/>
        <v>0</v>
      </c>
      <c r="AT283" s="1">
        <f t="shared" si="83"/>
        <v>543</v>
      </c>
      <c r="AU283" s="1" t="str">
        <f t="shared" si="84"/>
        <v>/0/543</v>
      </c>
    </row>
    <row r="284" spans="22:47" x14ac:dyDescent="0.3">
      <c r="V284" s="1" t="str">
        <f>IF([1]TIM!F284="","",[1]TIM!F284)</f>
        <v/>
      </c>
      <c r="W284" s="1" t="str">
        <f t="shared" si="73"/>
        <v/>
      </c>
      <c r="X284" s="1">
        <f t="shared" si="74"/>
        <v>0</v>
      </c>
      <c r="AI284" s="1">
        <f>IF([1]TIM!P284=[1]TIM!P284,[1]TIM!P284,"")</f>
        <v>0</v>
      </c>
      <c r="AJ284" s="1" t="str">
        <f t="shared" si="75"/>
        <v/>
      </c>
      <c r="AK284" s="1" t="str">
        <f t="shared" si="76"/>
        <v>0</v>
      </c>
      <c r="AL284" s="1" t="str">
        <f t="shared" si="77"/>
        <v>0</v>
      </c>
      <c r="AM284" s="1">
        <f t="shared" si="78"/>
        <v>543</v>
      </c>
      <c r="AN284" s="1" t="str">
        <f t="shared" si="79"/>
        <v>/0/543</v>
      </c>
      <c r="AP284" s="1">
        <f>IF([1]TIM!O284=[1]TIM!O284,[1]TIM!O284,"")</f>
        <v>0</v>
      </c>
      <c r="AQ284" s="1" t="str">
        <f t="shared" si="80"/>
        <v/>
      </c>
      <c r="AR284" s="1" t="str">
        <f t="shared" si="81"/>
        <v>0</v>
      </c>
      <c r="AS284" s="1" t="str">
        <f t="shared" si="82"/>
        <v>0</v>
      </c>
      <c r="AT284" s="1">
        <f t="shared" si="83"/>
        <v>543</v>
      </c>
      <c r="AU284" s="1" t="str">
        <f t="shared" si="84"/>
        <v>/0/543</v>
      </c>
    </row>
    <row r="285" spans="22:47" x14ac:dyDescent="0.3">
      <c r="V285" s="1" t="str">
        <f>IF([1]TIM!F285="","",[1]TIM!F285)</f>
        <v/>
      </c>
      <c r="W285" s="1" t="str">
        <f t="shared" si="73"/>
        <v/>
      </c>
      <c r="X285" s="1">
        <f t="shared" si="74"/>
        <v>0</v>
      </c>
      <c r="AI285" s="1">
        <f>IF([1]TIM!P285=[1]TIM!P285,[1]TIM!P285,"")</f>
        <v>0</v>
      </c>
      <c r="AJ285" s="1" t="str">
        <f t="shared" si="75"/>
        <v/>
      </c>
      <c r="AK285" s="1" t="str">
        <f t="shared" si="76"/>
        <v>0</v>
      </c>
      <c r="AL285" s="1" t="str">
        <f t="shared" si="77"/>
        <v>0</v>
      </c>
      <c r="AM285" s="1">
        <f t="shared" si="78"/>
        <v>543</v>
      </c>
      <c r="AN285" s="1" t="str">
        <f t="shared" si="79"/>
        <v>/0/543</v>
      </c>
      <c r="AP285" s="1">
        <f>IF([1]TIM!O285=[1]TIM!O285,[1]TIM!O285,"")</f>
        <v>0</v>
      </c>
      <c r="AQ285" s="1" t="str">
        <f t="shared" si="80"/>
        <v/>
      </c>
      <c r="AR285" s="1" t="str">
        <f t="shared" si="81"/>
        <v>0</v>
      </c>
      <c r="AS285" s="1" t="str">
        <f t="shared" si="82"/>
        <v>0</v>
      </c>
      <c r="AT285" s="1">
        <f t="shared" si="83"/>
        <v>543</v>
      </c>
      <c r="AU285" s="1" t="str">
        <f t="shared" si="84"/>
        <v>/0/543</v>
      </c>
    </row>
    <row r="286" spans="22:47" x14ac:dyDescent="0.3">
      <c r="V286" s="1" t="str">
        <f>IF([1]TIM!F286="","",[1]TIM!F286)</f>
        <v/>
      </c>
      <c r="W286" s="1" t="str">
        <f t="shared" si="73"/>
        <v/>
      </c>
      <c r="X286" s="1">
        <f t="shared" si="74"/>
        <v>0</v>
      </c>
      <c r="AI286" s="1">
        <f>IF([1]TIM!P286=[1]TIM!P286,[1]TIM!P286,"")</f>
        <v>0</v>
      </c>
      <c r="AJ286" s="1" t="str">
        <f t="shared" si="75"/>
        <v/>
      </c>
      <c r="AK286" s="1" t="str">
        <f t="shared" si="76"/>
        <v>0</v>
      </c>
      <c r="AL286" s="1" t="str">
        <f t="shared" si="77"/>
        <v>0</v>
      </c>
      <c r="AM286" s="1">
        <f t="shared" si="78"/>
        <v>543</v>
      </c>
      <c r="AN286" s="1" t="str">
        <f t="shared" si="79"/>
        <v>/0/543</v>
      </c>
      <c r="AP286" s="1">
        <f>IF([1]TIM!O286=[1]TIM!O286,[1]TIM!O286,"")</f>
        <v>0</v>
      </c>
      <c r="AQ286" s="1" t="str">
        <f t="shared" si="80"/>
        <v/>
      </c>
      <c r="AR286" s="1" t="str">
        <f t="shared" si="81"/>
        <v>0</v>
      </c>
      <c r="AS286" s="1" t="str">
        <f t="shared" si="82"/>
        <v>0</v>
      </c>
      <c r="AT286" s="1">
        <f t="shared" si="83"/>
        <v>543</v>
      </c>
      <c r="AU286" s="1" t="str">
        <f t="shared" si="84"/>
        <v>/0/543</v>
      </c>
    </row>
    <row r="287" spans="22:47" x14ac:dyDescent="0.3">
      <c r="V287" s="1" t="str">
        <f>IF([1]TIM!F287="","",[1]TIM!F287)</f>
        <v/>
      </c>
      <c r="W287" s="1" t="str">
        <f t="shared" si="73"/>
        <v/>
      </c>
      <c r="X287" s="1">
        <f t="shared" si="74"/>
        <v>0</v>
      </c>
      <c r="AI287" s="1">
        <f>IF([1]TIM!P287=[1]TIM!P287,[1]TIM!P287,"")</f>
        <v>0</v>
      </c>
      <c r="AJ287" s="1" t="str">
        <f t="shared" si="75"/>
        <v/>
      </c>
      <c r="AK287" s="1" t="str">
        <f t="shared" si="76"/>
        <v>0</v>
      </c>
      <c r="AL287" s="1" t="str">
        <f t="shared" si="77"/>
        <v>0</v>
      </c>
      <c r="AM287" s="1">
        <f t="shared" si="78"/>
        <v>543</v>
      </c>
      <c r="AN287" s="1" t="str">
        <f t="shared" si="79"/>
        <v>/0/543</v>
      </c>
      <c r="AP287" s="1">
        <f>IF([1]TIM!O287=[1]TIM!O287,[1]TIM!O287,"")</f>
        <v>0</v>
      </c>
      <c r="AQ287" s="1" t="str">
        <f t="shared" si="80"/>
        <v/>
      </c>
      <c r="AR287" s="1" t="str">
        <f t="shared" si="81"/>
        <v>0</v>
      </c>
      <c r="AS287" s="1" t="str">
        <f t="shared" si="82"/>
        <v>0</v>
      </c>
      <c r="AT287" s="1">
        <f t="shared" si="83"/>
        <v>543</v>
      </c>
      <c r="AU287" s="1" t="str">
        <f t="shared" si="84"/>
        <v>/0/543</v>
      </c>
    </row>
    <row r="288" spans="22:47" x14ac:dyDescent="0.3">
      <c r="V288" s="1" t="str">
        <f>IF([1]TIM!F288="","",[1]TIM!F288)</f>
        <v/>
      </c>
      <c r="W288" s="1" t="str">
        <f t="shared" si="73"/>
        <v/>
      </c>
      <c r="X288" s="1">
        <f t="shared" si="74"/>
        <v>0</v>
      </c>
      <c r="AI288" s="1">
        <f>IF([1]TIM!P288=[1]TIM!P288,[1]TIM!P288,"")</f>
        <v>0</v>
      </c>
      <c r="AJ288" s="1" t="str">
        <f t="shared" si="75"/>
        <v/>
      </c>
      <c r="AK288" s="1" t="str">
        <f t="shared" si="76"/>
        <v>0</v>
      </c>
      <c r="AL288" s="1" t="str">
        <f t="shared" si="77"/>
        <v>0</v>
      </c>
      <c r="AM288" s="1">
        <f t="shared" si="78"/>
        <v>543</v>
      </c>
      <c r="AN288" s="1" t="str">
        <f t="shared" si="79"/>
        <v>/0/543</v>
      </c>
      <c r="AP288" s="1">
        <f>IF([1]TIM!O288=[1]TIM!O288,[1]TIM!O288,"")</f>
        <v>0</v>
      </c>
      <c r="AQ288" s="1" t="str">
        <f t="shared" si="80"/>
        <v/>
      </c>
      <c r="AR288" s="1" t="str">
        <f t="shared" si="81"/>
        <v>0</v>
      </c>
      <c r="AS288" s="1" t="str">
        <f t="shared" si="82"/>
        <v>0</v>
      </c>
      <c r="AT288" s="1">
        <f t="shared" si="83"/>
        <v>543</v>
      </c>
      <c r="AU288" s="1" t="str">
        <f t="shared" si="84"/>
        <v>/0/543</v>
      </c>
    </row>
    <row r="289" spans="22:47" x14ac:dyDescent="0.3">
      <c r="V289" s="1" t="str">
        <f>IF([1]TIM!F289="","",[1]TIM!F289)</f>
        <v/>
      </c>
      <c r="W289" s="1" t="str">
        <f t="shared" si="73"/>
        <v/>
      </c>
      <c r="X289" s="1">
        <f t="shared" si="74"/>
        <v>0</v>
      </c>
      <c r="AI289" s="1">
        <f>IF([1]TIM!P289=[1]TIM!P289,[1]TIM!P289,"")</f>
        <v>0</v>
      </c>
      <c r="AJ289" s="1" t="str">
        <f t="shared" si="75"/>
        <v/>
      </c>
      <c r="AK289" s="1" t="str">
        <f t="shared" si="76"/>
        <v>0</v>
      </c>
      <c r="AL289" s="1" t="str">
        <f t="shared" si="77"/>
        <v>0</v>
      </c>
      <c r="AM289" s="1">
        <f t="shared" si="78"/>
        <v>543</v>
      </c>
      <c r="AN289" s="1" t="str">
        <f t="shared" si="79"/>
        <v>/0/543</v>
      </c>
      <c r="AP289" s="1">
        <f>IF([1]TIM!O289=[1]TIM!O289,[1]TIM!O289,"")</f>
        <v>0</v>
      </c>
      <c r="AQ289" s="1" t="str">
        <f t="shared" si="80"/>
        <v/>
      </c>
      <c r="AR289" s="1" t="str">
        <f t="shared" si="81"/>
        <v>0</v>
      </c>
      <c r="AS289" s="1" t="str">
        <f t="shared" si="82"/>
        <v>0</v>
      </c>
      <c r="AT289" s="1">
        <f t="shared" si="83"/>
        <v>543</v>
      </c>
      <c r="AU289" s="1" t="str">
        <f t="shared" si="84"/>
        <v>/0/543</v>
      </c>
    </row>
    <row r="290" spans="22:47" x14ac:dyDescent="0.3">
      <c r="V290" s="1" t="str">
        <f>IF([1]TIM!F290="","",[1]TIM!F290)</f>
        <v/>
      </c>
      <c r="W290" s="1" t="str">
        <f t="shared" si="73"/>
        <v/>
      </c>
      <c r="X290" s="1">
        <f t="shared" si="74"/>
        <v>0</v>
      </c>
      <c r="AI290" s="1">
        <f>IF([1]TIM!P290=[1]TIM!P290,[1]TIM!P290,"")</f>
        <v>0</v>
      </c>
      <c r="AJ290" s="1" t="str">
        <f t="shared" si="75"/>
        <v/>
      </c>
      <c r="AK290" s="1" t="str">
        <f t="shared" si="76"/>
        <v>0</v>
      </c>
      <c r="AL290" s="1" t="str">
        <f t="shared" si="77"/>
        <v>0</v>
      </c>
      <c r="AM290" s="1">
        <f t="shared" si="78"/>
        <v>543</v>
      </c>
      <c r="AN290" s="1" t="str">
        <f t="shared" si="79"/>
        <v>/0/543</v>
      </c>
      <c r="AP290" s="1">
        <f>IF([1]TIM!O290=[1]TIM!O290,[1]TIM!O290,"")</f>
        <v>0</v>
      </c>
      <c r="AQ290" s="1" t="str">
        <f t="shared" si="80"/>
        <v/>
      </c>
      <c r="AR290" s="1" t="str">
        <f t="shared" si="81"/>
        <v>0</v>
      </c>
      <c r="AS290" s="1" t="str">
        <f t="shared" si="82"/>
        <v>0</v>
      </c>
      <c r="AT290" s="1">
        <f t="shared" si="83"/>
        <v>543</v>
      </c>
      <c r="AU290" s="1" t="str">
        <f t="shared" si="84"/>
        <v>/0/543</v>
      </c>
    </row>
    <row r="291" spans="22:47" x14ac:dyDescent="0.3">
      <c r="V291" s="1" t="str">
        <f>IF([1]TIM!F291="","",[1]TIM!F291)</f>
        <v/>
      </c>
      <c r="W291" s="1" t="str">
        <f t="shared" si="73"/>
        <v/>
      </c>
      <c r="X291" s="1">
        <f t="shared" si="74"/>
        <v>0</v>
      </c>
      <c r="AI291" s="1">
        <f>IF([1]TIM!P291=[1]TIM!P291,[1]TIM!P291,"")</f>
        <v>0</v>
      </c>
      <c r="AJ291" s="1" t="str">
        <f t="shared" si="75"/>
        <v/>
      </c>
      <c r="AK291" s="1" t="str">
        <f t="shared" si="76"/>
        <v>0</v>
      </c>
      <c r="AL291" s="1" t="str">
        <f t="shared" si="77"/>
        <v>0</v>
      </c>
      <c r="AM291" s="1">
        <f t="shared" si="78"/>
        <v>543</v>
      </c>
      <c r="AN291" s="1" t="str">
        <f t="shared" si="79"/>
        <v>/0/543</v>
      </c>
      <c r="AP291" s="1">
        <f>IF([1]TIM!O291=[1]TIM!O291,[1]TIM!O291,"")</f>
        <v>0</v>
      </c>
      <c r="AQ291" s="1" t="str">
        <f t="shared" si="80"/>
        <v/>
      </c>
      <c r="AR291" s="1" t="str">
        <f t="shared" si="81"/>
        <v>0</v>
      </c>
      <c r="AS291" s="1" t="str">
        <f t="shared" si="82"/>
        <v>0</v>
      </c>
      <c r="AT291" s="1">
        <f t="shared" si="83"/>
        <v>543</v>
      </c>
      <c r="AU291" s="1" t="str">
        <f t="shared" si="84"/>
        <v>/0/543</v>
      </c>
    </row>
    <row r="292" spans="22:47" x14ac:dyDescent="0.3">
      <c r="V292" s="1" t="str">
        <f>IF([1]TIM!F292="","",[1]TIM!F292)</f>
        <v/>
      </c>
      <c r="W292" s="1" t="str">
        <f t="shared" si="73"/>
        <v/>
      </c>
      <c r="X292" s="1">
        <f t="shared" si="74"/>
        <v>0</v>
      </c>
      <c r="AI292" s="1">
        <f>IF([1]TIM!P292=[1]TIM!P292,[1]TIM!P292,"")</f>
        <v>0</v>
      </c>
      <c r="AJ292" s="1" t="str">
        <f t="shared" si="75"/>
        <v/>
      </c>
      <c r="AK292" s="1" t="str">
        <f t="shared" si="76"/>
        <v>0</v>
      </c>
      <c r="AL292" s="1" t="str">
        <f t="shared" si="77"/>
        <v>0</v>
      </c>
      <c r="AM292" s="1">
        <f t="shared" si="78"/>
        <v>543</v>
      </c>
      <c r="AN292" s="1" t="str">
        <f t="shared" si="79"/>
        <v>/0/543</v>
      </c>
      <c r="AP292" s="1">
        <f>IF([1]TIM!O292=[1]TIM!O292,[1]TIM!O292,"")</f>
        <v>0</v>
      </c>
      <c r="AQ292" s="1" t="str">
        <f t="shared" si="80"/>
        <v/>
      </c>
      <c r="AR292" s="1" t="str">
        <f t="shared" si="81"/>
        <v>0</v>
      </c>
      <c r="AS292" s="1" t="str">
        <f t="shared" si="82"/>
        <v>0</v>
      </c>
      <c r="AT292" s="1">
        <f t="shared" si="83"/>
        <v>543</v>
      </c>
      <c r="AU292" s="1" t="str">
        <f t="shared" si="84"/>
        <v>/0/543</v>
      </c>
    </row>
    <row r="293" spans="22:47" x14ac:dyDescent="0.3">
      <c r="V293" s="1" t="str">
        <f>IF([1]TIM!F293="","",[1]TIM!F293)</f>
        <v/>
      </c>
      <c r="W293" s="1" t="str">
        <f t="shared" si="73"/>
        <v/>
      </c>
      <c r="X293" s="1">
        <f t="shared" si="74"/>
        <v>0</v>
      </c>
      <c r="AI293" s="1">
        <f>IF([1]TIM!P293=[1]TIM!P293,[1]TIM!P293,"")</f>
        <v>0</v>
      </c>
      <c r="AJ293" s="1" t="str">
        <f t="shared" si="75"/>
        <v/>
      </c>
      <c r="AK293" s="1" t="str">
        <f t="shared" si="76"/>
        <v>0</v>
      </c>
      <c r="AL293" s="1" t="str">
        <f t="shared" si="77"/>
        <v>0</v>
      </c>
      <c r="AM293" s="1">
        <f t="shared" si="78"/>
        <v>543</v>
      </c>
      <c r="AN293" s="1" t="str">
        <f t="shared" si="79"/>
        <v>/0/543</v>
      </c>
      <c r="AP293" s="1">
        <f>IF([1]TIM!O293=[1]TIM!O293,[1]TIM!O293,"")</f>
        <v>0</v>
      </c>
      <c r="AQ293" s="1" t="str">
        <f t="shared" si="80"/>
        <v/>
      </c>
      <c r="AR293" s="1" t="str">
        <f t="shared" si="81"/>
        <v>0</v>
      </c>
      <c r="AS293" s="1" t="str">
        <f t="shared" si="82"/>
        <v>0</v>
      </c>
      <c r="AT293" s="1">
        <f t="shared" si="83"/>
        <v>543</v>
      </c>
      <c r="AU293" s="1" t="str">
        <f t="shared" si="84"/>
        <v>/0/543</v>
      </c>
    </row>
    <row r="294" spans="22:47" x14ac:dyDescent="0.3">
      <c r="V294" s="1" t="str">
        <f>IF([1]TIM!F294="","",[1]TIM!F294)</f>
        <v/>
      </c>
      <c r="W294" s="1" t="str">
        <f t="shared" si="73"/>
        <v/>
      </c>
      <c r="X294" s="1">
        <f t="shared" si="74"/>
        <v>0</v>
      </c>
      <c r="AI294" s="1">
        <f>IF([1]TIM!P294=[1]TIM!P294,[1]TIM!P294,"")</f>
        <v>0</v>
      </c>
      <c r="AJ294" s="1" t="str">
        <f t="shared" si="75"/>
        <v/>
      </c>
      <c r="AK294" s="1" t="str">
        <f t="shared" si="76"/>
        <v>0</v>
      </c>
      <c r="AL294" s="1" t="str">
        <f t="shared" si="77"/>
        <v>0</v>
      </c>
      <c r="AM294" s="1">
        <f t="shared" si="78"/>
        <v>543</v>
      </c>
      <c r="AN294" s="1" t="str">
        <f t="shared" si="79"/>
        <v>/0/543</v>
      </c>
      <c r="AP294" s="1">
        <f>IF([1]TIM!O294=[1]TIM!O294,[1]TIM!O294,"")</f>
        <v>0</v>
      </c>
      <c r="AQ294" s="1" t="str">
        <f t="shared" si="80"/>
        <v/>
      </c>
      <c r="AR294" s="1" t="str">
        <f t="shared" si="81"/>
        <v>0</v>
      </c>
      <c r="AS294" s="1" t="str">
        <f t="shared" si="82"/>
        <v>0</v>
      </c>
      <c r="AT294" s="1">
        <f t="shared" si="83"/>
        <v>543</v>
      </c>
      <c r="AU294" s="1" t="str">
        <f t="shared" si="84"/>
        <v>/0/543</v>
      </c>
    </row>
    <row r="295" spans="22:47" x14ac:dyDescent="0.3">
      <c r="V295" s="1" t="str">
        <f>IF([1]TIM!F295="","",[1]TIM!F295)</f>
        <v/>
      </c>
      <c r="W295" s="1" t="str">
        <f t="shared" si="73"/>
        <v/>
      </c>
      <c r="X295" s="1">
        <f t="shared" si="74"/>
        <v>0</v>
      </c>
      <c r="AI295" s="1">
        <f>IF([1]TIM!P295=[1]TIM!P295,[1]TIM!P295,"")</f>
        <v>0</v>
      </c>
      <c r="AJ295" s="1" t="str">
        <f t="shared" si="75"/>
        <v/>
      </c>
      <c r="AK295" s="1" t="str">
        <f t="shared" si="76"/>
        <v>0</v>
      </c>
      <c r="AL295" s="1" t="str">
        <f t="shared" si="77"/>
        <v>0</v>
      </c>
      <c r="AM295" s="1">
        <f t="shared" si="78"/>
        <v>543</v>
      </c>
      <c r="AN295" s="1" t="str">
        <f t="shared" si="79"/>
        <v>/0/543</v>
      </c>
      <c r="AP295" s="1">
        <f>IF([1]TIM!O295=[1]TIM!O295,[1]TIM!O295,"")</f>
        <v>0</v>
      </c>
      <c r="AQ295" s="1" t="str">
        <f t="shared" si="80"/>
        <v/>
      </c>
      <c r="AR295" s="1" t="str">
        <f t="shared" si="81"/>
        <v>0</v>
      </c>
      <c r="AS295" s="1" t="str">
        <f t="shared" si="82"/>
        <v>0</v>
      </c>
      <c r="AT295" s="1">
        <f t="shared" si="83"/>
        <v>543</v>
      </c>
      <c r="AU295" s="1" t="str">
        <f t="shared" si="84"/>
        <v>/0/543</v>
      </c>
    </row>
    <row r="296" spans="22:47" x14ac:dyDescent="0.3">
      <c r="V296" s="1" t="str">
        <f>IF([1]TIM!F296="","",[1]TIM!F296)</f>
        <v/>
      </c>
      <c r="W296" s="1" t="str">
        <f t="shared" si="73"/>
        <v/>
      </c>
      <c r="X296" s="1">
        <f t="shared" si="74"/>
        <v>0</v>
      </c>
      <c r="AI296" s="1">
        <f>IF([1]TIM!P296=[1]TIM!P296,[1]TIM!P296,"")</f>
        <v>0</v>
      </c>
      <c r="AJ296" s="1" t="str">
        <f t="shared" si="75"/>
        <v/>
      </c>
      <c r="AK296" s="1" t="str">
        <f t="shared" si="76"/>
        <v>0</v>
      </c>
      <c r="AL296" s="1" t="str">
        <f t="shared" si="77"/>
        <v>0</v>
      </c>
      <c r="AM296" s="1">
        <f t="shared" si="78"/>
        <v>543</v>
      </c>
      <c r="AN296" s="1" t="str">
        <f t="shared" si="79"/>
        <v>/0/543</v>
      </c>
      <c r="AP296" s="1">
        <f>IF([1]TIM!O296=[1]TIM!O296,[1]TIM!O296,"")</f>
        <v>0</v>
      </c>
      <c r="AQ296" s="1" t="str">
        <f t="shared" si="80"/>
        <v/>
      </c>
      <c r="AR296" s="1" t="str">
        <f t="shared" si="81"/>
        <v>0</v>
      </c>
      <c r="AS296" s="1" t="str">
        <f t="shared" si="82"/>
        <v>0</v>
      </c>
      <c r="AT296" s="1">
        <f t="shared" si="83"/>
        <v>543</v>
      </c>
      <c r="AU296" s="1" t="str">
        <f t="shared" si="84"/>
        <v>/0/543</v>
      </c>
    </row>
    <row r="297" spans="22:47" x14ac:dyDescent="0.3">
      <c r="V297" s="1" t="str">
        <f>IF([1]TIM!F297="","",[1]TIM!F297)</f>
        <v/>
      </c>
      <c r="W297" s="1" t="str">
        <f t="shared" si="73"/>
        <v/>
      </c>
      <c r="X297" s="1">
        <f t="shared" si="74"/>
        <v>0</v>
      </c>
      <c r="AI297" s="1">
        <f>IF([1]TIM!P297=[1]TIM!P297,[1]TIM!P297,"")</f>
        <v>0</v>
      </c>
      <c r="AJ297" s="1" t="str">
        <f t="shared" si="75"/>
        <v/>
      </c>
      <c r="AK297" s="1" t="str">
        <f t="shared" si="76"/>
        <v>0</v>
      </c>
      <c r="AL297" s="1" t="str">
        <f t="shared" si="77"/>
        <v>0</v>
      </c>
      <c r="AM297" s="1">
        <f t="shared" si="78"/>
        <v>543</v>
      </c>
      <c r="AN297" s="1" t="str">
        <f t="shared" si="79"/>
        <v>/0/543</v>
      </c>
      <c r="AP297" s="1">
        <f>IF([1]TIM!O297=[1]TIM!O297,[1]TIM!O297,"")</f>
        <v>0</v>
      </c>
      <c r="AQ297" s="1" t="str">
        <f t="shared" si="80"/>
        <v/>
      </c>
      <c r="AR297" s="1" t="str">
        <f t="shared" si="81"/>
        <v>0</v>
      </c>
      <c r="AS297" s="1" t="str">
        <f t="shared" si="82"/>
        <v>0</v>
      </c>
      <c r="AT297" s="1">
        <f t="shared" si="83"/>
        <v>543</v>
      </c>
      <c r="AU297" s="1" t="str">
        <f t="shared" si="84"/>
        <v>/0/543</v>
      </c>
    </row>
    <row r="298" spans="22:47" x14ac:dyDescent="0.3">
      <c r="V298" s="1" t="str">
        <f>IF([1]TIM!F298="","",[1]TIM!F298)</f>
        <v/>
      </c>
      <c r="W298" s="1" t="str">
        <f t="shared" si="73"/>
        <v/>
      </c>
      <c r="X298" s="1">
        <f t="shared" si="74"/>
        <v>0</v>
      </c>
      <c r="AI298" s="1">
        <f>IF([1]TIM!P298=[1]TIM!P298,[1]TIM!P298,"")</f>
        <v>0</v>
      </c>
      <c r="AJ298" s="1" t="str">
        <f t="shared" si="75"/>
        <v/>
      </c>
      <c r="AK298" s="1" t="str">
        <f t="shared" si="76"/>
        <v>0</v>
      </c>
      <c r="AL298" s="1" t="str">
        <f t="shared" si="77"/>
        <v>0</v>
      </c>
      <c r="AM298" s="1">
        <f t="shared" si="78"/>
        <v>543</v>
      </c>
      <c r="AN298" s="1" t="str">
        <f t="shared" si="79"/>
        <v>/0/543</v>
      </c>
      <c r="AP298" s="1">
        <f>IF([1]TIM!O298=[1]TIM!O298,[1]TIM!O298,"")</f>
        <v>0</v>
      </c>
      <c r="AQ298" s="1" t="str">
        <f t="shared" si="80"/>
        <v/>
      </c>
      <c r="AR298" s="1" t="str">
        <f t="shared" si="81"/>
        <v>0</v>
      </c>
      <c r="AS298" s="1" t="str">
        <f t="shared" si="82"/>
        <v>0</v>
      </c>
      <c r="AT298" s="1">
        <f t="shared" si="83"/>
        <v>543</v>
      </c>
      <c r="AU298" s="1" t="str">
        <f t="shared" si="84"/>
        <v>/0/543</v>
      </c>
    </row>
    <row r="299" spans="22:47" x14ac:dyDescent="0.3">
      <c r="V299" s="1" t="str">
        <f>IF([1]TIM!F299="","",[1]TIM!F299)</f>
        <v/>
      </c>
      <c r="W299" s="1" t="str">
        <f t="shared" si="73"/>
        <v/>
      </c>
      <c r="X299" s="1">
        <f t="shared" si="74"/>
        <v>0</v>
      </c>
      <c r="AI299" s="1">
        <f>IF([1]TIM!P299=[1]TIM!P299,[1]TIM!P299,"")</f>
        <v>0</v>
      </c>
      <c r="AJ299" s="1" t="str">
        <f t="shared" si="75"/>
        <v/>
      </c>
      <c r="AK299" s="1" t="str">
        <f t="shared" si="76"/>
        <v>0</v>
      </c>
      <c r="AL299" s="1" t="str">
        <f t="shared" si="77"/>
        <v>0</v>
      </c>
      <c r="AM299" s="1">
        <f t="shared" si="78"/>
        <v>543</v>
      </c>
      <c r="AN299" s="1" t="str">
        <f t="shared" si="79"/>
        <v>/0/543</v>
      </c>
      <c r="AP299" s="1">
        <f>IF([1]TIM!O299=[1]TIM!O299,[1]TIM!O299,"")</f>
        <v>0</v>
      </c>
      <c r="AQ299" s="1" t="str">
        <f t="shared" si="80"/>
        <v/>
      </c>
      <c r="AR299" s="1" t="str">
        <f t="shared" si="81"/>
        <v>0</v>
      </c>
      <c r="AS299" s="1" t="str">
        <f t="shared" si="82"/>
        <v>0</v>
      </c>
      <c r="AT299" s="1">
        <f t="shared" si="83"/>
        <v>543</v>
      </c>
      <c r="AU299" s="1" t="str">
        <f t="shared" si="84"/>
        <v>/0/543</v>
      </c>
    </row>
    <row r="300" spans="22:47" x14ac:dyDescent="0.3">
      <c r="V300" s="1" t="str">
        <f>IF([1]TIM!F300="","",[1]TIM!F300)</f>
        <v/>
      </c>
      <c r="W300" s="1" t="str">
        <f t="shared" si="73"/>
        <v/>
      </c>
      <c r="X300" s="1">
        <f t="shared" si="74"/>
        <v>0</v>
      </c>
      <c r="AI300" s="1">
        <f>IF([1]TIM!P300=[1]TIM!P300,[1]TIM!P300,"")</f>
        <v>0</v>
      </c>
      <c r="AJ300" s="1" t="str">
        <f t="shared" si="75"/>
        <v/>
      </c>
      <c r="AK300" s="1" t="str">
        <f t="shared" si="76"/>
        <v>0</v>
      </c>
      <c r="AL300" s="1" t="str">
        <f t="shared" si="77"/>
        <v>0</v>
      </c>
      <c r="AM300" s="1">
        <f t="shared" si="78"/>
        <v>543</v>
      </c>
      <c r="AN300" s="1" t="str">
        <f t="shared" si="79"/>
        <v>/0/543</v>
      </c>
      <c r="AP300" s="1">
        <f>IF([1]TIM!O300=[1]TIM!O300,[1]TIM!O300,"")</f>
        <v>0</v>
      </c>
      <c r="AQ300" s="1" t="str">
        <f t="shared" si="80"/>
        <v/>
      </c>
      <c r="AR300" s="1" t="str">
        <f t="shared" si="81"/>
        <v>0</v>
      </c>
      <c r="AS300" s="1" t="str">
        <f t="shared" si="82"/>
        <v>0</v>
      </c>
      <c r="AT300" s="1">
        <f t="shared" si="83"/>
        <v>543</v>
      </c>
      <c r="AU300" s="1" t="str">
        <f t="shared" si="84"/>
        <v>/0/543</v>
      </c>
    </row>
    <row r="301" spans="22:47" x14ac:dyDescent="0.3">
      <c r="V301" s="1" t="str">
        <f>IF([1]TIM!F301="","",[1]TIM!F301)</f>
        <v/>
      </c>
      <c r="W301" s="1" t="str">
        <f t="shared" si="73"/>
        <v/>
      </c>
      <c r="X301" s="1">
        <f t="shared" si="74"/>
        <v>0</v>
      </c>
      <c r="AI301" s="1">
        <f>IF([1]TIM!P301=[1]TIM!P301,[1]TIM!P301,"")</f>
        <v>0</v>
      </c>
      <c r="AJ301" s="1" t="str">
        <f t="shared" si="75"/>
        <v/>
      </c>
      <c r="AK301" s="1" t="str">
        <f t="shared" si="76"/>
        <v>0</v>
      </c>
      <c r="AL301" s="1" t="str">
        <f t="shared" si="77"/>
        <v>0</v>
      </c>
      <c r="AM301" s="1">
        <f t="shared" si="78"/>
        <v>543</v>
      </c>
      <c r="AN301" s="1" t="str">
        <f t="shared" si="79"/>
        <v>/0/543</v>
      </c>
      <c r="AP301" s="1">
        <f>IF([1]TIM!O301=[1]TIM!O301,[1]TIM!O301,"")</f>
        <v>0</v>
      </c>
      <c r="AQ301" s="1" t="str">
        <f t="shared" si="80"/>
        <v/>
      </c>
      <c r="AR301" s="1" t="str">
        <f t="shared" si="81"/>
        <v>0</v>
      </c>
      <c r="AS301" s="1" t="str">
        <f t="shared" si="82"/>
        <v>0</v>
      </c>
      <c r="AT301" s="1">
        <f t="shared" si="83"/>
        <v>543</v>
      </c>
      <c r="AU301" s="1" t="str">
        <f t="shared" si="84"/>
        <v>/0/543</v>
      </c>
    </row>
    <row r="302" spans="22:47" x14ac:dyDescent="0.3">
      <c r="V302" s="1" t="str">
        <f>IF([1]TIM!F302="","",[1]TIM!F302)</f>
        <v/>
      </c>
      <c r="W302" s="1" t="str">
        <f t="shared" si="73"/>
        <v/>
      </c>
      <c r="X302" s="1">
        <f t="shared" si="74"/>
        <v>0</v>
      </c>
      <c r="AI302" s="1">
        <f>IF([1]TIM!P302=[1]TIM!P302,[1]TIM!P302,"")</f>
        <v>0</v>
      </c>
      <c r="AJ302" s="1" t="str">
        <f t="shared" si="75"/>
        <v/>
      </c>
      <c r="AK302" s="1" t="str">
        <f t="shared" si="76"/>
        <v>0</v>
      </c>
      <c r="AL302" s="1" t="str">
        <f t="shared" si="77"/>
        <v>0</v>
      </c>
      <c r="AM302" s="1">
        <f t="shared" si="78"/>
        <v>543</v>
      </c>
      <c r="AN302" s="1" t="str">
        <f t="shared" si="79"/>
        <v>/0/543</v>
      </c>
      <c r="AP302" s="1">
        <f>IF([1]TIM!O302=[1]TIM!O302,[1]TIM!O302,"")</f>
        <v>0</v>
      </c>
      <c r="AQ302" s="1" t="str">
        <f t="shared" si="80"/>
        <v/>
      </c>
      <c r="AR302" s="1" t="str">
        <f t="shared" si="81"/>
        <v>0</v>
      </c>
      <c r="AS302" s="1" t="str">
        <f t="shared" si="82"/>
        <v>0</v>
      </c>
      <c r="AT302" s="1">
        <f t="shared" si="83"/>
        <v>543</v>
      </c>
      <c r="AU302" s="1" t="str">
        <f t="shared" si="84"/>
        <v>/0/543</v>
      </c>
    </row>
    <row r="303" spans="22:47" x14ac:dyDescent="0.3">
      <c r="V303" s="1" t="str">
        <f>IF([1]TIM!F303="","",[1]TIM!F303)</f>
        <v/>
      </c>
      <c r="W303" s="1" t="str">
        <f t="shared" si="73"/>
        <v/>
      </c>
      <c r="X303" s="1">
        <f t="shared" si="74"/>
        <v>0</v>
      </c>
      <c r="AI303" s="1">
        <f>IF([1]TIM!P303=[1]TIM!P303,[1]TIM!P303,"")</f>
        <v>0</v>
      </c>
      <c r="AJ303" s="1" t="str">
        <f t="shared" si="75"/>
        <v/>
      </c>
      <c r="AK303" s="1" t="str">
        <f t="shared" si="76"/>
        <v>0</v>
      </c>
      <c r="AL303" s="1" t="str">
        <f t="shared" si="77"/>
        <v>0</v>
      </c>
      <c r="AM303" s="1">
        <f t="shared" si="78"/>
        <v>543</v>
      </c>
      <c r="AN303" s="1" t="str">
        <f t="shared" si="79"/>
        <v>/0/543</v>
      </c>
      <c r="AP303" s="1">
        <f>IF([1]TIM!O303=[1]TIM!O303,[1]TIM!O303,"")</f>
        <v>0</v>
      </c>
      <c r="AQ303" s="1" t="str">
        <f t="shared" si="80"/>
        <v/>
      </c>
      <c r="AR303" s="1" t="str">
        <f t="shared" si="81"/>
        <v>0</v>
      </c>
      <c r="AS303" s="1" t="str">
        <f t="shared" si="82"/>
        <v>0</v>
      </c>
      <c r="AT303" s="1">
        <f t="shared" si="83"/>
        <v>543</v>
      </c>
      <c r="AU303" s="1" t="str">
        <f t="shared" si="84"/>
        <v>/0/543</v>
      </c>
    </row>
    <row r="304" spans="22:47" x14ac:dyDescent="0.3">
      <c r="V304" s="1" t="str">
        <f>IF([1]TIM!F304="","",[1]TIM!F304)</f>
        <v/>
      </c>
      <c r="W304" s="1" t="str">
        <f t="shared" si="73"/>
        <v/>
      </c>
      <c r="X304" s="1">
        <f t="shared" si="74"/>
        <v>0</v>
      </c>
      <c r="AI304" s="1">
        <f>IF([1]TIM!P304=[1]TIM!P304,[1]TIM!P304,"")</f>
        <v>0</v>
      </c>
      <c r="AJ304" s="1" t="str">
        <f t="shared" si="75"/>
        <v/>
      </c>
      <c r="AK304" s="1" t="str">
        <f t="shared" si="76"/>
        <v>0</v>
      </c>
      <c r="AL304" s="1" t="str">
        <f t="shared" si="77"/>
        <v>0</v>
      </c>
      <c r="AM304" s="1">
        <f t="shared" si="78"/>
        <v>543</v>
      </c>
      <c r="AN304" s="1" t="str">
        <f t="shared" si="79"/>
        <v>/0/543</v>
      </c>
      <c r="AP304" s="1">
        <f>IF([1]TIM!O304=[1]TIM!O304,[1]TIM!O304,"")</f>
        <v>0</v>
      </c>
      <c r="AQ304" s="1" t="str">
        <f t="shared" si="80"/>
        <v/>
      </c>
      <c r="AR304" s="1" t="str">
        <f t="shared" si="81"/>
        <v>0</v>
      </c>
      <c r="AS304" s="1" t="str">
        <f t="shared" si="82"/>
        <v>0</v>
      </c>
      <c r="AT304" s="1">
        <f t="shared" si="83"/>
        <v>543</v>
      </c>
      <c r="AU304" s="1" t="str">
        <f t="shared" si="84"/>
        <v>/0/543</v>
      </c>
    </row>
    <row r="305" spans="22:47" x14ac:dyDescent="0.3">
      <c r="V305" s="1" t="str">
        <f>IF([1]TIM!F305="","",[1]TIM!F305)</f>
        <v/>
      </c>
      <c r="W305" s="1" t="str">
        <f t="shared" si="73"/>
        <v/>
      </c>
      <c r="X305" s="1">
        <f t="shared" si="74"/>
        <v>0</v>
      </c>
      <c r="AI305" s="1">
        <f>IF([1]TIM!P305=[1]TIM!P305,[1]TIM!P305,"")</f>
        <v>0</v>
      </c>
      <c r="AJ305" s="1" t="str">
        <f t="shared" si="75"/>
        <v/>
      </c>
      <c r="AK305" s="1" t="str">
        <f t="shared" si="76"/>
        <v>0</v>
      </c>
      <c r="AL305" s="1" t="str">
        <f t="shared" si="77"/>
        <v>0</v>
      </c>
      <c r="AM305" s="1">
        <f t="shared" si="78"/>
        <v>543</v>
      </c>
      <c r="AN305" s="1" t="str">
        <f t="shared" si="79"/>
        <v>/0/543</v>
      </c>
      <c r="AP305" s="1">
        <f>IF([1]TIM!O305=[1]TIM!O305,[1]TIM!O305,"")</f>
        <v>0</v>
      </c>
      <c r="AQ305" s="1" t="str">
        <f t="shared" si="80"/>
        <v/>
      </c>
      <c r="AR305" s="1" t="str">
        <f t="shared" si="81"/>
        <v>0</v>
      </c>
      <c r="AS305" s="1" t="str">
        <f t="shared" si="82"/>
        <v>0</v>
      </c>
      <c r="AT305" s="1">
        <f t="shared" si="83"/>
        <v>543</v>
      </c>
      <c r="AU305" s="1" t="str">
        <f t="shared" si="84"/>
        <v>/0/543</v>
      </c>
    </row>
    <row r="306" spans="22:47" x14ac:dyDescent="0.3">
      <c r="V306" s="1" t="str">
        <f>IF([1]TIM!F306="","",[1]TIM!F306)</f>
        <v/>
      </c>
      <c r="W306" s="1" t="str">
        <f t="shared" si="73"/>
        <v/>
      </c>
      <c r="X306" s="1">
        <f t="shared" si="74"/>
        <v>0</v>
      </c>
      <c r="AI306" s="1">
        <f>IF([1]TIM!P306=[1]TIM!P306,[1]TIM!P306,"")</f>
        <v>0</v>
      </c>
      <c r="AJ306" s="1" t="str">
        <f t="shared" si="75"/>
        <v/>
      </c>
      <c r="AK306" s="1" t="str">
        <f t="shared" si="76"/>
        <v>0</v>
      </c>
      <c r="AL306" s="1" t="str">
        <f t="shared" si="77"/>
        <v>0</v>
      </c>
      <c r="AM306" s="1">
        <f t="shared" si="78"/>
        <v>543</v>
      </c>
      <c r="AN306" s="1" t="str">
        <f t="shared" si="79"/>
        <v>/0/543</v>
      </c>
      <c r="AP306" s="1">
        <f>IF([1]TIM!O306=[1]TIM!O306,[1]TIM!O306,"")</f>
        <v>0</v>
      </c>
      <c r="AQ306" s="1" t="str">
        <f t="shared" si="80"/>
        <v/>
      </c>
      <c r="AR306" s="1" t="str">
        <f t="shared" si="81"/>
        <v>0</v>
      </c>
      <c r="AS306" s="1" t="str">
        <f t="shared" si="82"/>
        <v>0</v>
      </c>
      <c r="AT306" s="1">
        <f t="shared" si="83"/>
        <v>543</v>
      </c>
      <c r="AU306" s="1" t="str">
        <f t="shared" si="84"/>
        <v>/0/543</v>
      </c>
    </row>
    <row r="307" spans="22:47" x14ac:dyDescent="0.3">
      <c r="V307" s="1" t="str">
        <f>IF([1]TIM!F307="","",[1]TIM!F307)</f>
        <v/>
      </c>
      <c r="W307" s="1" t="str">
        <f t="shared" si="73"/>
        <v/>
      </c>
      <c r="X307" s="1">
        <f t="shared" si="74"/>
        <v>0</v>
      </c>
      <c r="AI307" s="1">
        <f>IF([1]TIM!P307=[1]TIM!P307,[1]TIM!P307,"")</f>
        <v>0</v>
      </c>
      <c r="AJ307" s="1" t="str">
        <f t="shared" si="75"/>
        <v/>
      </c>
      <c r="AK307" s="1" t="str">
        <f t="shared" si="76"/>
        <v>0</v>
      </c>
      <c r="AL307" s="1" t="str">
        <f t="shared" si="77"/>
        <v>0</v>
      </c>
      <c r="AM307" s="1">
        <f t="shared" si="78"/>
        <v>543</v>
      </c>
      <c r="AN307" s="1" t="str">
        <f t="shared" si="79"/>
        <v>/0/543</v>
      </c>
      <c r="AP307" s="1">
        <f>IF([1]TIM!O307=[1]TIM!O307,[1]TIM!O307,"")</f>
        <v>0</v>
      </c>
      <c r="AQ307" s="1" t="str">
        <f t="shared" si="80"/>
        <v/>
      </c>
      <c r="AR307" s="1" t="str">
        <f t="shared" si="81"/>
        <v>0</v>
      </c>
      <c r="AS307" s="1" t="str">
        <f t="shared" si="82"/>
        <v>0</v>
      </c>
      <c r="AT307" s="1">
        <f t="shared" si="83"/>
        <v>543</v>
      </c>
      <c r="AU307" s="1" t="str">
        <f t="shared" si="84"/>
        <v>/0/543</v>
      </c>
    </row>
    <row r="308" spans="22:47" x14ac:dyDescent="0.3">
      <c r="V308" s="1" t="str">
        <f>IF([1]TIM!F308="","",[1]TIM!F308)</f>
        <v/>
      </c>
      <c r="W308" s="1" t="str">
        <f t="shared" si="73"/>
        <v/>
      </c>
      <c r="X308" s="1">
        <f t="shared" si="74"/>
        <v>0</v>
      </c>
      <c r="AI308" s="1">
        <f>IF([1]TIM!P308=[1]TIM!P308,[1]TIM!P308,"")</f>
        <v>0</v>
      </c>
      <c r="AJ308" s="1" t="str">
        <f t="shared" si="75"/>
        <v/>
      </c>
      <c r="AK308" s="1" t="str">
        <f t="shared" si="76"/>
        <v>0</v>
      </c>
      <c r="AL308" s="1" t="str">
        <f t="shared" si="77"/>
        <v>0</v>
      </c>
      <c r="AM308" s="1">
        <f t="shared" si="78"/>
        <v>543</v>
      </c>
      <c r="AN308" s="1" t="str">
        <f t="shared" si="79"/>
        <v>/0/543</v>
      </c>
      <c r="AP308" s="1">
        <f>IF([1]TIM!O308=[1]TIM!O308,[1]TIM!O308,"")</f>
        <v>0</v>
      </c>
      <c r="AQ308" s="1" t="str">
        <f t="shared" si="80"/>
        <v/>
      </c>
      <c r="AR308" s="1" t="str">
        <f t="shared" si="81"/>
        <v>0</v>
      </c>
      <c r="AS308" s="1" t="str">
        <f t="shared" si="82"/>
        <v>0</v>
      </c>
      <c r="AT308" s="1">
        <f t="shared" si="83"/>
        <v>543</v>
      </c>
      <c r="AU308" s="1" t="str">
        <f t="shared" si="84"/>
        <v>/0/543</v>
      </c>
    </row>
    <row r="309" spans="22:47" x14ac:dyDescent="0.3">
      <c r="V309" s="1" t="str">
        <f>IF([1]TIM!F309="","",[1]TIM!F309)</f>
        <v/>
      </c>
      <c r="W309" s="1" t="str">
        <f t="shared" si="73"/>
        <v/>
      </c>
      <c r="X309" s="1">
        <f t="shared" si="74"/>
        <v>0</v>
      </c>
      <c r="AI309" s="1">
        <f>IF([1]TIM!P309=[1]TIM!P309,[1]TIM!P309,"")</f>
        <v>0</v>
      </c>
      <c r="AJ309" s="1" t="str">
        <f t="shared" si="75"/>
        <v/>
      </c>
      <c r="AK309" s="1" t="str">
        <f t="shared" si="76"/>
        <v>0</v>
      </c>
      <c r="AL309" s="1" t="str">
        <f t="shared" si="77"/>
        <v>0</v>
      </c>
      <c r="AM309" s="1">
        <f t="shared" si="78"/>
        <v>543</v>
      </c>
      <c r="AN309" s="1" t="str">
        <f t="shared" si="79"/>
        <v>/0/543</v>
      </c>
      <c r="AP309" s="1">
        <f>IF([1]TIM!O309=[1]TIM!O309,[1]TIM!O309,"")</f>
        <v>0</v>
      </c>
      <c r="AQ309" s="1" t="str">
        <f t="shared" si="80"/>
        <v/>
      </c>
      <c r="AR309" s="1" t="str">
        <f t="shared" si="81"/>
        <v>0</v>
      </c>
      <c r="AS309" s="1" t="str">
        <f t="shared" si="82"/>
        <v>0</v>
      </c>
      <c r="AT309" s="1">
        <f t="shared" si="83"/>
        <v>543</v>
      </c>
      <c r="AU309" s="1" t="str">
        <f t="shared" si="84"/>
        <v>/0/543</v>
      </c>
    </row>
    <row r="310" spans="22:47" x14ac:dyDescent="0.3">
      <c r="V310" s="1" t="str">
        <f>IF([1]TIM!F310="","",[1]TIM!F310)</f>
        <v/>
      </c>
      <c r="W310" s="1" t="str">
        <f t="shared" si="73"/>
        <v/>
      </c>
      <c r="X310" s="1">
        <f t="shared" si="74"/>
        <v>0</v>
      </c>
      <c r="AI310" s="1">
        <f>IF([1]TIM!P310=[1]TIM!P310,[1]TIM!P310,"")</f>
        <v>0</v>
      </c>
      <c r="AJ310" s="1" t="str">
        <f t="shared" si="75"/>
        <v/>
      </c>
      <c r="AK310" s="1" t="str">
        <f t="shared" si="76"/>
        <v>0</v>
      </c>
      <c r="AL310" s="1" t="str">
        <f t="shared" si="77"/>
        <v>0</v>
      </c>
      <c r="AM310" s="1">
        <f t="shared" si="78"/>
        <v>543</v>
      </c>
      <c r="AN310" s="1" t="str">
        <f t="shared" si="79"/>
        <v>/0/543</v>
      </c>
      <c r="AP310" s="1">
        <f>IF([1]TIM!O310=[1]TIM!O310,[1]TIM!O310,"")</f>
        <v>0</v>
      </c>
      <c r="AQ310" s="1" t="str">
        <f t="shared" si="80"/>
        <v/>
      </c>
      <c r="AR310" s="1" t="str">
        <f t="shared" si="81"/>
        <v>0</v>
      </c>
      <c r="AS310" s="1" t="str">
        <f t="shared" si="82"/>
        <v>0</v>
      </c>
      <c r="AT310" s="1">
        <f t="shared" si="83"/>
        <v>543</v>
      </c>
      <c r="AU310" s="1" t="str">
        <f t="shared" si="84"/>
        <v>/0/543</v>
      </c>
    </row>
    <row r="311" spans="22:47" x14ac:dyDescent="0.3">
      <c r="V311" s="1" t="str">
        <f>IF([1]TIM!F311="","",[1]TIM!F311)</f>
        <v/>
      </c>
      <c r="W311" s="1" t="str">
        <f t="shared" si="73"/>
        <v/>
      </c>
      <c r="X311" s="1">
        <f t="shared" si="74"/>
        <v>0</v>
      </c>
      <c r="AI311" s="1">
        <f>IF([1]TIM!P311=[1]TIM!P311,[1]TIM!P311,"")</f>
        <v>0</v>
      </c>
      <c r="AJ311" s="1" t="str">
        <f t="shared" si="75"/>
        <v/>
      </c>
      <c r="AK311" s="1" t="str">
        <f t="shared" si="76"/>
        <v>0</v>
      </c>
      <c r="AL311" s="1" t="str">
        <f t="shared" si="77"/>
        <v>0</v>
      </c>
      <c r="AM311" s="1">
        <f t="shared" si="78"/>
        <v>543</v>
      </c>
      <c r="AN311" s="1" t="str">
        <f t="shared" si="79"/>
        <v>/0/543</v>
      </c>
      <c r="AP311" s="1">
        <f>IF([1]TIM!O311=[1]TIM!O311,[1]TIM!O311,"")</f>
        <v>0</v>
      </c>
      <c r="AQ311" s="1" t="str">
        <f t="shared" si="80"/>
        <v/>
      </c>
      <c r="AR311" s="1" t="str">
        <f t="shared" si="81"/>
        <v>0</v>
      </c>
      <c r="AS311" s="1" t="str">
        <f t="shared" si="82"/>
        <v>0</v>
      </c>
      <c r="AT311" s="1">
        <f t="shared" si="83"/>
        <v>543</v>
      </c>
      <c r="AU311" s="1" t="str">
        <f t="shared" si="84"/>
        <v>/0/543</v>
      </c>
    </row>
    <row r="312" spans="22:47" x14ac:dyDescent="0.3">
      <c r="V312" s="1" t="str">
        <f>IF([1]TIM!F312="","",[1]TIM!F312)</f>
        <v/>
      </c>
      <c r="W312" s="1" t="str">
        <f t="shared" si="73"/>
        <v/>
      </c>
      <c r="X312" s="1">
        <f t="shared" si="74"/>
        <v>0</v>
      </c>
      <c r="AI312" s="1">
        <f>IF([1]TIM!P312=[1]TIM!P312,[1]TIM!P312,"")</f>
        <v>0</v>
      </c>
      <c r="AJ312" s="1" t="str">
        <f t="shared" si="75"/>
        <v/>
      </c>
      <c r="AK312" s="1" t="str">
        <f t="shared" si="76"/>
        <v>0</v>
      </c>
      <c r="AL312" s="1" t="str">
        <f t="shared" si="77"/>
        <v>0</v>
      </c>
      <c r="AM312" s="1">
        <f t="shared" si="78"/>
        <v>543</v>
      </c>
      <c r="AN312" s="1" t="str">
        <f t="shared" si="79"/>
        <v>/0/543</v>
      </c>
      <c r="AP312" s="1">
        <f>IF([1]TIM!O312=[1]TIM!O312,[1]TIM!O312,"")</f>
        <v>0</v>
      </c>
      <c r="AQ312" s="1" t="str">
        <f t="shared" si="80"/>
        <v/>
      </c>
      <c r="AR312" s="1" t="str">
        <f t="shared" si="81"/>
        <v>0</v>
      </c>
      <c r="AS312" s="1" t="str">
        <f t="shared" si="82"/>
        <v>0</v>
      </c>
      <c r="AT312" s="1">
        <f t="shared" si="83"/>
        <v>543</v>
      </c>
      <c r="AU312" s="1" t="str">
        <f t="shared" si="84"/>
        <v>/0/543</v>
      </c>
    </row>
    <row r="313" spans="22:47" x14ac:dyDescent="0.3">
      <c r="V313" s="1" t="str">
        <f>IF([1]TIM!F313="","",[1]TIM!F313)</f>
        <v/>
      </c>
      <c r="W313" s="1" t="str">
        <f t="shared" si="73"/>
        <v/>
      </c>
      <c r="X313" s="1">
        <f t="shared" si="74"/>
        <v>0</v>
      </c>
      <c r="AI313" s="1">
        <f>IF([1]TIM!P313=[1]TIM!P313,[1]TIM!P313,"")</f>
        <v>0</v>
      </c>
      <c r="AJ313" s="1" t="str">
        <f t="shared" si="75"/>
        <v/>
      </c>
      <c r="AK313" s="1" t="str">
        <f t="shared" si="76"/>
        <v>0</v>
      </c>
      <c r="AL313" s="1" t="str">
        <f t="shared" si="77"/>
        <v>0</v>
      </c>
      <c r="AM313" s="1">
        <f t="shared" si="78"/>
        <v>543</v>
      </c>
      <c r="AN313" s="1" t="str">
        <f t="shared" si="79"/>
        <v>/0/543</v>
      </c>
      <c r="AP313" s="1">
        <f>IF([1]TIM!O313=[1]TIM!O313,[1]TIM!O313,"")</f>
        <v>0</v>
      </c>
      <c r="AQ313" s="1" t="str">
        <f t="shared" si="80"/>
        <v/>
      </c>
      <c r="AR313" s="1" t="str">
        <f t="shared" si="81"/>
        <v>0</v>
      </c>
      <c r="AS313" s="1" t="str">
        <f t="shared" si="82"/>
        <v>0</v>
      </c>
      <c r="AT313" s="1">
        <f t="shared" si="83"/>
        <v>543</v>
      </c>
      <c r="AU313" s="1" t="str">
        <f t="shared" si="84"/>
        <v>/0/543</v>
      </c>
    </row>
    <row r="314" spans="22:47" x14ac:dyDescent="0.3">
      <c r="V314" s="1" t="str">
        <f>IF([1]TIM!F314="","",[1]TIM!F314)</f>
        <v/>
      </c>
      <c r="W314" s="1" t="str">
        <f t="shared" si="73"/>
        <v/>
      </c>
      <c r="X314" s="1">
        <f t="shared" si="74"/>
        <v>0</v>
      </c>
      <c r="AI314" s="1">
        <f>IF([1]TIM!P314=[1]TIM!P314,[1]TIM!P314,"")</f>
        <v>0</v>
      </c>
      <c r="AJ314" s="1" t="str">
        <f t="shared" si="75"/>
        <v/>
      </c>
      <c r="AK314" s="1" t="str">
        <f t="shared" si="76"/>
        <v>0</v>
      </c>
      <c r="AL314" s="1" t="str">
        <f t="shared" si="77"/>
        <v>0</v>
      </c>
      <c r="AM314" s="1">
        <f t="shared" si="78"/>
        <v>543</v>
      </c>
      <c r="AN314" s="1" t="str">
        <f t="shared" si="79"/>
        <v>/0/543</v>
      </c>
      <c r="AP314" s="1">
        <f>IF([1]TIM!O314=[1]TIM!O314,[1]TIM!O314,"")</f>
        <v>0</v>
      </c>
      <c r="AQ314" s="1" t="str">
        <f t="shared" si="80"/>
        <v/>
      </c>
      <c r="AR314" s="1" t="str">
        <f t="shared" si="81"/>
        <v>0</v>
      </c>
      <c r="AS314" s="1" t="str">
        <f t="shared" si="82"/>
        <v>0</v>
      </c>
      <c r="AT314" s="1">
        <f t="shared" si="83"/>
        <v>543</v>
      </c>
      <c r="AU314" s="1" t="str">
        <f t="shared" si="84"/>
        <v>/0/543</v>
      </c>
    </row>
    <row r="315" spans="22:47" x14ac:dyDescent="0.3">
      <c r="V315" s="1" t="str">
        <f>IF([1]TIM!F315="","",[1]TIM!F315)</f>
        <v/>
      </c>
      <c r="W315" s="1" t="str">
        <f t="shared" si="73"/>
        <v/>
      </c>
      <c r="X315" s="1">
        <f t="shared" si="74"/>
        <v>0</v>
      </c>
      <c r="AI315" s="1">
        <f>IF([1]TIM!P315=[1]TIM!P315,[1]TIM!P315,"")</f>
        <v>0</v>
      </c>
      <c r="AJ315" s="1" t="str">
        <f t="shared" si="75"/>
        <v/>
      </c>
      <c r="AK315" s="1" t="str">
        <f t="shared" si="76"/>
        <v>0</v>
      </c>
      <c r="AL315" s="1" t="str">
        <f t="shared" si="77"/>
        <v>0</v>
      </c>
      <c r="AM315" s="1">
        <f t="shared" si="78"/>
        <v>543</v>
      </c>
      <c r="AN315" s="1" t="str">
        <f t="shared" si="79"/>
        <v>/0/543</v>
      </c>
      <c r="AP315" s="1">
        <f>IF([1]TIM!O315=[1]TIM!O315,[1]TIM!O315,"")</f>
        <v>0</v>
      </c>
      <c r="AQ315" s="1" t="str">
        <f t="shared" si="80"/>
        <v/>
      </c>
      <c r="AR315" s="1" t="str">
        <f t="shared" si="81"/>
        <v>0</v>
      </c>
      <c r="AS315" s="1" t="str">
        <f t="shared" si="82"/>
        <v>0</v>
      </c>
      <c r="AT315" s="1">
        <f t="shared" si="83"/>
        <v>543</v>
      </c>
      <c r="AU315" s="1" t="str">
        <f t="shared" si="84"/>
        <v>/0/543</v>
      </c>
    </row>
    <row r="316" spans="22:47" x14ac:dyDescent="0.3">
      <c r="V316" s="1" t="str">
        <f>IF([1]TIM!F316="","",[1]TIM!F316)</f>
        <v/>
      </c>
      <c r="W316" s="1" t="str">
        <f t="shared" si="73"/>
        <v/>
      </c>
      <c r="X316" s="1">
        <f t="shared" si="74"/>
        <v>0</v>
      </c>
      <c r="AI316" s="1">
        <f>IF([1]TIM!P316=[1]TIM!P316,[1]TIM!P316,"")</f>
        <v>0</v>
      </c>
      <c r="AJ316" s="1" t="str">
        <f t="shared" si="75"/>
        <v/>
      </c>
      <c r="AK316" s="1" t="str">
        <f t="shared" si="76"/>
        <v>0</v>
      </c>
      <c r="AL316" s="1" t="str">
        <f t="shared" si="77"/>
        <v>0</v>
      </c>
      <c r="AM316" s="1">
        <f t="shared" si="78"/>
        <v>543</v>
      </c>
      <c r="AN316" s="1" t="str">
        <f t="shared" si="79"/>
        <v>/0/543</v>
      </c>
      <c r="AP316" s="1">
        <f>IF([1]TIM!O316=[1]TIM!O316,[1]TIM!O316,"")</f>
        <v>0</v>
      </c>
      <c r="AQ316" s="1" t="str">
        <f t="shared" si="80"/>
        <v/>
      </c>
      <c r="AR316" s="1" t="str">
        <f t="shared" si="81"/>
        <v>0</v>
      </c>
      <c r="AS316" s="1" t="str">
        <f t="shared" si="82"/>
        <v>0</v>
      </c>
      <c r="AT316" s="1">
        <f t="shared" si="83"/>
        <v>543</v>
      </c>
      <c r="AU316" s="1" t="str">
        <f t="shared" si="84"/>
        <v>/0/543</v>
      </c>
    </row>
    <row r="317" spans="22:47" x14ac:dyDescent="0.3">
      <c r="V317" s="1" t="str">
        <f>IF([1]TIM!F317="","",[1]TIM!F317)</f>
        <v/>
      </c>
      <c r="W317" s="1" t="str">
        <f t="shared" si="73"/>
        <v/>
      </c>
      <c r="X317" s="1">
        <f t="shared" si="74"/>
        <v>0</v>
      </c>
      <c r="AI317" s="1">
        <f>IF([1]TIM!P317=[1]TIM!P317,[1]TIM!P317,"")</f>
        <v>0</v>
      </c>
      <c r="AJ317" s="1" t="str">
        <f t="shared" si="75"/>
        <v/>
      </c>
      <c r="AK317" s="1" t="str">
        <f t="shared" si="76"/>
        <v>0</v>
      </c>
      <c r="AL317" s="1" t="str">
        <f t="shared" si="77"/>
        <v>0</v>
      </c>
      <c r="AM317" s="1">
        <f t="shared" si="78"/>
        <v>543</v>
      </c>
      <c r="AN317" s="1" t="str">
        <f t="shared" si="79"/>
        <v>/0/543</v>
      </c>
      <c r="AP317" s="1">
        <f>IF([1]TIM!O317=[1]TIM!O317,[1]TIM!O317,"")</f>
        <v>0</v>
      </c>
      <c r="AQ317" s="1" t="str">
        <f t="shared" si="80"/>
        <v/>
      </c>
      <c r="AR317" s="1" t="str">
        <f t="shared" si="81"/>
        <v>0</v>
      </c>
      <c r="AS317" s="1" t="str">
        <f t="shared" si="82"/>
        <v>0</v>
      </c>
      <c r="AT317" s="1">
        <f t="shared" si="83"/>
        <v>543</v>
      </c>
      <c r="AU317" s="1" t="str">
        <f t="shared" si="84"/>
        <v>/0/543</v>
      </c>
    </row>
    <row r="318" spans="22:47" x14ac:dyDescent="0.3">
      <c r="V318" s="1" t="str">
        <f>IF([1]TIM!F318="","",[1]TIM!F318)</f>
        <v/>
      </c>
      <c r="W318" s="1" t="str">
        <f t="shared" si="73"/>
        <v/>
      </c>
      <c r="X318" s="1">
        <f t="shared" si="74"/>
        <v>0</v>
      </c>
      <c r="AI318" s="1">
        <f>IF([1]TIM!P318=[1]TIM!P318,[1]TIM!P318,"")</f>
        <v>0</v>
      </c>
      <c r="AJ318" s="1" t="str">
        <f t="shared" si="75"/>
        <v/>
      </c>
      <c r="AK318" s="1" t="str">
        <f t="shared" si="76"/>
        <v>0</v>
      </c>
      <c r="AL318" s="1" t="str">
        <f t="shared" si="77"/>
        <v>0</v>
      </c>
      <c r="AM318" s="1">
        <f t="shared" si="78"/>
        <v>543</v>
      </c>
      <c r="AN318" s="1" t="str">
        <f t="shared" si="79"/>
        <v>/0/543</v>
      </c>
      <c r="AP318" s="1">
        <f>IF([1]TIM!O318=[1]TIM!O318,[1]TIM!O318,"")</f>
        <v>0</v>
      </c>
      <c r="AQ318" s="1" t="str">
        <f t="shared" si="80"/>
        <v/>
      </c>
      <c r="AR318" s="1" t="str">
        <f t="shared" si="81"/>
        <v>0</v>
      </c>
      <c r="AS318" s="1" t="str">
        <f t="shared" si="82"/>
        <v>0</v>
      </c>
      <c r="AT318" s="1">
        <f t="shared" si="83"/>
        <v>543</v>
      </c>
      <c r="AU318" s="1" t="str">
        <f t="shared" si="84"/>
        <v>/0/543</v>
      </c>
    </row>
    <row r="319" spans="22:47" x14ac:dyDescent="0.3">
      <c r="V319" s="1" t="str">
        <f>IF([1]TIM!F319="","",[1]TIM!F319)</f>
        <v/>
      </c>
      <c r="W319" s="1" t="str">
        <f t="shared" si="73"/>
        <v/>
      </c>
      <c r="X319" s="1">
        <f t="shared" si="74"/>
        <v>0</v>
      </c>
      <c r="AI319" s="1">
        <f>IF([1]TIM!P319=[1]TIM!P319,[1]TIM!P319,"")</f>
        <v>0</v>
      </c>
      <c r="AJ319" s="1" t="str">
        <f t="shared" si="75"/>
        <v/>
      </c>
      <c r="AK319" s="1" t="str">
        <f t="shared" si="76"/>
        <v>0</v>
      </c>
      <c r="AL319" s="1" t="str">
        <f t="shared" si="77"/>
        <v>0</v>
      </c>
      <c r="AM319" s="1">
        <f t="shared" si="78"/>
        <v>543</v>
      </c>
      <c r="AN319" s="1" t="str">
        <f t="shared" si="79"/>
        <v>/0/543</v>
      </c>
      <c r="AP319" s="1">
        <f>IF([1]TIM!O319=[1]TIM!O319,[1]TIM!O319,"")</f>
        <v>0</v>
      </c>
      <c r="AQ319" s="1" t="str">
        <f t="shared" si="80"/>
        <v/>
      </c>
      <c r="AR319" s="1" t="str">
        <f t="shared" si="81"/>
        <v>0</v>
      </c>
      <c r="AS319" s="1" t="str">
        <f t="shared" si="82"/>
        <v>0</v>
      </c>
      <c r="AT319" s="1">
        <f t="shared" si="83"/>
        <v>543</v>
      </c>
      <c r="AU319" s="1" t="str">
        <f t="shared" si="84"/>
        <v>/0/543</v>
      </c>
    </row>
    <row r="320" spans="22:47" x14ac:dyDescent="0.3">
      <c r="V320" s="1" t="str">
        <f>IF([1]TIM!F320="","",[1]TIM!F320)</f>
        <v/>
      </c>
      <c r="W320" s="1" t="str">
        <f t="shared" si="73"/>
        <v/>
      </c>
      <c r="X320" s="1">
        <f t="shared" si="74"/>
        <v>0</v>
      </c>
      <c r="AI320" s="1">
        <f>IF([1]TIM!P320=[1]TIM!P320,[1]TIM!P320,"")</f>
        <v>0</v>
      </c>
      <c r="AJ320" s="1" t="str">
        <f t="shared" si="75"/>
        <v/>
      </c>
      <c r="AK320" s="1" t="str">
        <f t="shared" si="76"/>
        <v>0</v>
      </c>
      <c r="AL320" s="1" t="str">
        <f t="shared" si="77"/>
        <v>0</v>
      </c>
      <c r="AM320" s="1">
        <f t="shared" si="78"/>
        <v>543</v>
      </c>
      <c r="AN320" s="1" t="str">
        <f t="shared" si="79"/>
        <v>/0/543</v>
      </c>
      <c r="AP320" s="1">
        <f>IF([1]TIM!O320=[1]TIM!O320,[1]TIM!O320,"")</f>
        <v>0</v>
      </c>
      <c r="AQ320" s="1" t="str">
        <f t="shared" si="80"/>
        <v/>
      </c>
      <c r="AR320" s="1" t="str">
        <f t="shared" si="81"/>
        <v>0</v>
      </c>
      <c r="AS320" s="1" t="str">
        <f t="shared" si="82"/>
        <v>0</v>
      </c>
      <c r="AT320" s="1">
        <f t="shared" si="83"/>
        <v>543</v>
      </c>
      <c r="AU320" s="1" t="str">
        <f t="shared" si="84"/>
        <v>/0/543</v>
      </c>
    </row>
    <row r="321" spans="22:47" x14ac:dyDescent="0.3">
      <c r="V321" s="1" t="str">
        <f>IF([1]TIM!F321="","",[1]TIM!F321)</f>
        <v/>
      </c>
      <c r="W321" s="1" t="str">
        <f t="shared" si="73"/>
        <v/>
      </c>
      <c r="X321" s="1">
        <f t="shared" si="74"/>
        <v>0</v>
      </c>
      <c r="AI321" s="1">
        <f>IF([1]TIM!P321=[1]TIM!P321,[1]TIM!P321,"")</f>
        <v>0</v>
      </c>
      <c r="AJ321" s="1" t="str">
        <f t="shared" si="75"/>
        <v/>
      </c>
      <c r="AK321" s="1" t="str">
        <f t="shared" si="76"/>
        <v>0</v>
      </c>
      <c r="AL321" s="1" t="str">
        <f t="shared" si="77"/>
        <v>0</v>
      </c>
      <c r="AM321" s="1">
        <f t="shared" si="78"/>
        <v>543</v>
      </c>
      <c r="AN321" s="1" t="str">
        <f t="shared" si="79"/>
        <v>/0/543</v>
      </c>
      <c r="AP321" s="1">
        <f>IF([1]TIM!O321=[1]TIM!O321,[1]TIM!O321,"")</f>
        <v>0</v>
      </c>
      <c r="AQ321" s="1" t="str">
        <f t="shared" si="80"/>
        <v/>
      </c>
      <c r="AR321" s="1" t="str">
        <f t="shared" si="81"/>
        <v>0</v>
      </c>
      <c r="AS321" s="1" t="str">
        <f t="shared" si="82"/>
        <v>0</v>
      </c>
      <c r="AT321" s="1">
        <f t="shared" si="83"/>
        <v>543</v>
      </c>
      <c r="AU321" s="1" t="str">
        <f t="shared" si="84"/>
        <v>/0/543</v>
      </c>
    </row>
    <row r="322" spans="22:47" x14ac:dyDescent="0.3">
      <c r="V322" s="1" t="str">
        <f>IF([1]TIM!F322="","",[1]TIM!F322)</f>
        <v/>
      </c>
      <c r="W322" s="1" t="str">
        <f t="shared" si="73"/>
        <v/>
      </c>
      <c r="X322" s="1">
        <f t="shared" si="74"/>
        <v>0</v>
      </c>
      <c r="AI322" s="1">
        <f>IF([1]TIM!P322=[1]TIM!P322,[1]TIM!P322,"")</f>
        <v>0</v>
      </c>
      <c r="AJ322" s="1" t="str">
        <f t="shared" si="75"/>
        <v/>
      </c>
      <c r="AK322" s="1" t="str">
        <f t="shared" si="76"/>
        <v>0</v>
      </c>
      <c r="AL322" s="1" t="str">
        <f t="shared" si="77"/>
        <v>0</v>
      </c>
      <c r="AM322" s="1">
        <f t="shared" si="78"/>
        <v>543</v>
      </c>
      <c r="AN322" s="1" t="str">
        <f t="shared" si="79"/>
        <v>/0/543</v>
      </c>
      <c r="AP322" s="1">
        <f>IF([1]TIM!O322=[1]TIM!O322,[1]TIM!O322,"")</f>
        <v>0</v>
      </c>
      <c r="AQ322" s="1" t="str">
        <f t="shared" si="80"/>
        <v/>
      </c>
      <c r="AR322" s="1" t="str">
        <f t="shared" si="81"/>
        <v>0</v>
      </c>
      <c r="AS322" s="1" t="str">
        <f t="shared" si="82"/>
        <v>0</v>
      </c>
      <c r="AT322" s="1">
        <f t="shared" si="83"/>
        <v>543</v>
      </c>
      <c r="AU322" s="1" t="str">
        <f t="shared" si="84"/>
        <v>/0/543</v>
      </c>
    </row>
    <row r="323" spans="22:47" x14ac:dyDescent="0.3">
      <c r="V323" s="1" t="str">
        <f>IF([1]TIM!F323="","",[1]TIM!F323)</f>
        <v/>
      </c>
      <c r="W323" s="1" t="str">
        <f t="shared" ref="W323:W329" si="85">IFERROR(VLOOKUP(V323,$J$2:$N$258,5,FALSE),"")</f>
        <v/>
      </c>
      <c r="X323" s="1">
        <f t="shared" ref="X323:X329" si="86">IFERROR(VLOOKUP(V323,$P$2:$T$208,5,FALSE),"")</f>
        <v>0</v>
      </c>
      <c r="AI323" s="1">
        <f>IF([1]TIM!P323=[1]TIM!P323,[1]TIM!P323,"")</f>
        <v>0</v>
      </c>
      <c r="AJ323" s="1" t="str">
        <f t="shared" ref="AJ323:AJ328" si="87">MID(AI323,4,2)</f>
        <v/>
      </c>
      <c r="AK323" s="1" t="str">
        <f t="shared" ref="AK323:AK328" si="88">LEFT(AI323,2)</f>
        <v>0</v>
      </c>
      <c r="AL323" s="1" t="str">
        <f t="shared" ref="AL323:AL328" si="89">RIGHT(AI323,4)</f>
        <v>0</v>
      </c>
      <c r="AM323" s="1">
        <f t="shared" ref="AM323:AM328" si="90">AL323+543</f>
        <v>543</v>
      </c>
      <c r="AN323" s="1" t="str">
        <f t="shared" ref="AN323:AN328" si="91">AJ323&amp;"/"&amp;AK323&amp;"/"&amp;AM323</f>
        <v>/0/543</v>
      </c>
      <c r="AP323" s="1">
        <f>IF([1]TIM!O323=[1]TIM!O323,[1]TIM!O323,"")</f>
        <v>0</v>
      </c>
      <c r="AQ323" s="1" t="str">
        <f t="shared" ref="AQ323:AQ328" si="92">MID(AP323,4,2)</f>
        <v/>
      </c>
      <c r="AR323" s="1" t="str">
        <f t="shared" ref="AR323:AR328" si="93">LEFT(AP323,2)</f>
        <v>0</v>
      </c>
      <c r="AS323" s="1" t="str">
        <f t="shared" ref="AS323:AS328" si="94">RIGHT(AP323,4)</f>
        <v>0</v>
      </c>
      <c r="AT323" s="1">
        <f t="shared" ref="AT323:AT328" si="95">AS323+543</f>
        <v>543</v>
      </c>
      <c r="AU323" s="1" t="str">
        <f t="shared" ref="AU323:AU328" si="96">AQ323&amp;"/"&amp;AR323&amp;"/"&amp;AT323</f>
        <v>/0/543</v>
      </c>
    </row>
    <row r="324" spans="22:47" x14ac:dyDescent="0.3">
      <c r="V324" s="1" t="str">
        <f>IF([1]TIM!F324="","",[1]TIM!F324)</f>
        <v/>
      </c>
      <c r="W324" s="1" t="str">
        <f t="shared" si="85"/>
        <v/>
      </c>
      <c r="X324" s="1">
        <f t="shared" si="86"/>
        <v>0</v>
      </c>
      <c r="AI324" s="1">
        <f>IF([1]TIM!P324=[1]TIM!P324,[1]TIM!P324,"")</f>
        <v>0</v>
      </c>
      <c r="AJ324" s="1" t="str">
        <f t="shared" si="87"/>
        <v/>
      </c>
      <c r="AK324" s="1" t="str">
        <f t="shared" si="88"/>
        <v>0</v>
      </c>
      <c r="AL324" s="1" t="str">
        <f t="shared" si="89"/>
        <v>0</v>
      </c>
      <c r="AM324" s="1">
        <f t="shared" si="90"/>
        <v>543</v>
      </c>
      <c r="AN324" s="1" t="str">
        <f t="shared" si="91"/>
        <v>/0/543</v>
      </c>
      <c r="AP324" s="1">
        <f>IF([1]TIM!O324=[1]TIM!O324,[1]TIM!O324,"")</f>
        <v>0</v>
      </c>
      <c r="AQ324" s="1" t="str">
        <f t="shared" si="92"/>
        <v/>
      </c>
      <c r="AR324" s="1" t="str">
        <f t="shared" si="93"/>
        <v>0</v>
      </c>
      <c r="AS324" s="1" t="str">
        <f t="shared" si="94"/>
        <v>0</v>
      </c>
      <c r="AT324" s="1">
        <f t="shared" si="95"/>
        <v>543</v>
      </c>
      <c r="AU324" s="1" t="str">
        <f t="shared" si="96"/>
        <v>/0/543</v>
      </c>
    </row>
    <row r="325" spans="22:47" x14ac:dyDescent="0.3">
      <c r="V325" s="1" t="str">
        <f>IF([1]TIM!F325="","",[1]TIM!F325)</f>
        <v/>
      </c>
      <c r="W325" s="1" t="str">
        <f t="shared" si="85"/>
        <v/>
      </c>
      <c r="X325" s="1">
        <f t="shared" si="86"/>
        <v>0</v>
      </c>
      <c r="AI325" s="1">
        <f>IF([1]TIM!P325=[1]TIM!P325,[1]TIM!P325,"")</f>
        <v>0</v>
      </c>
      <c r="AJ325" s="1" t="str">
        <f t="shared" si="87"/>
        <v/>
      </c>
      <c r="AK325" s="1" t="str">
        <f t="shared" si="88"/>
        <v>0</v>
      </c>
      <c r="AL325" s="1" t="str">
        <f t="shared" si="89"/>
        <v>0</v>
      </c>
      <c r="AM325" s="1">
        <f t="shared" si="90"/>
        <v>543</v>
      </c>
      <c r="AN325" s="1" t="str">
        <f t="shared" si="91"/>
        <v>/0/543</v>
      </c>
      <c r="AP325" s="1">
        <f>IF([1]TIM!O325=[1]TIM!O325,[1]TIM!O325,"")</f>
        <v>0</v>
      </c>
      <c r="AQ325" s="1" t="str">
        <f t="shared" si="92"/>
        <v/>
      </c>
      <c r="AR325" s="1" t="str">
        <f t="shared" si="93"/>
        <v>0</v>
      </c>
      <c r="AS325" s="1" t="str">
        <f t="shared" si="94"/>
        <v>0</v>
      </c>
      <c r="AT325" s="1">
        <f t="shared" si="95"/>
        <v>543</v>
      </c>
      <c r="AU325" s="1" t="str">
        <f t="shared" si="96"/>
        <v>/0/543</v>
      </c>
    </row>
    <row r="326" spans="22:47" x14ac:dyDescent="0.3">
      <c r="V326" s="1" t="str">
        <f>IF([1]TIM!F326="","",[1]TIM!F326)</f>
        <v/>
      </c>
      <c r="W326" s="1" t="str">
        <f t="shared" si="85"/>
        <v/>
      </c>
      <c r="X326" s="1">
        <f t="shared" si="86"/>
        <v>0</v>
      </c>
      <c r="AI326" s="1">
        <f>IF([1]TIM!P326=[1]TIM!P326,[1]TIM!P326,"")</f>
        <v>0</v>
      </c>
      <c r="AJ326" s="1" t="str">
        <f t="shared" si="87"/>
        <v/>
      </c>
      <c r="AK326" s="1" t="str">
        <f t="shared" si="88"/>
        <v>0</v>
      </c>
      <c r="AL326" s="1" t="str">
        <f t="shared" si="89"/>
        <v>0</v>
      </c>
      <c r="AM326" s="1">
        <f t="shared" si="90"/>
        <v>543</v>
      </c>
      <c r="AN326" s="1" t="str">
        <f t="shared" si="91"/>
        <v>/0/543</v>
      </c>
      <c r="AP326" s="1">
        <f>IF([1]TIM!O326=[1]TIM!O326,[1]TIM!O326,"")</f>
        <v>0</v>
      </c>
      <c r="AQ326" s="1" t="str">
        <f t="shared" si="92"/>
        <v/>
      </c>
      <c r="AR326" s="1" t="str">
        <f t="shared" si="93"/>
        <v>0</v>
      </c>
      <c r="AS326" s="1" t="str">
        <f t="shared" si="94"/>
        <v>0</v>
      </c>
      <c r="AT326" s="1">
        <f t="shared" si="95"/>
        <v>543</v>
      </c>
      <c r="AU326" s="1" t="str">
        <f t="shared" si="96"/>
        <v>/0/543</v>
      </c>
    </row>
    <row r="327" spans="22:47" x14ac:dyDescent="0.3">
      <c r="V327" s="1" t="str">
        <f>IF([1]TIM!F327="","",[1]TIM!F327)</f>
        <v/>
      </c>
      <c r="W327" s="1" t="str">
        <f t="shared" si="85"/>
        <v/>
      </c>
      <c r="X327" s="1">
        <f t="shared" si="86"/>
        <v>0</v>
      </c>
      <c r="AI327" s="1">
        <f>IF([1]TIM!P327=[1]TIM!P327,[1]TIM!P327,"")</f>
        <v>0</v>
      </c>
      <c r="AJ327" s="1" t="str">
        <f t="shared" si="87"/>
        <v/>
      </c>
      <c r="AK327" s="1" t="str">
        <f t="shared" si="88"/>
        <v>0</v>
      </c>
      <c r="AL327" s="1" t="str">
        <f t="shared" si="89"/>
        <v>0</v>
      </c>
      <c r="AM327" s="1">
        <f t="shared" si="90"/>
        <v>543</v>
      </c>
      <c r="AN327" s="1" t="str">
        <f t="shared" si="91"/>
        <v>/0/543</v>
      </c>
      <c r="AP327" s="1">
        <f>IF([1]TIM!O327=[1]TIM!O327,[1]TIM!O327,"")</f>
        <v>0</v>
      </c>
      <c r="AQ327" s="1" t="str">
        <f t="shared" si="92"/>
        <v/>
      </c>
      <c r="AR327" s="1" t="str">
        <f t="shared" si="93"/>
        <v>0</v>
      </c>
      <c r="AS327" s="1" t="str">
        <f t="shared" si="94"/>
        <v>0</v>
      </c>
      <c r="AT327" s="1">
        <f t="shared" si="95"/>
        <v>543</v>
      </c>
      <c r="AU327" s="1" t="str">
        <f t="shared" si="96"/>
        <v>/0/543</v>
      </c>
    </row>
    <row r="328" spans="22:47" x14ac:dyDescent="0.3">
      <c r="V328" s="1" t="str">
        <f>IF([1]TIM!F328="","",[1]TIM!F328)</f>
        <v/>
      </c>
      <c r="W328" s="1" t="str">
        <f t="shared" si="85"/>
        <v/>
      </c>
      <c r="X328" s="1">
        <f t="shared" si="86"/>
        <v>0</v>
      </c>
      <c r="AI328" s="1">
        <f>IF([1]TIM!P328=[1]TIM!P328,[1]TIM!P328,"")</f>
        <v>0</v>
      </c>
      <c r="AJ328" s="1" t="str">
        <f t="shared" si="87"/>
        <v/>
      </c>
      <c r="AK328" s="1" t="str">
        <f t="shared" si="88"/>
        <v>0</v>
      </c>
      <c r="AL328" s="1" t="str">
        <f t="shared" si="89"/>
        <v>0</v>
      </c>
      <c r="AM328" s="1">
        <f t="shared" si="90"/>
        <v>543</v>
      </c>
      <c r="AN328" s="1" t="str">
        <f t="shared" si="91"/>
        <v>/0/543</v>
      </c>
      <c r="AP328" s="1">
        <f>IF([1]TIM!O328=[1]TIM!O328,[1]TIM!O328,"")</f>
        <v>0</v>
      </c>
      <c r="AQ328" s="1" t="str">
        <f t="shared" si="92"/>
        <v/>
      </c>
      <c r="AR328" s="1" t="str">
        <f t="shared" si="93"/>
        <v>0</v>
      </c>
      <c r="AS328" s="1" t="str">
        <f t="shared" si="94"/>
        <v>0</v>
      </c>
      <c r="AT328" s="1">
        <f t="shared" si="95"/>
        <v>543</v>
      </c>
      <c r="AU328" s="1" t="str">
        <f t="shared" si="96"/>
        <v>/0/543</v>
      </c>
    </row>
    <row r="329" spans="22:47" x14ac:dyDescent="0.3">
      <c r="V329" s="1" t="str">
        <f>IF([1]TIM!F329="","",[1]TIM!F329)</f>
        <v/>
      </c>
      <c r="W329" s="1" t="str">
        <f t="shared" si="85"/>
        <v/>
      </c>
      <c r="X329" s="1">
        <f t="shared" si="86"/>
        <v>0</v>
      </c>
      <c r="AI329" s="8"/>
    </row>
  </sheetData>
  <mergeCells count="2">
    <mergeCell ref="B3:D3"/>
    <mergeCell ref="F3:H3"/>
  </mergeCells>
  <conditionalFormatting sqref="Z2:Z211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0BE2D-C45A-456E-95E5-C6587C359AB0}">
  <sheetPr codeName="Sheet6"/>
  <dimension ref="A1:B152"/>
  <sheetViews>
    <sheetView zoomScale="80" zoomScaleNormal="80" workbookViewId="0">
      <selection sqref="A1:B1"/>
    </sheetView>
  </sheetViews>
  <sheetFormatPr defaultColWidth="9.140625" defaultRowHeight="12.75" x14ac:dyDescent="0.25"/>
  <cols>
    <col min="1" max="1" width="17.85546875" style="5" customWidth="1"/>
    <col min="2" max="2" width="36.85546875" style="10" customWidth="1"/>
    <col min="3" max="16384" width="9.140625" style="10"/>
  </cols>
  <sheetData>
    <row r="1" spans="1:2" ht="44.25" customHeight="1" x14ac:dyDescent="0.25">
      <c r="A1" s="9" t="s">
        <v>840</v>
      </c>
      <c r="B1" s="9"/>
    </row>
    <row r="2" spans="1:2" ht="36" customHeight="1" x14ac:dyDescent="0.25">
      <c r="A2" s="4" t="s">
        <v>841</v>
      </c>
      <c r="B2" s="4" t="s">
        <v>842</v>
      </c>
    </row>
    <row r="3" spans="1:2" x14ac:dyDescent="0.25">
      <c r="A3" s="5">
        <v>404</v>
      </c>
      <c r="B3" s="10" t="s">
        <v>843</v>
      </c>
    </row>
    <row r="4" spans="1:2" x14ac:dyDescent="0.25">
      <c r="A4" s="5">
        <v>501</v>
      </c>
      <c r="B4" s="10" t="s">
        <v>844</v>
      </c>
    </row>
    <row r="5" spans="1:2" x14ac:dyDescent="0.25">
      <c r="A5" s="5">
        <v>1</v>
      </c>
      <c r="B5" s="10" t="s">
        <v>845</v>
      </c>
    </row>
    <row r="6" spans="1:2" x14ac:dyDescent="0.25">
      <c r="A6" s="5">
        <v>211</v>
      </c>
      <c r="B6" s="10" t="s">
        <v>846</v>
      </c>
    </row>
    <row r="7" spans="1:2" x14ac:dyDescent="0.25">
      <c r="A7" s="5">
        <v>2</v>
      </c>
      <c r="B7" s="10" t="s">
        <v>847</v>
      </c>
    </row>
    <row r="8" spans="1:2" x14ac:dyDescent="0.25">
      <c r="A8" s="5">
        <v>502</v>
      </c>
      <c r="B8" s="10" t="s">
        <v>848</v>
      </c>
    </row>
    <row r="9" spans="1:2" x14ac:dyDescent="0.25">
      <c r="A9" s="5">
        <v>206</v>
      </c>
      <c r="B9" s="10" t="s">
        <v>849</v>
      </c>
    </row>
    <row r="10" spans="1:2" x14ac:dyDescent="0.25">
      <c r="A10" s="5">
        <v>139</v>
      </c>
      <c r="B10" s="10" t="s">
        <v>850</v>
      </c>
    </row>
    <row r="11" spans="1:2" x14ac:dyDescent="0.25">
      <c r="A11" s="5">
        <v>140</v>
      </c>
      <c r="B11" s="10" t="s">
        <v>851</v>
      </c>
    </row>
    <row r="12" spans="1:2" x14ac:dyDescent="0.25">
      <c r="A12" s="5">
        <v>208</v>
      </c>
      <c r="B12" s="10" t="s">
        <v>852</v>
      </c>
    </row>
    <row r="13" spans="1:2" x14ac:dyDescent="0.25">
      <c r="A13" s="5">
        <v>903</v>
      </c>
      <c r="B13" s="10" t="s">
        <v>853</v>
      </c>
    </row>
    <row r="14" spans="1:2" x14ac:dyDescent="0.25">
      <c r="A14" s="5">
        <v>902</v>
      </c>
      <c r="B14" s="10" t="s">
        <v>854</v>
      </c>
    </row>
    <row r="15" spans="1:2" x14ac:dyDescent="0.25">
      <c r="A15" s="5">
        <v>3</v>
      </c>
      <c r="B15" s="10" t="s">
        <v>855</v>
      </c>
    </row>
    <row r="16" spans="1:2" x14ac:dyDescent="0.25">
      <c r="A16" s="5">
        <v>710</v>
      </c>
      <c r="B16" s="10" t="s">
        <v>856</v>
      </c>
    </row>
    <row r="17" spans="1:2" x14ac:dyDescent="0.25">
      <c r="A17" s="5">
        <v>709</v>
      </c>
      <c r="B17" s="10" t="s">
        <v>857</v>
      </c>
    </row>
    <row r="18" spans="1:2" x14ac:dyDescent="0.25">
      <c r="A18" s="5">
        <v>711</v>
      </c>
      <c r="B18" s="10" t="s">
        <v>858</v>
      </c>
    </row>
    <row r="19" spans="1:2" x14ac:dyDescent="0.25">
      <c r="A19" s="5">
        <v>716</v>
      </c>
      <c r="B19" s="10" t="s">
        <v>859</v>
      </c>
    </row>
    <row r="20" spans="1:2" x14ac:dyDescent="0.25">
      <c r="A20" s="5">
        <v>715</v>
      </c>
      <c r="B20" s="10" t="s">
        <v>860</v>
      </c>
    </row>
    <row r="21" spans="1:2" x14ac:dyDescent="0.25">
      <c r="A21" s="5">
        <v>712</v>
      </c>
      <c r="B21" s="10" t="s">
        <v>861</v>
      </c>
    </row>
    <row r="22" spans="1:2" x14ac:dyDescent="0.25">
      <c r="A22" s="5">
        <v>714</v>
      </c>
      <c r="B22" s="10" t="s">
        <v>862</v>
      </c>
    </row>
    <row r="23" spans="1:2" x14ac:dyDescent="0.25">
      <c r="A23" s="5">
        <v>713</v>
      </c>
      <c r="B23" s="10" t="s">
        <v>863</v>
      </c>
    </row>
    <row r="24" spans="1:2" x14ac:dyDescent="0.25">
      <c r="A24" s="5">
        <v>4</v>
      </c>
      <c r="B24" s="10" t="s">
        <v>864</v>
      </c>
    </row>
    <row r="25" spans="1:2" x14ac:dyDescent="0.25">
      <c r="A25" s="5">
        <v>5</v>
      </c>
      <c r="B25" s="10" t="s">
        <v>865</v>
      </c>
    </row>
    <row r="26" spans="1:2" x14ac:dyDescent="0.25">
      <c r="A26" s="5">
        <v>606</v>
      </c>
      <c r="B26" s="10" t="s">
        <v>866</v>
      </c>
    </row>
    <row r="27" spans="1:2" x14ac:dyDescent="0.25">
      <c r="A27" s="5">
        <v>602</v>
      </c>
      <c r="B27" s="10" t="s">
        <v>867</v>
      </c>
    </row>
    <row r="28" spans="1:2" x14ac:dyDescent="0.25">
      <c r="A28" s="5">
        <v>601</v>
      </c>
      <c r="B28" s="10" t="s">
        <v>868</v>
      </c>
    </row>
    <row r="29" spans="1:2" x14ac:dyDescent="0.25">
      <c r="A29" s="5">
        <v>6</v>
      </c>
      <c r="B29" s="10" t="s">
        <v>869</v>
      </c>
    </row>
    <row r="30" spans="1:2" x14ac:dyDescent="0.25">
      <c r="A30" s="5">
        <v>119</v>
      </c>
      <c r="B30" s="10" t="s">
        <v>870</v>
      </c>
    </row>
    <row r="31" spans="1:2" x14ac:dyDescent="0.25">
      <c r="A31" s="5">
        <v>401</v>
      </c>
      <c r="B31" s="10" t="s">
        <v>871</v>
      </c>
    </row>
    <row r="32" spans="1:2" x14ac:dyDescent="0.25">
      <c r="A32" s="5">
        <v>807</v>
      </c>
      <c r="B32" s="10" t="s">
        <v>872</v>
      </c>
    </row>
    <row r="33" spans="1:2" x14ac:dyDescent="0.25">
      <c r="A33" s="5">
        <v>815</v>
      </c>
      <c r="B33" s="10" t="s">
        <v>873</v>
      </c>
    </row>
    <row r="34" spans="1:2" x14ac:dyDescent="0.25">
      <c r="A34" s="5">
        <v>813</v>
      </c>
      <c r="B34" s="10" t="s">
        <v>874</v>
      </c>
    </row>
    <row r="35" spans="1:2" x14ac:dyDescent="0.25">
      <c r="A35" s="5">
        <v>803</v>
      </c>
      <c r="B35" s="10" t="s">
        <v>875</v>
      </c>
    </row>
    <row r="36" spans="1:2" x14ac:dyDescent="0.25">
      <c r="A36" s="5">
        <v>805</v>
      </c>
      <c r="B36" s="10" t="s">
        <v>876</v>
      </c>
    </row>
    <row r="37" spans="1:2" x14ac:dyDescent="0.25">
      <c r="A37" s="5">
        <v>808</v>
      </c>
      <c r="B37" s="10" t="s">
        <v>877</v>
      </c>
    </row>
    <row r="38" spans="1:2" x14ac:dyDescent="0.25">
      <c r="A38" s="5">
        <v>804</v>
      </c>
      <c r="B38" s="10" t="s">
        <v>878</v>
      </c>
    </row>
    <row r="39" spans="1:2" x14ac:dyDescent="0.25">
      <c r="A39" s="5">
        <v>717</v>
      </c>
      <c r="B39" s="10" t="s">
        <v>879</v>
      </c>
    </row>
    <row r="40" spans="1:2" x14ac:dyDescent="0.25">
      <c r="A40" s="5">
        <v>801</v>
      </c>
      <c r="B40" s="10" t="s">
        <v>880</v>
      </c>
    </row>
    <row r="41" spans="1:2" x14ac:dyDescent="0.25">
      <c r="A41" s="5">
        <v>822</v>
      </c>
      <c r="B41" s="10" t="s">
        <v>881</v>
      </c>
    </row>
    <row r="42" spans="1:2" x14ac:dyDescent="0.25">
      <c r="A42" s="5">
        <v>821</v>
      </c>
      <c r="B42" s="10" t="s">
        <v>882</v>
      </c>
    </row>
    <row r="43" spans="1:2" x14ac:dyDescent="0.25">
      <c r="A43" s="5">
        <v>809</v>
      </c>
      <c r="B43" s="10" t="s">
        <v>883</v>
      </c>
    </row>
    <row r="44" spans="1:2" x14ac:dyDescent="0.25">
      <c r="A44" s="5">
        <v>819</v>
      </c>
      <c r="B44" s="10" t="s">
        <v>884</v>
      </c>
    </row>
    <row r="45" spans="1:2" x14ac:dyDescent="0.25">
      <c r="A45" s="5">
        <v>104</v>
      </c>
      <c r="B45" s="10" t="s">
        <v>885</v>
      </c>
    </row>
    <row r="46" spans="1:2" x14ac:dyDescent="0.25">
      <c r="A46" s="5">
        <v>818</v>
      </c>
      <c r="B46" s="10" t="s">
        <v>886</v>
      </c>
    </row>
    <row r="47" spans="1:2" x14ac:dyDescent="0.25">
      <c r="A47" s="5">
        <v>820</v>
      </c>
      <c r="B47" s="10" t="s">
        <v>887</v>
      </c>
    </row>
    <row r="48" spans="1:2" x14ac:dyDescent="0.25">
      <c r="A48" s="5">
        <v>810</v>
      </c>
      <c r="B48" s="10" t="s">
        <v>888</v>
      </c>
    </row>
    <row r="49" spans="1:2" x14ac:dyDescent="0.25">
      <c r="A49" s="5">
        <v>817</v>
      </c>
      <c r="B49" s="10" t="s">
        <v>889</v>
      </c>
    </row>
    <row r="50" spans="1:2" x14ac:dyDescent="0.25">
      <c r="A50" s="5">
        <v>121</v>
      </c>
      <c r="B50" s="10" t="s">
        <v>890</v>
      </c>
    </row>
    <row r="51" spans="1:2" x14ac:dyDescent="0.25">
      <c r="A51" s="5">
        <v>816</v>
      </c>
      <c r="B51" s="10" t="s">
        <v>891</v>
      </c>
    </row>
    <row r="52" spans="1:2" x14ac:dyDescent="0.25">
      <c r="A52" s="5">
        <v>802</v>
      </c>
      <c r="B52" s="10" t="s">
        <v>892</v>
      </c>
    </row>
    <row r="53" spans="1:2" x14ac:dyDescent="0.25">
      <c r="A53" s="5">
        <v>823</v>
      </c>
      <c r="B53" s="10" t="s">
        <v>893</v>
      </c>
    </row>
    <row r="54" spans="1:2" x14ac:dyDescent="0.25">
      <c r="A54" s="5">
        <v>812</v>
      </c>
      <c r="B54" s="10" t="s">
        <v>894</v>
      </c>
    </row>
    <row r="55" spans="1:2" x14ac:dyDescent="0.25">
      <c r="A55" s="5">
        <v>120</v>
      </c>
      <c r="B55" s="10" t="s">
        <v>895</v>
      </c>
    </row>
    <row r="56" spans="1:2" x14ac:dyDescent="0.25">
      <c r="A56" s="5">
        <v>718</v>
      </c>
      <c r="B56" s="10" t="s">
        <v>896</v>
      </c>
    </row>
    <row r="57" spans="1:2" x14ac:dyDescent="0.25">
      <c r="A57" s="5">
        <v>814</v>
      </c>
      <c r="B57" s="10" t="s">
        <v>897</v>
      </c>
    </row>
    <row r="58" spans="1:2" x14ac:dyDescent="0.25">
      <c r="A58" s="5">
        <v>811</v>
      </c>
      <c r="B58" s="10" t="s">
        <v>898</v>
      </c>
    </row>
    <row r="59" spans="1:2" x14ac:dyDescent="0.25">
      <c r="A59" s="5">
        <v>806</v>
      </c>
      <c r="B59" s="10" t="s">
        <v>899</v>
      </c>
    </row>
    <row r="60" spans="1:2" x14ac:dyDescent="0.25">
      <c r="A60" s="5">
        <v>604</v>
      </c>
      <c r="B60" s="10" t="s">
        <v>900</v>
      </c>
    </row>
    <row r="61" spans="1:2" x14ac:dyDescent="0.25">
      <c r="A61" s="5">
        <v>205</v>
      </c>
      <c r="B61" s="10" t="s">
        <v>901</v>
      </c>
    </row>
    <row r="62" spans="1:2" x14ac:dyDescent="0.25">
      <c r="A62" s="5">
        <v>137</v>
      </c>
      <c r="B62" s="10" t="s">
        <v>902</v>
      </c>
    </row>
    <row r="63" spans="1:2" x14ac:dyDescent="0.25">
      <c r="A63" s="5">
        <v>202</v>
      </c>
      <c r="B63" s="10" t="s">
        <v>903</v>
      </c>
    </row>
    <row r="64" spans="1:2" x14ac:dyDescent="0.25">
      <c r="A64" s="5">
        <v>203</v>
      </c>
      <c r="B64" s="10" t="s">
        <v>904</v>
      </c>
    </row>
    <row r="65" spans="1:2" x14ac:dyDescent="0.25">
      <c r="A65" s="5">
        <v>204</v>
      </c>
      <c r="B65" s="10" t="s">
        <v>905</v>
      </c>
    </row>
    <row r="66" spans="1:2" x14ac:dyDescent="0.25">
      <c r="A66" s="5">
        <v>108</v>
      </c>
      <c r="B66" s="10" t="s">
        <v>906</v>
      </c>
    </row>
    <row r="67" spans="1:2" x14ac:dyDescent="0.25">
      <c r="A67" s="5">
        <v>503</v>
      </c>
      <c r="B67" s="10" t="s">
        <v>907</v>
      </c>
    </row>
    <row r="68" spans="1:2" x14ac:dyDescent="0.25">
      <c r="A68" s="5">
        <v>506</v>
      </c>
      <c r="B68" s="10" t="s">
        <v>908</v>
      </c>
    </row>
    <row r="69" spans="1:2" x14ac:dyDescent="0.25">
      <c r="A69" s="5">
        <v>505</v>
      </c>
      <c r="B69" s="10" t="s">
        <v>909</v>
      </c>
    </row>
    <row r="70" spans="1:2" x14ac:dyDescent="0.25">
      <c r="A70" s="5">
        <v>504</v>
      </c>
      <c r="B70" s="10" t="s">
        <v>910</v>
      </c>
    </row>
    <row r="71" spans="1:2" x14ac:dyDescent="0.25">
      <c r="A71" s="5">
        <v>216</v>
      </c>
      <c r="B71" s="10" t="s">
        <v>911</v>
      </c>
    </row>
    <row r="72" spans="1:2" x14ac:dyDescent="0.25">
      <c r="A72" s="5">
        <v>142</v>
      </c>
      <c r="B72" s="10" t="s">
        <v>912</v>
      </c>
    </row>
    <row r="73" spans="1:2" x14ac:dyDescent="0.25">
      <c r="A73" s="5">
        <v>145</v>
      </c>
      <c r="B73" s="10" t="s">
        <v>913</v>
      </c>
    </row>
    <row r="74" spans="1:2" x14ac:dyDescent="0.25">
      <c r="A74" s="5">
        <v>123</v>
      </c>
      <c r="B74" s="10" t="s">
        <v>914</v>
      </c>
    </row>
    <row r="75" spans="1:2" x14ac:dyDescent="0.25">
      <c r="A75" s="5">
        <v>128</v>
      </c>
      <c r="B75" s="10" t="s">
        <v>915</v>
      </c>
    </row>
    <row r="76" spans="1:2" x14ac:dyDescent="0.25">
      <c r="A76" s="5">
        <v>146</v>
      </c>
      <c r="B76" s="10" t="s">
        <v>916</v>
      </c>
    </row>
    <row r="77" spans="1:2" x14ac:dyDescent="0.25">
      <c r="A77" s="5">
        <v>16</v>
      </c>
      <c r="B77" s="10" t="s">
        <v>917</v>
      </c>
    </row>
    <row r="78" spans="1:2" x14ac:dyDescent="0.25">
      <c r="A78" s="5">
        <v>135</v>
      </c>
      <c r="B78" s="10" t="s">
        <v>918</v>
      </c>
    </row>
    <row r="79" spans="1:2" x14ac:dyDescent="0.25">
      <c r="A79" s="5">
        <v>122</v>
      </c>
      <c r="B79" s="10" t="s">
        <v>919</v>
      </c>
    </row>
    <row r="80" spans="1:2" x14ac:dyDescent="0.25">
      <c r="A80" s="5">
        <v>127</v>
      </c>
      <c r="B80" s="10" t="s">
        <v>920</v>
      </c>
    </row>
    <row r="81" spans="1:2" x14ac:dyDescent="0.25">
      <c r="A81" s="5">
        <v>144</v>
      </c>
      <c r="B81" s="10" t="s">
        <v>921</v>
      </c>
    </row>
    <row r="82" spans="1:2" x14ac:dyDescent="0.25">
      <c r="A82" s="5">
        <v>105</v>
      </c>
      <c r="B82" s="10" t="s">
        <v>922</v>
      </c>
    </row>
    <row r="83" spans="1:2" x14ac:dyDescent="0.25">
      <c r="A83" s="5">
        <v>132</v>
      </c>
      <c r="B83" s="10" t="s">
        <v>923</v>
      </c>
    </row>
    <row r="84" spans="1:2" x14ac:dyDescent="0.25">
      <c r="A84" s="5">
        <v>131</v>
      </c>
      <c r="B84" s="10" t="s">
        <v>924</v>
      </c>
    </row>
    <row r="85" spans="1:2" x14ac:dyDescent="0.25">
      <c r="A85" s="5">
        <v>130</v>
      </c>
      <c r="B85" s="10" t="s">
        <v>925</v>
      </c>
    </row>
    <row r="86" spans="1:2" x14ac:dyDescent="0.25">
      <c r="A86" s="5">
        <v>129</v>
      </c>
      <c r="B86" s="10" t="s">
        <v>926</v>
      </c>
    </row>
    <row r="87" spans="1:2" x14ac:dyDescent="0.25">
      <c r="A87" s="5">
        <v>103</v>
      </c>
      <c r="B87" s="10" t="s">
        <v>927</v>
      </c>
    </row>
    <row r="88" spans="1:2" x14ac:dyDescent="0.25">
      <c r="A88" s="5">
        <v>125</v>
      </c>
      <c r="B88" s="10" t="s">
        <v>928</v>
      </c>
    </row>
    <row r="89" spans="1:2" x14ac:dyDescent="0.25">
      <c r="A89" s="5">
        <v>124</v>
      </c>
      <c r="B89" s="10" t="s">
        <v>929</v>
      </c>
    </row>
    <row r="90" spans="1:2" x14ac:dyDescent="0.25">
      <c r="A90" s="5">
        <v>126</v>
      </c>
      <c r="B90" s="10" t="s">
        <v>930</v>
      </c>
    </row>
    <row r="91" spans="1:2" x14ac:dyDescent="0.25">
      <c r="A91" s="5">
        <v>141</v>
      </c>
      <c r="B91" s="10" t="s">
        <v>931</v>
      </c>
    </row>
    <row r="92" spans="1:2" x14ac:dyDescent="0.25">
      <c r="A92" s="5">
        <v>701</v>
      </c>
      <c r="B92" s="10" t="s">
        <v>932</v>
      </c>
    </row>
    <row r="93" spans="1:2" x14ac:dyDescent="0.25">
      <c r="A93" s="5">
        <v>7</v>
      </c>
      <c r="B93" s="10" t="s">
        <v>933</v>
      </c>
    </row>
    <row r="94" spans="1:2" x14ac:dyDescent="0.25">
      <c r="A94" s="5">
        <v>8</v>
      </c>
      <c r="B94" s="10" t="s">
        <v>934</v>
      </c>
    </row>
    <row r="95" spans="1:2" x14ac:dyDescent="0.25">
      <c r="A95" s="5">
        <v>9</v>
      </c>
      <c r="B95" s="10" t="s">
        <v>935</v>
      </c>
    </row>
    <row r="96" spans="1:2" x14ac:dyDescent="0.25">
      <c r="A96" s="5">
        <v>118</v>
      </c>
      <c r="B96" s="10" t="s">
        <v>936</v>
      </c>
    </row>
    <row r="97" spans="1:2" x14ac:dyDescent="0.25">
      <c r="A97" s="5">
        <v>507</v>
      </c>
      <c r="B97" s="10" t="s">
        <v>937</v>
      </c>
    </row>
    <row r="98" spans="1:2" x14ac:dyDescent="0.25">
      <c r="A98" s="5">
        <v>214</v>
      </c>
      <c r="B98" s="10" t="s">
        <v>938</v>
      </c>
    </row>
    <row r="99" spans="1:2" x14ac:dyDescent="0.25">
      <c r="A99" s="5">
        <v>301</v>
      </c>
      <c r="B99" s="10" t="s">
        <v>939</v>
      </c>
    </row>
    <row r="100" spans="1:2" x14ac:dyDescent="0.25">
      <c r="A100" s="5">
        <v>605</v>
      </c>
      <c r="B100" s="10" t="s">
        <v>940</v>
      </c>
    </row>
    <row r="101" spans="1:2" x14ac:dyDescent="0.25">
      <c r="A101" s="5">
        <v>509</v>
      </c>
      <c r="B101" s="10" t="s">
        <v>941</v>
      </c>
    </row>
    <row r="102" spans="1:2" x14ac:dyDescent="0.25">
      <c r="A102" s="5">
        <v>824</v>
      </c>
      <c r="B102" s="10" t="s">
        <v>942</v>
      </c>
    </row>
    <row r="103" spans="1:2" x14ac:dyDescent="0.25">
      <c r="A103" s="5">
        <v>719</v>
      </c>
      <c r="B103" s="10" t="s">
        <v>943</v>
      </c>
    </row>
    <row r="104" spans="1:2" x14ac:dyDescent="0.25">
      <c r="A104" s="5">
        <v>114</v>
      </c>
      <c r="B104" s="10" t="s">
        <v>944</v>
      </c>
    </row>
    <row r="105" spans="1:2" x14ac:dyDescent="0.25">
      <c r="A105" s="5">
        <v>136</v>
      </c>
      <c r="B105" s="10" t="s">
        <v>945</v>
      </c>
    </row>
    <row r="106" spans="1:2" x14ac:dyDescent="0.25">
      <c r="A106" s="5">
        <v>207</v>
      </c>
      <c r="B106" s="10" t="s">
        <v>946</v>
      </c>
    </row>
    <row r="107" spans="1:2" x14ac:dyDescent="0.25">
      <c r="A107" s="5">
        <v>303</v>
      </c>
      <c r="B107" s="10" t="s">
        <v>947</v>
      </c>
    </row>
    <row r="108" spans="1:2" x14ac:dyDescent="0.25">
      <c r="A108" s="5">
        <v>405</v>
      </c>
      <c r="B108" s="10" t="s">
        <v>948</v>
      </c>
    </row>
    <row r="109" spans="1:2" x14ac:dyDescent="0.25">
      <c r="A109" s="5">
        <v>116</v>
      </c>
      <c r="B109" s="10" t="s">
        <v>949</v>
      </c>
    </row>
    <row r="110" spans="1:2" x14ac:dyDescent="0.25">
      <c r="A110" s="5">
        <v>720</v>
      </c>
      <c r="B110" s="10" t="s">
        <v>950</v>
      </c>
    </row>
    <row r="111" spans="1:2" x14ac:dyDescent="0.25">
      <c r="A111" s="5">
        <v>133</v>
      </c>
      <c r="B111" s="10" t="s">
        <v>951</v>
      </c>
    </row>
    <row r="112" spans="1:2" x14ac:dyDescent="0.25">
      <c r="A112" s="5">
        <v>213</v>
      </c>
      <c r="B112" s="10" t="s">
        <v>952</v>
      </c>
    </row>
    <row r="113" spans="1:2" x14ac:dyDescent="0.25">
      <c r="A113" s="5">
        <v>10</v>
      </c>
      <c r="B113" s="10" t="s">
        <v>953</v>
      </c>
    </row>
    <row r="114" spans="1:2" x14ac:dyDescent="0.25">
      <c r="A114" s="5">
        <v>708</v>
      </c>
      <c r="B114" s="10" t="s">
        <v>954</v>
      </c>
    </row>
    <row r="115" spans="1:2" x14ac:dyDescent="0.25">
      <c r="A115" s="5">
        <v>702</v>
      </c>
      <c r="B115" s="10" t="s">
        <v>955</v>
      </c>
    </row>
    <row r="116" spans="1:2" x14ac:dyDescent="0.25">
      <c r="A116" s="5">
        <v>703</v>
      </c>
      <c r="B116" s="10" t="s">
        <v>956</v>
      </c>
    </row>
    <row r="117" spans="1:2" x14ac:dyDescent="0.25">
      <c r="A117" s="5">
        <v>115</v>
      </c>
      <c r="B117" s="10" t="s">
        <v>957</v>
      </c>
    </row>
    <row r="118" spans="1:2" x14ac:dyDescent="0.25">
      <c r="A118" s="5">
        <v>707</v>
      </c>
      <c r="B118" s="10" t="s">
        <v>958</v>
      </c>
    </row>
    <row r="119" spans="1:2" x14ac:dyDescent="0.25">
      <c r="A119" s="5">
        <v>704</v>
      </c>
      <c r="B119" s="10" t="s">
        <v>959</v>
      </c>
    </row>
    <row r="120" spans="1:2" x14ac:dyDescent="0.25">
      <c r="A120" s="5">
        <v>302</v>
      </c>
      <c r="B120" s="10" t="s">
        <v>960</v>
      </c>
    </row>
    <row r="121" spans="1:2" x14ac:dyDescent="0.25">
      <c r="A121" s="5">
        <v>218</v>
      </c>
      <c r="B121" s="10" t="s">
        <v>961</v>
      </c>
    </row>
    <row r="122" spans="1:2" x14ac:dyDescent="0.25">
      <c r="A122" s="5">
        <v>706</v>
      </c>
      <c r="B122" s="10" t="s">
        <v>962</v>
      </c>
    </row>
    <row r="123" spans="1:2" x14ac:dyDescent="0.25">
      <c r="A123" s="5">
        <v>217</v>
      </c>
      <c r="B123" s="10" t="s">
        <v>963</v>
      </c>
    </row>
    <row r="124" spans="1:2" x14ac:dyDescent="0.25">
      <c r="A124" s="5">
        <v>705</v>
      </c>
      <c r="B124" s="10" t="s">
        <v>964</v>
      </c>
    </row>
    <row r="125" spans="1:2" x14ac:dyDescent="0.25">
      <c r="A125" s="5">
        <v>402</v>
      </c>
      <c r="B125" s="10" t="s">
        <v>965</v>
      </c>
    </row>
    <row r="126" spans="1:2" x14ac:dyDescent="0.25">
      <c r="A126" s="5">
        <v>112</v>
      </c>
      <c r="B126" s="10" t="s">
        <v>966</v>
      </c>
    </row>
    <row r="127" spans="1:2" x14ac:dyDescent="0.25">
      <c r="A127" s="5">
        <v>106</v>
      </c>
      <c r="B127" s="10" t="s">
        <v>967</v>
      </c>
    </row>
    <row r="128" spans="1:2" x14ac:dyDescent="0.25">
      <c r="A128" s="5">
        <v>11</v>
      </c>
      <c r="B128" s="10" t="s">
        <v>968</v>
      </c>
    </row>
    <row r="129" spans="1:2" x14ac:dyDescent="0.25">
      <c r="A129" s="5">
        <v>215</v>
      </c>
      <c r="B129" s="10" t="s">
        <v>969</v>
      </c>
    </row>
    <row r="130" spans="1:2" x14ac:dyDescent="0.25">
      <c r="A130" s="5">
        <v>113</v>
      </c>
      <c r="B130" s="10" t="s">
        <v>970</v>
      </c>
    </row>
    <row r="131" spans="1:2" x14ac:dyDescent="0.25">
      <c r="A131" s="5">
        <v>143</v>
      </c>
      <c r="B131" s="10" t="s">
        <v>971</v>
      </c>
    </row>
    <row r="132" spans="1:2" x14ac:dyDescent="0.25">
      <c r="A132" s="5">
        <v>900</v>
      </c>
      <c r="B132" s="10" t="s">
        <v>972</v>
      </c>
    </row>
    <row r="133" spans="1:2" x14ac:dyDescent="0.25">
      <c r="A133" s="5">
        <v>403</v>
      </c>
      <c r="B133" s="10" t="s">
        <v>973</v>
      </c>
    </row>
    <row r="134" spans="1:2" x14ac:dyDescent="0.25">
      <c r="A134" s="5">
        <v>201</v>
      </c>
      <c r="B134" s="10" t="s">
        <v>974</v>
      </c>
    </row>
    <row r="135" spans="1:2" x14ac:dyDescent="0.25">
      <c r="A135" s="5">
        <v>508</v>
      </c>
      <c r="B135" s="10" t="s">
        <v>975</v>
      </c>
    </row>
    <row r="136" spans="1:2" x14ac:dyDescent="0.25">
      <c r="A136" s="5">
        <v>209</v>
      </c>
      <c r="B136" s="10" t="s">
        <v>976</v>
      </c>
    </row>
    <row r="137" spans="1:2" x14ac:dyDescent="0.25">
      <c r="A137" s="5">
        <v>210</v>
      </c>
      <c r="B137" s="10" t="s">
        <v>977</v>
      </c>
    </row>
    <row r="138" spans="1:2" x14ac:dyDescent="0.25">
      <c r="A138" s="5">
        <v>12</v>
      </c>
      <c r="B138" s="10" t="s">
        <v>978</v>
      </c>
    </row>
    <row r="139" spans="1:2" x14ac:dyDescent="0.25">
      <c r="A139" s="5">
        <v>102</v>
      </c>
      <c r="B139" s="10" t="s">
        <v>978</v>
      </c>
    </row>
    <row r="140" spans="1:2" x14ac:dyDescent="0.25">
      <c r="A140" s="5">
        <v>107</v>
      </c>
      <c r="B140" s="10" t="s">
        <v>979</v>
      </c>
    </row>
    <row r="141" spans="1:2" x14ac:dyDescent="0.25">
      <c r="A141" s="5">
        <v>101</v>
      </c>
      <c r="B141" s="10" t="s">
        <v>980</v>
      </c>
    </row>
    <row r="142" spans="1:2" x14ac:dyDescent="0.25">
      <c r="A142" s="5">
        <v>13</v>
      </c>
      <c r="B142" s="10" t="s">
        <v>980</v>
      </c>
    </row>
    <row r="143" spans="1:2" x14ac:dyDescent="0.25">
      <c r="A143" s="5">
        <v>109</v>
      </c>
      <c r="B143" s="10" t="s">
        <v>981</v>
      </c>
    </row>
    <row r="144" spans="1:2" x14ac:dyDescent="0.25">
      <c r="A144" s="5">
        <v>212</v>
      </c>
      <c r="B144" s="10" t="s">
        <v>982</v>
      </c>
    </row>
    <row r="145" spans="1:2" x14ac:dyDescent="0.25">
      <c r="A145" s="5">
        <v>406</v>
      </c>
      <c r="B145" s="10" t="s">
        <v>983</v>
      </c>
    </row>
    <row r="146" spans="1:2" x14ac:dyDescent="0.25">
      <c r="A146" s="5">
        <v>138</v>
      </c>
      <c r="B146" s="10" t="s">
        <v>984</v>
      </c>
    </row>
    <row r="147" spans="1:2" x14ac:dyDescent="0.25">
      <c r="A147" s="5">
        <v>603</v>
      </c>
      <c r="B147" s="10" t="s">
        <v>985</v>
      </c>
    </row>
    <row r="148" spans="1:2" x14ac:dyDescent="0.25">
      <c r="A148" s="5">
        <v>134</v>
      </c>
      <c r="B148" s="10" t="s">
        <v>986</v>
      </c>
    </row>
    <row r="149" spans="1:2" x14ac:dyDescent="0.25">
      <c r="A149" s="5">
        <v>117</v>
      </c>
      <c r="B149" s="10" t="s">
        <v>987</v>
      </c>
    </row>
    <row r="150" spans="1:2" x14ac:dyDescent="0.25">
      <c r="A150" s="5">
        <v>110</v>
      </c>
      <c r="B150" s="10" t="s">
        <v>988</v>
      </c>
    </row>
    <row r="151" spans="1:2" x14ac:dyDescent="0.25">
      <c r="A151" s="5">
        <v>111</v>
      </c>
      <c r="B151" s="10" t="s">
        <v>989</v>
      </c>
    </row>
    <row r="152" spans="1:2" x14ac:dyDescent="0.25">
      <c r="A152" s="5">
        <v>901</v>
      </c>
      <c r="B152" s="10" t="s">
        <v>990</v>
      </c>
    </row>
  </sheetData>
  <mergeCells count="1">
    <mergeCell ref="A1:B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ASSETs</vt:lpstr>
      <vt:lpstr>Car_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Taweesak Jantasan</dc:creator>
  <cp:lastModifiedBy>Taweesak Jantasan</cp:lastModifiedBy>
  <dcterms:created xsi:type="dcterms:W3CDTF">2026-07-13T10:00:35Z</dcterms:created>
  <dcterms:modified xsi:type="dcterms:W3CDTF">2026-07-14T14:10:13Z</dcterms:modified>
</cp:coreProperties>
</file>