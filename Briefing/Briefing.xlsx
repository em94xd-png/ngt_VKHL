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45" yWindow="3285" windowWidth="20160" windowHeight="17100" tabRatio="600" firstSheet="0" activeTab="0" autoFilterDateGrouping="1"/>
  </bookViews>
  <sheets>
    <sheet name="Ori Format" sheetId="1" state="visible" r:id="rId1"/>
  </sheets>
  <definedNames>
    <definedName name="_xlnm.Print_Area" localSheetId="0">'Ori Format'!$A$1:$V$1317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09]d\-mmm;@"/>
    <numFmt numFmtId="165" formatCode="#,##0;\-#,##0;\-"/>
    <numFmt numFmtId="166" formatCode="#.##&quot;%&quot;"/>
    <numFmt numFmtId="167" formatCode="_-* #,##0.00_-;\-* #,##0.00_-;_-* &quot;-&quot;??_-;_-@_-"/>
    <numFmt numFmtId="168" formatCode="#,###.##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Arial"/>
      <family val="2"/>
      <b val="1"/>
      <sz val="48"/>
    </font>
    <font>
      <name val="Arial"/>
      <family val="2"/>
      <b val="1"/>
      <sz val="30"/>
    </font>
    <font>
      <name val="Arial"/>
      <family val="2"/>
      <b val="1"/>
      <sz val="32"/>
    </font>
    <font>
      <name val="Arial"/>
      <family val="2"/>
      <b val="1"/>
      <color theme="1"/>
      <sz val="36"/>
    </font>
    <font>
      <name val="Arial"/>
      <family val="2"/>
      <b val="1"/>
      <color theme="1"/>
      <sz val="30"/>
    </font>
    <font>
      <name val="Calibri"/>
      <family val="2"/>
      <b val="1"/>
      <color theme="1"/>
      <sz val="30"/>
      <scheme val="minor"/>
    </font>
    <font>
      <name val="Arial"/>
      <family val="2"/>
      <b val="1"/>
      <color indexed="8"/>
      <sz val="30"/>
    </font>
    <font>
      <name val="Arial"/>
      <family val="2"/>
      <color indexed="8"/>
      <sz val="30"/>
    </font>
    <font>
      <name val="Arial"/>
      <family val="2"/>
      <sz val="30"/>
    </font>
    <font>
      <name val="Arial"/>
      <family val="2"/>
      <b val="1"/>
      <color rgb="FFFF0000"/>
      <sz val="30"/>
    </font>
    <font>
      <name val="Arial"/>
      <family val="2"/>
      <color rgb="FF000000"/>
      <sz val="30"/>
    </font>
    <font>
      <name val="Calibri"/>
      <family val="2"/>
      <color indexed="8"/>
      <sz val="11"/>
    </font>
    <font>
      <name val="Arial"/>
      <family val="2"/>
      <b val="1"/>
      <color rgb="FF000000"/>
      <sz val="30"/>
    </font>
    <font>
      <name val="Calibri"/>
      <family val="2"/>
      <color theme="1"/>
      <sz val="30"/>
      <scheme val="minor"/>
    </font>
    <font>
      <name val="Arial"/>
      <family val="2"/>
      <b val="1"/>
      <color indexed="8"/>
      <sz val="34"/>
    </font>
    <font>
      <name val="Arial"/>
      <family val="2"/>
      <b val="1"/>
      <color theme="9" tint="-0.249977111117893"/>
      <sz val="34"/>
    </font>
    <font>
      <name val="Arial"/>
      <family val="2"/>
      <b val="1"/>
      <sz val="34"/>
    </font>
    <font>
      <name val="Arial"/>
      <family val="2"/>
      <b val="1"/>
      <color rgb="FF0070C0"/>
      <sz val="34"/>
    </font>
    <font>
      <name val="Arial"/>
      <family val="2"/>
      <b val="1"/>
      <color rgb="FFFF0000"/>
      <sz val="34"/>
    </font>
  </fonts>
  <fills count="1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9999"/>
        <bgColor rgb="FF000000"/>
      </patternFill>
    </fill>
    <fill>
      <patternFill patternType="solid">
        <fgColor rgb="00FFC7CE"/>
        <bgColor rgb="00FFC7CE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1" fillId="0" borderId="0"/>
    <xf numFmtId="0" fontId="2" fillId="2" borderId="0"/>
    <xf numFmtId="0" fontId="1" fillId="0" borderId="0"/>
    <xf numFmtId="43" fontId="14" fillId="0" borderId="0"/>
  </cellStyleXfs>
  <cellXfs count="105">
    <xf numFmtId="0" fontId="0" fillId="0" borderId="0" pivotButton="0" quotePrefix="0" xfId="0"/>
    <xf numFmtId="0" fontId="1" fillId="0" borderId="0" pivotButton="0" quotePrefix="0" xfId="2"/>
    <xf numFmtId="0" fontId="8" fillId="0" borderId="0" pivotButton="0" quotePrefix="0" xfId="2"/>
    <xf numFmtId="15" fontId="4" fillId="5" borderId="12" applyAlignment="1" pivotButton="0" quotePrefix="0" xfId="2">
      <alignment horizontal="center" vertical="center" wrapText="1"/>
    </xf>
    <xf numFmtId="164" fontId="4" fillId="5" borderId="9" applyAlignment="1" pivotButton="0" quotePrefix="0" xfId="2">
      <alignment vertical="center" wrapText="1"/>
    </xf>
    <xf numFmtId="10" fontId="9" fillId="5" borderId="9" applyAlignment="1" pivotButton="0" quotePrefix="0" xfId="2">
      <alignment horizontal="center" vertical="center" wrapText="1"/>
    </xf>
    <xf numFmtId="14" fontId="4" fillId="5" borderId="12" applyAlignment="1" pivotButton="0" quotePrefix="0" xfId="2">
      <alignment horizontal="center" vertical="center" wrapText="1"/>
    </xf>
    <xf numFmtId="4" fontId="13" fillId="6" borderId="12" applyAlignment="1" pivotButton="0" quotePrefix="1" xfId="2">
      <alignment horizontal="center" vertical="center" wrapText="1" readingOrder="1"/>
    </xf>
    <xf numFmtId="0" fontId="13" fillId="6" borderId="12" applyAlignment="1" pivotButton="0" quotePrefix="1" xfId="2">
      <alignment horizontal="center" vertical="center" wrapText="1" readingOrder="1"/>
    </xf>
    <xf numFmtId="14" fontId="13" fillId="6" borderId="12" applyAlignment="1" pivotButton="0" quotePrefix="1" xfId="2">
      <alignment horizontal="center" vertical="center" wrapText="1" readingOrder="1"/>
    </xf>
    <xf numFmtId="0" fontId="16" fillId="0" borderId="0" pivotButton="0" quotePrefix="0" xfId="2"/>
    <xf numFmtId="14" fontId="1" fillId="0" borderId="0" pivotButton="0" quotePrefix="0" xfId="2"/>
    <xf numFmtId="0" fontId="9" fillId="5" borderId="12" applyAlignment="1" pivotButton="0" quotePrefix="0" xfId="2">
      <alignment horizontal="center" vertical="center" wrapText="1"/>
    </xf>
    <xf numFmtId="0" fontId="4" fillId="5" borderId="12" applyAlignment="1" pivotButton="0" quotePrefix="0" xfId="2">
      <alignment horizontal="center" vertical="center" wrapText="1"/>
    </xf>
    <xf numFmtId="3" fontId="10" fillId="3" borderId="12" applyAlignment="1" pivotButton="0" quotePrefix="1" xfId="2">
      <alignment horizontal="center" vertical="center" wrapText="1"/>
    </xf>
    <xf numFmtId="0" fontId="13" fillId="0" borderId="12" applyAlignment="1" pivotButton="0" quotePrefix="0" xfId="2">
      <alignment horizontal="center" vertical="center" wrapText="1"/>
    </xf>
    <xf numFmtId="0" fontId="4" fillId="3" borderId="12" applyAlignment="1" pivotButton="0" quotePrefix="0" xfId="2">
      <alignment horizontal="center" vertical="center" wrapText="1"/>
    </xf>
    <xf numFmtId="0" fontId="9" fillId="0" borderId="12" applyAlignment="1" pivotButton="0" quotePrefix="1" xfId="2">
      <alignment horizontal="center" vertical="center" wrapText="1"/>
    </xf>
    <xf numFmtId="0" fontId="10" fillId="3" borderId="12" applyAlignment="1" pivotButton="0" quotePrefix="0" xfId="2">
      <alignment horizontal="center" vertical="center" wrapText="1"/>
    </xf>
    <xf numFmtId="10" fontId="9" fillId="5" borderId="12" applyAlignment="1" pivotButton="0" quotePrefix="0" xfId="2">
      <alignment horizontal="center" vertical="center" wrapText="1"/>
    </xf>
    <xf numFmtId="0" fontId="9" fillId="5" borderId="9" applyAlignment="1" pivotButton="0" quotePrefix="0" xfId="2">
      <alignment horizontal="center" vertical="center" wrapText="1"/>
    </xf>
    <xf numFmtId="165" fontId="10" fillId="3" borderId="12" applyAlignment="1" pivotButton="0" quotePrefix="1" xfId="2">
      <alignment horizontal="center" vertical="center" wrapText="1"/>
    </xf>
    <xf numFmtId="0" fontId="15" fillId="6" borderId="12" applyAlignment="1" pivotButton="0" quotePrefix="0" xfId="2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18" fillId="0" borderId="11" applyAlignment="1" pivotButton="0" quotePrefix="0" xfId="0">
      <alignment horizontal="left" vertical="center" wrapText="1"/>
    </xf>
    <xf numFmtId="0" fontId="9" fillId="0" borderId="12" applyAlignment="1" pivotButton="0" quotePrefix="1" xfId="2">
      <alignment horizontal="center" vertical="center" wrapText="1"/>
    </xf>
    <xf numFmtId="0" fontId="18" fillId="0" borderId="11" applyAlignment="1" pivotButton="0" quotePrefix="0" xfId="2">
      <alignment horizontal="left" vertical="center" wrapText="1"/>
    </xf>
    <xf numFmtId="0" fontId="4" fillId="3" borderId="12" applyAlignment="1" pivotButton="0" quotePrefix="0" xfId="2">
      <alignment horizontal="center" vertical="center" wrapText="1"/>
    </xf>
    <xf numFmtId="0" fontId="9" fillId="5" borderId="12" applyAlignment="1" pivotButton="0" quotePrefix="0" xfId="2">
      <alignment horizontal="center" vertical="center" wrapText="1"/>
    </xf>
    <xf numFmtId="0" fontId="9" fillId="5" borderId="9" applyAlignment="1" pivotButton="0" quotePrefix="0" xfId="2">
      <alignment horizontal="center" vertical="center" wrapText="1"/>
    </xf>
    <xf numFmtId="0" fontId="18" fillId="0" borderId="11" applyAlignment="1" pivotButton="0" quotePrefix="1" xfId="0">
      <alignment horizontal="left" vertical="center" wrapText="1"/>
    </xf>
    <xf numFmtId="0" fontId="21" fillId="0" borderId="11" applyAlignment="1" pivotButton="0" quotePrefix="0" xfId="0">
      <alignment horizontal="left" vertical="center" wrapText="1"/>
    </xf>
    <xf numFmtId="0" fontId="15" fillId="10" borderId="12" applyAlignment="1" pivotButton="0" quotePrefix="0" xfId="2">
      <alignment horizontal="center" vertical="center" wrapText="1"/>
    </xf>
    <xf numFmtId="0" fontId="19" fillId="0" borderId="9" applyAlignment="1" pivotButton="0" quotePrefix="0" xfId="2">
      <alignment horizontal="center" vertical="center" wrapText="1"/>
    </xf>
    <xf numFmtId="15" fontId="4" fillId="4" borderId="12" applyAlignment="1" pivotButton="0" quotePrefix="0" xfId="2">
      <alignment horizontal="center" vertical="center" wrapText="1"/>
    </xf>
    <xf numFmtId="0" fontId="13" fillId="0" borderId="12" applyAlignment="1" pivotButton="0" quotePrefix="0" xfId="2">
      <alignment horizontal="center" vertical="center" wrapText="1"/>
    </xf>
    <xf numFmtId="0" fontId="0" fillId="0" borderId="8" pivotButton="0" quotePrefix="0" xfId="0"/>
    <xf numFmtId="4" fontId="11" fillId="0" borderId="12" applyAlignment="1" pivotButton="0" quotePrefix="0" xfId="2">
      <alignment horizontal="center" vertical="center" wrapText="1"/>
    </xf>
    <xf numFmtId="0" fontId="13" fillId="7" borderId="12" applyAlignment="1" pivotButton="0" quotePrefix="1" xfId="2">
      <alignment horizontal="center" vertical="center" wrapText="1" readingOrder="1"/>
    </xf>
    <xf numFmtId="3" fontId="9" fillId="5" borderId="12" applyAlignment="1" pivotButton="0" quotePrefix="0" xfId="2">
      <alignment horizontal="center" vertical="center" wrapText="1"/>
    </xf>
    <xf numFmtId="0" fontId="0" fillId="0" borderId="13" pivotButton="0" quotePrefix="0" xfId="0"/>
    <xf numFmtId="3" fontId="11" fillId="0" borderId="12" applyAlignment="1" pivotButton="0" quotePrefix="0" xfId="2">
      <alignment horizontal="center" vertical="center" wrapText="1"/>
    </xf>
    <xf numFmtId="0" fontId="5" fillId="0" borderId="12" applyAlignment="1" pivotButton="0" quotePrefix="0" xfId="2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5" borderId="12" applyAlignment="1" pivotButton="0" quotePrefix="0" xfId="2">
      <alignment horizontal="center" vertical="center" wrapText="1"/>
    </xf>
    <xf numFmtId="164" fontId="4" fillId="5" borderId="4" applyAlignment="1" pivotButton="0" quotePrefix="0" xfId="2">
      <alignment horizontal="center" vertical="center" wrapText="1"/>
    </xf>
    <xf numFmtId="0" fontId="4" fillId="0" borderId="12" applyAlignment="1" pivotButton="0" quotePrefix="0" xfId="2">
      <alignment horizontal="center" vertical="top" wrapText="1"/>
    </xf>
    <xf numFmtId="20" fontId="13" fillId="6" borderId="12" applyAlignment="1" pivotButton="0" quotePrefix="1" xfId="2">
      <alignment horizontal="center" vertical="center" wrapText="1" readingOrder="1"/>
    </xf>
    <xf numFmtId="3" fontId="10" fillId="3" borderId="12" applyAlignment="1" pivotButton="0" quotePrefix="1" xfId="2">
      <alignment horizontal="center" vertical="center" wrapText="1"/>
    </xf>
    <xf numFmtId="0" fontId="10" fillId="3" borderId="12" applyAlignment="1" pivotButton="0" quotePrefix="0" xfId="2">
      <alignment horizontal="center" vertical="center" wrapText="1"/>
    </xf>
    <xf numFmtId="166" fontId="13" fillId="0" borderId="12" applyAlignment="1" pivotButton="0" quotePrefix="0" xfId="2">
      <alignment horizontal="center" vertical="center" wrapText="1"/>
    </xf>
    <xf numFmtId="10" fontId="9" fillId="5" borderId="12" applyAlignment="1" pivotButton="0" quotePrefix="0" xfId="2">
      <alignment horizontal="center" vertical="center" wrapText="1"/>
    </xf>
    <xf numFmtId="0" fontId="15" fillId="9" borderId="12" applyAlignment="1" pivotButton="0" quotePrefix="1" xfId="2">
      <alignment horizontal="center" vertical="center" wrapText="1" readingOrder="1"/>
    </xf>
    <xf numFmtId="0" fontId="15" fillId="9" borderId="12" applyAlignment="1" pivotButton="0" quotePrefix="0" xfId="2">
      <alignment horizontal="center" vertical="center" wrapText="1" readingOrder="1"/>
    </xf>
    <xf numFmtId="0" fontId="7" fillId="4" borderId="12" applyAlignment="1" pivotButton="0" quotePrefix="0" xfId="2">
      <alignment horizontal="center" vertical="center" wrapText="1"/>
    </xf>
    <xf numFmtId="0" fontId="4" fillId="4" borderId="12" applyAlignment="1" pivotButton="0" quotePrefix="0" xfId="2">
      <alignment horizontal="center" vertical="center" wrapText="1"/>
    </xf>
    <xf numFmtId="164" fontId="4" fillId="5" borderId="12" applyAlignment="1" pivotButton="0" quotePrefix="0" xfId="2">
      <alignment horizontal="center" vertical="center" wrapText="1"/>
    </xf>
    <xf numFmtId="0" fontId="13" fillId="6" borderId="12" applyAlignment="1" pivotButton="0" quotePrefix="1" xfId="2">
      <alignment horizontal="left" vertical="center" wrapText="1" readingOrder="1"/>
    </xf>
    <xf numFmtId="10" fontId="9" fillId="5" borderId="1" applyAlignment="1" pivotButton="0" quotePrefix="0" xfId="2">
      <alignment horizontal="center" vertical="center" wrapText="1"/>
    </xf>
    <xf numFmtId="0" fontId="0" fillId="0" borderId="14" pivotButton="0" quotePrefix="0" xfId="0"/>
    <xf numFmtId="0" fontId="20" fillId="0" borderId="11" applyAlignment="1" pivotButton="0" quotePrefix="0" xfId="0">
      <alignment horizontal="left" vertical="center" wrapText="1"/>
    </xf>
    <xf numFmtId="49" fontId="6" fillId="3" borderId="12" applyAlignment="1" pivotButton="0" quotePrefix="0" xfId="2">
      <alignment horizontal="center" vertical="center" wrapText="1"/>
    </xf>
    <xf numFmtId="0" fontId="19" fillId="0" borderId="9" applyAlignment="1" pivotButton="0" quotePrefix="0" xfId="0">
      <alignment horizontal="center" vertical="center" wrapText="1"/>
    </xf>
    <xf numFmtId="166" fontId="13" fillId="3" borderId="12" applyAlignment="1" pivotButton="0" quotePrefix="0" xfId="2">
      <alignment horizontal="center" vertical="center" wrapText="1"/>
    </xf>
    <xf numFmtId="4" fontId="12" fillId="0" borderId="12" applyAlignment="1" pivotButton="0" quotePrefix="0" xfId="0">
      <alignment horizontal="center" vertical="center" wrapText="1"/>
    </xf>
    <xf numFmtId="166" fontId="10" fillId="3" borderId="12" applyAlignment="1" pivotButton="0" quotePrefix="1" xfId="2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6" borderId="12" applyAlignment="1" pivotButton="0" quotePrefix="0" xfId="2">
      <alignment vertical="center" wrapText="1" readingOrder="1"/>
    </xf>
    <xf numFmtId="167" fontId="9" fillId="4" borderId="12" applyAlignment="1" pivotButton="0" quotePrefix="0" xfId="3">
      <alignment horizontal="center" vertical="center" wrapText="1"/>
    </xf>
    <xf numFmtId="168" fontId="10" fillId="3" borderId="12" applyAlignment="1" pivotButton="0" quotePrefix="1" xfId="2">
      <alignment horizontal="center" vertical="center" wrapText="1"/>
    </xf>
    <xf numFmtId="0" fontId="15" fillId="8" borderId="12" applyAlignment="1" pivotButton="0" quotePrefix="0" xfId="2">
      <alignment horizontal="center" vertical="center" wrapText="1" readingOrder="1"/>
    </xf>
    <xf numFmtId="0" fontId="18" fillId="0" borderId="3" applyAlignment="1" pivotButton="0" quotePrefix="0" xfId="0">
      <alignment horizontal="left" vertical="center" wrapText="1"/>
    </xf>
    <xf numFmtId="0" fontId="18" fillId="0" borderId="6" applyAlignment="1" pivotButton="0" quotePrefix="1" xfId="0">
      <alignment horizontal="left" vertical="center" wrapText="1"/>
    </xf>
    <xf numFmtId="0" fontId="17" fillId="0" borderId="9" applyAlignment="1" pivotButton="0" quotePrefix="0" xfId="0">
      <alignment horizontal="center" vertical="center" wrapText="1"/>
    </xf>
    <xf numFmtId="15" fontId="3" fillId="3" borderId="4" applyAlignment="1" pivotButton="0" quotePrefix="0" xfId="1">
      <alignment horizontal="center" vertical="center" wrapText="1"/>
    </xf>
    <xf numFmtId="167" fontId="9" fillId="4" borderId="4" applyAlignment="1" pivotButton="0" quotePrefix="0" xfId="3">
      <alignment horizontal="center" vertical="center" wrapText="1"/>
    </xf>
    <xf numFmtId="0" fontId="7" fillId="3" borderId="12" applyAlignment="1" pivotButton="0" quotePrefix="0" xfId="2">
      <alignment horizontal="center" vertical="center" wrapText="1"/>
    </xf>
    <xf numFmtId="0" fontId="15" fillId="6" borderId="12" applyAlignment="1" pivotButton="0" quotePrefix="1" xfId="2">
      <alignment horizontal="center" vertical="center" wrapText="1"/>
    </xf>
    <xf numFmtId="4" fontId="12" fillId="0" borderId="4" applyAlignment="1" pivotButton="0" quotePrefix="0" xfId="0">
      <alignment horizontal="center" vertical="center" wrapText="1"/>
    </xf>
    <xf numFmtId="4" fontId="11" fillId="0" borderId="4" applyAlignment="1" pivotButton="0" quotePrefix="0" xfId="2">
      <alignment horizontal="center" vertical="center" wrapText="1"/>
    </xf>
    <xf numFmtId="15" fontId="3" fillId="0" borderId="8" applyAlignment="1" pivotButton="0" quotePrefix="0" xfId="1">
      <alignment horizontal="center" vertical="center" wrapText="1"/>
    </xf>
    <xf numFmtId="165" fontId="10" fillId="3" borderId="12" applyAlignment="1" pivotButton="0" quotePrefix="0" xfId="2">
      <alignment horizontal="center" vertical="center" wrapText="1"/>
    </xf>
    <xf numFmtId="165" fontId="0" fillId="0" borderId="8" pivotButton="0" quotePrefix="0" xfId="0"/>
    <xf numFmtId="165" fontId="10" fillId="3" borderId="12" applyAlignment="1" pivotButton="0" quotePrefix="1" xfId="2">
      <alignment horizontal="center" vertical="center" wrapText="1"/>
    </xf>
    <xf numFmtId="168" fontId="10" fillId="3" borderId="12" applyAlignment="1" pivotButton="0" quotePrefix="1" xfId="2">
      <alignment horizontal="center" vertical="center" wrapText="1"/>
    </xf>
    <xf numFmtId="166" fontId="13" fillId="3" borderId="12" applyAlignment="1" pivotButton="0" quotePrefix="0" xfId="2">
      <alignment horizontal="center" vertical="center" wrapText="1"/>
    </xf>
    <xf numFmtId="166" fontId="13" fillId="0" borderId="12" applyAlignment="1" pivotButton="0" quotePrefix="0" xfId="2">
      <alignment horizontal="center" vertical="center" wrapText="1"/>
    </xf>
    <xf numFmtId="166" fontId="10" fillId="3" borderId="12" applyAlignment="1" pivotButton="0" quotePrefix="1" xfId="2">
      <alignment horizontal="center" vertical="center" wrapText="1"/>
    </xf>
    <xf numFmtId="165" fontId="10" fillId="3" borderId="12" applyAlignment="1" pivotButton="0" quotePrefix="0" xfId="2">
      <alignment horizontal="center" vertical="center" wrapText="1"/>
    </xf>
    <xf numFmtId="167" fontId="9" fillId="4" borderId="4" applyAlignment="1" pivotButton="0" quotePrefix="0" xfId="3">
      <alignment horizontal="center" vertical="center" wrapText="1"/>
    </xf>
    <xf numFmtId="0" fontId="13" fillId="0" borderId="12" applyAlignment="1" pivotButton="0" quotePrefix="0" xfId="2">
      <alignment vertical="center" wrapText="1" readingOrder="1"/>
    </xf>
    <xf numFmtId="0" fontId="13" fillId="11" borderId="12" applyAlignment="1" pivotButton="0" quotePrefix="0" xfId="2">
      <alignment vertical="center" wrapText="1" readingOrder="1"/>
    </xf>
    <xf numFmtId="0" fontId="0" fillId="11" borderId="11" pivotButton="0" quotePrefix="0" xfId="0"/>
    <xf numFmtId="4" fontId="13" fillId="11" borderId="12" applyAlignment="1" pivotButton="0" quotePrefix="1" xfId="2">
      <alignment horizontal="center" vertical="center" wrapText="1" readingOrder="1"/>
    </xf>
    <xf numFmtId="0" fontId="13" fillId="11" borderId="12" applyAlignment="1" pivotButton="0" quotePrefix="1" xfId="2">
      <alignment horizontal="center" vertical="center" wrapText="1" readingOrder="1"/>
    </xf>
    <xf numFmtId="14" fontId="13" fillId="11" borderId="12" applyAlignment="1" pivotButton="0" quotePrefix="1" xfId="2">
      <alignment horizontal="center" vertical="center" wrapText="1" readingOrder="1"/>
    </xf>
    <xf numFmtId="20" fontId="13" fillId="11" borderId="12" applyAlignment="1" pivotButton="0" quotePrefix="1" xfId="2">
      <alignment horizontal="center" vertical="center" wrapText="1" readingOrder="1"/>
    </xf>
    <xf numFmtId="3" fontId="10" fillId="11" borderId="12" applyAlignment="1" pivotButton="0" quotePrefix="1" xfId="2">
      <alignment horizontal="center" vertical="center" wrapText="1"/>
    </xf>
    <xf numFmtId="0" fontId="13" fillId="11" borderId="12" applyAlignment="1" pivotButton="0" quotePrefix="1" xfId="2">
      <alignment horizontal="left" vertical="center" wrapText="1" readingOrder="1"/>
    </xf>
    <xf numFmtId="167" fontId="9" fillId="4" borderId="12" applyAlignment="1" pivotButton="0" quotePrefix="0" xfId="3">
      <alignment horizontal="center" vertical="center" wrapText="1"/>
    </xf>
  </cellXfs>
  <cellStyles count="4">
    <cellStyle name="Normal" xfId="0" builtinId="0"/>
    <cellStyle name="Good" xfId="1" builtinId="26"/>
    <cellStyle name="Normal 4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533400</colOff>
      <row>0</row>
      <rowOff>876300</rowOff>
    </from>
    <to>
      <col>17</col>
      <colOff>1434125</colOff>
      <row>0</row>
      <rowOff>2552700</rowOff>
    </to>
    <pic>
      <nvPicPr>
        <cNvPr id="5" name="Picture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35375850" y="876300"/>
          <a:ext cx="6720500" cy="1676400"/>
        </a:xfrm>
        <a:prstGeom prst="rect">
          <avLst/>
        </a:prstGeom>
        <a:ln>
          <a:prstDash val="solid"/>
        </a:ln>
      </spPr>
    </pic>
    <clientData/>
  </twoCellAnchor>
  <oneCellAnchor>
    <from>
      <col>19</col>
      <colOff>38100</colOff>
      <row>0</row>
      <rowOff>1371600</rowOff>
    </from>
    <ext cx="1981200" cy="1791336"/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567475" y="1371600"/>
          <a:ext cx="1981200" cy="1791336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990600</colOff>
      <row>0</row>
      <rowOff>1828800</rowOff>
    </from>
    <ext cx="4336066" cy="1710000"/>
    <pic>
      <nvPicPr>
        <cNvPr id="3" name="Picture 2"/>
        <cNvPicPr>
          <a:picLocks noChangeAspect="1"/>
        </cNvPicPr>
      </nvPicPr>
      <blipFill rotWithShape="1">
        <a:blip cstate="print" r:embed="rId2"/>
        <a:srcRect l="10694" t="28179" r="10403" b="27369"/>
        <a:stretch>
          <a:fillRect/>
        </a:stretch>
      </blipFill>
      <spPr>
        <a:xfrm>
          <a:off x="3505200" y="1828800"/>
          <a:ext cx="4336066" cy="1710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990600</colOff>
      <row>0</row>
      <rowOff>1828800</rowOff>
    </from>
    <ext cx="4336066" cy="1710000"/>
    <pic>
      <nvPicPr>
        <cNvPr id="4" name="Picture 3"/>
        <cNvPicPr>
          <a:picLocks noChangeAspect="1"/>
        </cNvPicPr>
      </nvPicPr>
      <blipFill rotWithShape="1">
        <a:blip cstate="print" r:embed="rId3"/>
        <a:srcRect l="10694" t="28179" r="10403" b="27369"/>
        <a:stretch>
          <a:fillRect/>
        </a:stretch>
      </blipFill>
      <spPr>
        <a:xfrm>
          <a:off x="3505200" y="1828800"/>
          <a:ext cx="4336066" cy="171000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800"/>
  <sheetViews>
    <sheetView tabSelected="1" view="pageBreakPreview" zoomScale="25" zoomScaleNormal="30" zoomScaleSheetLayoutView="25" workbookViewId="0">
      <selection activeCell="A3" sqref="A3:C4"/>
    </sheetView>
  </sheetViews>
  <sheetFormatPr baseColWidth="8" defaultColWidth="10.42578125" defaultRowHeight="15"/>
  <cols>
    <col width="37.7109375" customWidth="1" style="1" min="1" max="1"/>
    <col width="72.85546875" customWidth="1" style="1" min="2" max="2"/>
    <col width="50.42578125" customWidth="1" style="1" min="3" max="3"/>
    <col width="28.42578125" customWidth="1" style="1" min="4" max="4"/>
    <col width="18.42578125" customWidth="1" style="1" min="5" max="5"/>
    <col width="22.140625" customWidth="1" style="1" min="6" max="7"/>
    <col width="38.7109375" customWidth="1" style="1" min="8" max="8"/>
    <col width="43.85546875" customWidth="1" style="1" min="9" max="9"/>
    <col width="43.85546875" customWidth="1" style="11" min="10" max="10"/>
    <col width="44.7109375" customWidth="1" style="1" min="11" max="11"/>
    <col width="41.28515625" customWidth="1" style="1" min="12" max="12"/>
    <col width="29.28515625" customWidth="1" style="1" min="13" max="13"/>
    <col width="28.7109375" customWidth="1" style="1" min="14" max="14"/>
    <col width="29.28515625" customWidth="1" style="1" min="15" max="15"/>
    <col width="28.7109375" customWidth="1" style="1" min="16" max="16"/>
    <col width="29.28515625" customWidth="1" style="1" min="17" max="17"/>
    <col width="28.7109375" customWidth="1" style="1" min="18" max="18"/>
    <col width="29.28515625" customWidth="1" style="1" min="19" max="19"/>
    <col width="28.7109375" customWidth="1" style="1" min="20" max="20"/>
    <col width="29.28515625" customWidth="1" style="1" min="21" max="21"/>
    <col width="110.7109375" customWidth="1" style="1" min="22" max="22"/>
    <col width="10.42578125" customWidth="1" style="1" min="23" max="50"/>
    <col width="10.42578125" customWidth="1" style="1" min="51" max="16384"/>
  </cols>
  <sheetData>
    <row r="1" ht="336" customHeight="1">
      <c r="A1" s="79" t="n"/>
      <c r="B1" s="44" t="n"/>
      <c r="C1" s="45" t="n"/>
      <c r="D1" s="51" t="inlineStr">
        <is>
          <t xml:space="preserve">
YTD GRI 
Goal 95.3 %
by 31 Dec. 2026</t>
        </is>
      </c>
      <c r="E1" s="44" t="n"/>
      <c r="F1" s="44" t="n"/>
      <c r="G1" s="45" t="n"/>
      <c r="H1" s="51" t="inlineStr">
        <is>
          <t xml:space="preserve">
YTD NPS
Goal 71.9 %
by 31 Dec. 2026</t>
        </is>
      </c>
      <c r="I1" s="45" t="n"/>
      <c r="J1" s="51" t="inlineStr">
        <is>
          <t xml:space="preserve">
MTD GRI
.
Goal 95.3 %
by 31 Dec. 2026</t>
        </is>
      </c>
      <c r="K1" s="45" t="n"/>
      <c r="L1" s="51" t="inlineStr">
        <is>
          <t xml:space="preserve">
MTD NPS
Goal 71.9 %
by 31 Dec. 2026</t>
        </is>
      </c>
      <c r="M1" s="44" t="n"/>
      <c r="N1" s="45" t="n"/>
      <c r="O1" s="43" t="inlineStr">
        <is>
          <t xml:space="preserve">
Enrollment Done: -
MTD = -
Monthly Target = -
YTD = -</t>
        </is>
      </c>
      <c r="P1" s="44" t="n"/>
      <c r="Q1" s="44" t="n"/>
      <c r="R1" s="45" t="n"/>
      <c r="S1" s="43" t="inlineStr">
        <is>
          <t xml:space="preserve">
Hotel in Khao Lak 
(- hotels)
Rank #-
Goal #1</t>
        </is>
      </c>
      <c r="T1" s="44" t="n"/>
      <c r="U1" s="45" t="n"/>
      <c r="V1" s="66" t="inlineStr">
        <is>
          <t>Show Room
-
Early Departure
-</t>
        </is>
      </c>
    </row>
    <row r="2" ht="306.6" customHeight="1">
      <c r="A2" s="85" t="inlineStr">
        <is>
          <t>Daily Briefing
Tuesday July 28, 2026</t>
        </is>
      </c>
      <c r="B2" s="47" t="n"/>
      <c r="C2" s="48" t="n"/>
      <c r="D2" s="46" t="n"/>
      <c r="E2" s="47" t="n"/>
      <c r="F2" s="47" t="n"/>
      <c r="G2" s="48" t="n"/>
      <c r="H2" s="46" t="n"/>
      <c r="I2" s="48" t="n"/>
      <c r="J2" s="46" t="n"/>
      <c r="K2" s="48" t="n"/>
      <c r="L2" s="46" t="n"/>
      <c r="M2" s="47" t="n"/>
      <c r="N2" s="48" t="n"/>
      <c r="O2" s="46" t="n"/>
      <c r="P2" s="47" t="n"/>
      <c r="Q2" s="47" t="n"/>
      <c r="R2" s="48" t="n"/>
      <c r="S2" s="46" t="n"/>
      <c r="T2" s="47" t="n"/>
      <c r="U2" s="48" t="n"/>
      <c r="V2" s="37" t="n"/>
    </row>
    <row r="3" ht="99" customFormat="1" customHeight="1" s="2">
      <c r="A3" s="60" t="inlineStr">
        <is>
          <t>Yesterday</t>
        </is>
      </c>
      <c r="B3" s="44" t="n"/>
      <c r="C3" s="45" t="n"/>
      <c r="D3" s="60" t="inlineStr">
        <is>
          <t>TODAY</t>
        </is>
      </c>
      <c r="E3" s="23" t="n"/>
      <c r="F3" s="23" t="n"/>
      <c r="G3" s="24" t="n"/>
      <c r="H3" s="35" t="n"/>
      <c r="I3" s="23" t="n"/>
      <c r="J3" s="23" t="n"/>
      <c r="K3" s="24" t="n"/>
      <c r="L3" s="60" t="inlineStr">
        <is>
          <t>Next 5 days</t>
        </is>
      </c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4" t="n"/>
    </row>
    <row r="4" ht="88.5" customHeight="1">
      <c r="A4" s="46" t="n"/>
      <c r="B4" s="47" t="n"/>
      <c r="C4" s="48" t="n"/>
      <c r="D4" s="61" t="inlineStr">
        <is>
          <t>25-Jul</t>
        </is>
      </c>
      <c r="E4" s="23" t="n"/>
      <c r="F4" s="23" t="n"/>
      <c r="G4" s="24" t="n"/>
      <c r="H4" s="3" t="inlineStr">
        <is>
          <t>Details</t>
        </is>
      </c>
      <c r="I4" s="3" t="inlineStr">
        <is>
          <t>Yesterday</t>
        </is>
      </c>
      <c r="J4" s="3" t="inlineStr">
        <is>
          <t>Actual MTD</t>
        </is>
      </c>
      <c r="K4" s="3" t="inlineStr">
        <is>
          <t>Target</t>
        </is>
      </c>
      <c r="L4" s="4" t="n"/>
      <c r="M4" s="50">
        <f>D4+1</f>
        <v/>
      </c>
      <c r="N4" s="45" t="n"/>
      <c r="O4" s="50">
        <f>M4+1</f>
        <v/>
      </c>
      <c r="P4" s="45" t="n"/>
      <c r="Q4" s="50">
        <f>O4+1</f>
        <v/>
      </c>
      <c r="R4" s="45" t="n"/>
      <c r="S4" s="50">
        <f>Q4+1</f>
        <v/>
      </c>
      <c r="T4" s="45" t="n"/>
      <c r="U4" s="50">
        <f>S4+1</f>
        <v/>
      </c>
      <c r="V4" s="45" t="n"/>
    </row>
    <row r="5" ht="55.5" customHeight="1">
      <c r="A5" s="29" t="inlineStr">
        <is>
          <t>COMP.</t>
        </is>
      </c>
      <c r="B5" s="53" t="inlineStr">
        <is>
          <t>3</t>
        </is>
      </c>
      <c r="C5" s="45" t="n"/>
      <c r="D5" s="30" t="inlineStr">
        <is>
          <t>ARR.</t>
        </is>
      </c>
      <c r="E5" s="53" t="inlineStr">
        <is>
          <t>99</t>
        </is>
      </c>
      <c r="F5" s="53" t="inlineStr">
        <is>
          <t>115</t>
        </is>
      </c>
      <c r="G5" s="45" t="n"/>
      <c r="H5" s="29" t="inlineStr">
        <is>
          <t>Room 
Upselling</t>
        </is>
      </c>
      <c r="I5" s="38" t="n">
        <v>3875.32</v>
      </c>
      <c r="J5" s="38" t="n">
        <v>79801.19</v>
      </c>
      <c r="K5" s="69" t="n">
        <v>205427.65</v>
      </c>
      <c r="L5" s="30" t="inlineStr">
        <is>
          <t>ARR.</t>
        </is>
      </c>
      <c r="M5" s="36" t="inlineStr">
        <is>
          <t>123</t>
        </is>
      </c>
      <c r="N5" s="36" t="inlineStr">
        <is>
          <t>132</t>
        </is>
      </c>
      <c r="O5" s="36" t="inlineStr">
        <is>
          <t>59</t>
        </is>
      </c>
      <c r="P5" s="36" t="inlineStr">
        <is>
          <t>70</t>
        </is>
      </c>
      <c r="Q5" s="36" t="inlineStr">
        <is>
          <t>134</t>
        </is>
      </c>
      <c r="R5" s="36" t="inlineStr">
        <is>
          <t>156</t>
        </is>
      </c>
      <c r="S5" s="36" t="inlineStr">
        <is>
          <t>50</t>
        </is>
      </c>
      <c r="T5" s="36" t="inlineStr">
        <is>
          <t>57</t>
        </is>
      </c>
      <c r="U5" s="36" t="inlineStr">
        <is>
          <t>63</t>
        </is>
      </c>
      <c r="V5" s="36" t="inlineStr">
        <is>
          <t>74</t>
        </is>
      </c>
    </row>
    <row r="6" ht="55.5" customHeight="1">
      <c r="A6" s="37" t="n"/>
      <c r="B6" s="46" t="n"/>
      <c r="C6" s="48" t="n"/>
      <c r="D6" s="30" t="inlineStr">
        <is>
          <t>AVC</t>
        </is>
      </c>
      <c r="E6" s="88">
        <f>F5-E5</f>
        <v/>
      </c>
      <c r="F6" s="46" t="n"/>
      <c r="G6" s="48" t="n"/>
      <c r="H6" s="37" t="n"/>
      <c r="I6" s="37" t="n"/>
      <c r="J6" s="37" t="n"/>
      <c r="K6" s="37" t="n"/>
      <c r="L6" s="30" t="inlineStr">
        <is>
          <t>AVC</t>
        </is>
      </c>
      <c r="M6" s="88">
        <f>N5-M5</f>
        <v/>
      </c>
      <c r="N6" s="37" t="n"/>
      <c r="O6" s="88">
        <f>P5-O5</f>
        <v/>
      </c>
      <c r="P6" s="37" t="n"/>
      <c r="Q6" s="88">
        <f>R5-Q5</f>
        <v/>
      </c>
      <c r="R6" s="37" t="n"/>
      <c r="S6" s="88">
        <f>T5-S5</f>
        <v/>
      </c>
      <c r="T6" s="37" t="n"/>
      <c r="U6" s="88">
        <f>V5-U5</f>
        <v/>
      </c>
      <c r="V6" s="37" t="n"/>
    </row>
    <row r="7" ht="55.5" customHeight="1">
      <c r="A7" s="29" t="inlineStr">
        <is>
          <t>HOU</t>
        </is>
      </c>
      <c r="B7" s="53" t="n">
        <v>2</v>
      </c>
      <c r="C7" s="45" t="n"/>
      <c r="D7" s="30" t="inlineStr">
        <is>
          <t>DEP.</t>
        </is>
      </c>
      <c r="E7" s="53" t="inlineStr">
        <is>
          <t>71</t>
        </is>
      </c>
      <c r="F7" s="53" t="inlineStr">
        <is>
          <t>81</t>
        </is>
      </c>
      <c r="G7" s="45" t="n"/>
      <c r="H7" s="29" t="inlineStr">
        <is>
          <t>Late C/O</t>
        </is>
      </c>
      <c r="I7" s="38" t="inlineStr">
        <is>
          <t>-</t>
        </is>
      </c>
      <c r="J7" s="38" t="n">
        <v>46773.37</v>
      </c>
      <c r="K7" s="69" t="n">
        <v>29000</v>
      </c>
      <c r="L7" s="30" t="inlineStr">
        <is>
          <t>DEP.</t>
        </is>
      </c>
      <c r="M7" s="36" t="inlineStr">
        <is>
          <t>65</t>
        </is>
      </c>
      <c r="N7" s="36" t="inlineStr">
        <is>
          <t>72</t>
        </is>
      </c>
      <c r="O7" s="36" t="inlineStr">
        <is>
          <t>108</t>
        </is>
      </c>
      <c r="P7" s="36" t="inlineStr">
        <is>
          <t>116</t>
        </is>
      </c>
      <c r="Q7" s="36" t="inlineStr">
        <is>
          <t>82</t>
        </is>
      </c>
      <c r="R7" s="36" t="inlineStr">
        <is>
          <t>96</t>
        </is>
      </c>
      <c r="S7" s="36" t="inlineStr">
        <is>
          <t>114</t>
        </is>
      </c>
      <c r="T7" s="36" t="inlineStr">
        <is>
          <t>132</t>
        </is>
      </c>
      <c r="U7" s="36" t="inlineStr">
        <is>
          <t>61</t>
        </is>
      </c>
      <c r="V7" s="36" t="inlineStr">
        <is>
          <t>68</t>
        </is>
      </c>
    </row>
    <row r="8" ht="55.5" customHeight="1">
      <c r="A8" s="37" t="n"/>
      <c r="B8" s="46" t="n"/>
      <c r="C8" s="48" t="n"/>
      <c r="D8" s="30" t="inlineStr">
        <is>
          <t>AVC</t>
        </is>
      </c>
      <c r="E8" s="88">
        <f>F7-E7</f>
        <v/>
      </c>
      <c r="F8" s="46" t="n"/>
      <c r="G8" s="48" t="n"/>
      <c r="H8" s="37" t="n"/>
      <c r="I8" s="37" t="n"/>
      <c r="J8" s="37" t="n"/>
      <c r="K8" s="37" t="n"/>
      <c r="L8" s="30" t="inlineStr">
        <is>
          <t>AVC</t>
        </is>
      </c>
      <c r="M8" s="88">
        <f>N7-M7</f>
        <v/>
      </c>
      <c r="N8" s="37" t="n"/>
      <c r="O8" s="88">
        <f>P7-O7</f>
        <v/>
      </c>
      <c r="P8" s="37" t="n"/>
      <c r="Q8" s="88">
        <f>R7-Q7</f>
        <v/>
      </c>
      <c r="R8" s="37" t="n"/>
      <c r="S8" s="88">
        <f>T7-S7</f>
        <v/>
      </c>
      <c r="T8" s="37" t="n"/>
      <c r="U8" s="88">
        <f>V7-U7</f>
        <v/>
      </c>
      <c r="V8" s="37" t="n"/>
    </row>
    <row r="9" ht="57" customHeight="1">
      <c r="A9" s="29" t="inlineStr">
        <is>
          <t>No Show</t>
        </is>
      </c>
      <c r="B9" s="53" t="inlineStr">
        <is>
          <t>-</t>
        </is>
      </c>
      <c r="C9" s="45" t="n"/>
      <c r="D9" s="40" t="inlineStr">
        <is>
          <t>RM Occ.</t>
        </is>
      </c>
      <c r="E9" s="53" t="n">
        <v>221</v>
      </c>
      <c r="F9" s="44" t="n"/>
      <c r="G9" s="45" t="n"/>
      <c r="H9" s="29" t="inlineStr">
        <is>
          <t>Excursion
Comm. target</t>
        </is>
      </c>
      <c r="I9" s="42" t="n">
        <v>1267</v>
      </c>
      <c r="J9" s="42" t="n">
        <v>65214</v>
      </c>
      <c r="K9" s="69" t="n">
        <v>160368</v>
      </c>
      <c r="L9" s="40" t="inlineStr">
        <is>
          <t>RM Occ.</t>
        </is>
      </c>
      <c r="M9" s="36" t="n">
        <v>281</v>
      </c>
      <c r="N9" s="45" t="n"/>
      <c r="O9" s="36" t="n">
        <v>235</v>
      </c>
      <c r="P9" s="45" t="n"/>
      <c r="Q9" s="36" t="n">
        <v>295</v>
      </c>
      <c r="R9" s="45" t="n"/>
      <c r="S9" s="36" t="n">
        <v>220</v>
      </c>
      <c r="T9" s="45" t="n"/>
      <c r="U9" s="36" t="n">
        <v>228</v>
      </c>
      <c r="V9" s="45" t="n"/>
    </row>
    <row r="10" ht="57" customHeight="1">
      <c r="A10" s="37" t="n"/>
      <c r="B10" s="46" t="n"/>
      <c r="C10" s="48" t="n"/>
      <c r="D10" s="37" t="n"/>
      <c r="E10" s="46" t="n"/>
      <c r="F10" s="47" t="n"/>
      <c r="G10" s="48" t="n"/>
      <c r="H10" s="41" t="n"/>
      <c r="I10" s="41" t="n"/>
      <c r="J10" s="41" t="n"/>
      <c r="K10" s="41" t="n"/>
      <c r="L10" s="37" t="n"/>
      <c r="M10" s="46" t="n"/>
      <c r="N10" s="48" t="n"/>
      <c r="O10" s="46" t="n"/>
      <c r="P10" s="48" t="n"/>
      <c r="Q10" s="46" t="n"/>
      <c r="R10" s="48" t="n"/>
      <c r="S10" s="46" t="n"/>
      <c r="T10" s="48" t="n"/>
      <c r="U10" s="46" t="n"/>
      <c r="V10" s="48" t="n"/>
    </row>
    <row r="11" ht="105" customHeight="1">
      <c r="A11" s="29" t="inlineStr">
        <is>
          <t>ADR</t>
        </is>
      </c>
      <c r="B11" s="89" t="n">
        <v>3595.79</v>
      </c>
      <c r="C11" s="24" t="n"/>
      <c r="D11" s="56" t="inlineStr">
        <is>
          <t>Occ %</t>
        </is>
      </c>
      <c r="E11" s="90" t="n">
        <v>66.06</v>
      </c>
      <c r="F11" s="23" t="n"/>
      <c r="G11" s="24" t="n"/>
      <c r="H11" s="37" t="n"/>
      <c r="I11" s="37" t="n"/>
      <c r="J11" s="37" t="n"/>
      <c r="K11" s="37" t="n"/>
      <c r="L11" s="5" t="inlineStr">
        <is>
          <t>OCC %</t>
        </is>
      </c>
      <c r="M11" s="91" t="n">
        <v>85.84615384615385</v>
      </c>
      <c r="N11" s="24" t="n"/>
      <c r="O11" s="91" t="n">
        <v>71.69230769230769</v>
      </c>
      <c r="P11" s="24" t="n"/>
      <c r="Q11" s="91" t="n">
        <v>90.15384615384615</v>
      </c>
      <c r="R11" s="24" t="n"/>
      <c r="S11" s="91" t="n">
        <v>66.9753086419753</v>
      </c>
      <c r="T11" s="24" t="n"/>
      <c r="U11" s="91" t="n">
        <v>69.53846153846153</v>
      </c>
      <c r="V11" s="24" t="n"/>
    </row>
    <row r="12" ht="55.5" customHeight="1">
      <c r="A12" s="29" t="inlineStr">
        <is>
          <t>Occ%</t>
        </is>
      </c>
      <c r="B12" s="92" t="n">
        <v>71.53</v>
      </c>
      <c r="C12" s="45" t="n"/>
      <c r="D12" s="56" t="inlineStr">
        <is>
          <t>Guest In 
House</t>
        </is>
      </c>
      <c r="E12" s="54" t="inlineStr">
        <is>
          <t>432</t>
        </is>
      </c>
      <c r="F12" s="93">
        <f>E12+E13</f>
        <v/>
      </c>
      <c r="G12" s="54" t="inlineStr">
        <is>
          <t>648</t>
        </is>
      </c>
      <c r="H12" s="29" t="inlineStr">
        <is>
          <t>Gallery</t>
        </is>
      </c>
      <c r="I12" s="84" t="n">
        <v>3928.97</v>
      </c>
      <c r="J12" s="38" t="n">
        <v>70219.72</v>
      </c>
      <c r="K12" s="83" t="n">
        <v>180414</v>
      </c>
      <c r="L12" s="63" t="inlineStr">
        <is>
          <t>Guest In 
House</t>
        </is>
      </c>
      <c r="M12" s="36" t="inlineStr">
        <is>
          <t>780</t>
        </is>
      </c>
      <c r="N12" s="45" t="n"/>
      <c r="O12" s="36" t="inlineStr">
        <is>
          <t>693</t>
        </is>
      </c>
      <c r="P12" s="45" t="n"/>
      <c r="Q12" s="36" t="inlineStr">
        <is>
          <t>797</t>
        </is>
      </c>
      <c r="R12" s="45" t="n"/>
      <c r="S12" s="36" t="inlineStr">
        <is>
          <t>632</t>
        </is>
      </c>
      <c r="T12" s="45" t="n"/>
      <c r="U12" s="36" t="inlineStr">
        <is>
          <t>615</t>
        </is>
      </c>
      <c r="V12" s="45" t="n"/>
    </row>
    <row r="13" ht="55.5" customHeight="1">
      <c r="A13" s="37" t="n"/>
      <c r="B13" s="46" t="n"/>
      <c r="C13" s="48" t="n"/>
      <c r="D13" s="37" t="n"/>
      <c r="E13" s="54" t="inlineStr">
        <is>
          <t>131</t>
        </is>
      </c>
      <c r="F13" s="37" t="n"/>
      <c r="G13" s="37" t="n"/>
      <c r="H13" s="37" t="n"/>
      <c r="I13" s="41" t="n"/>
      <c r="J13" s="37" t="n"/>
      <c r="K13" s="41" t="n"/>
      <c r="L13" s="64" t="n"/>
      <c r="M13" s="46" t="n"/>
      <c r="N13" s="48" t="n"/>
      <c r="O13" s="46" t="n"/>
      <c r="P13" s="48" t="n"/>
      <c r="Q13" s="46" t="n"/>
      <c r="R13" s="48" t="n"/>
      <c r="S13" s="46" t="n"/>
      <c r="T13" s="48" t="n"/>
      <c r="U13" s="46" t="n"/>
      <c r="V13" s="48" t="n"/>
    </row>
    <row r="14" ht="99" customFormat="1" customHeight="1" s="2">
      <c r="A14" s="94" t="inlineStr">
        <is>
          <t>VIP ARRIVAL</t>
        </is>
      </c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5" t="n"/>
    </row>
    <row r="15" ht="96" customHeight="1">
      <c r="A15" s="49" t="inlineStr">
        <is>
          <t xml:space="preserve"> Name</t>
        </is>
      </c>
      <c r="B15" s="24" t="n"/>
      <c r="C15" s="49" t="inlineStr">
        <is>
          <t>Country</t>
        </is>
      </c>
      <c r="D15" s="49" t="inlineStr">
        <is>
          <t>Room No.</t>
        </is>
      </c>
      <c r="E15" s="24" t="n"/>
      <c r="F15" s="49" t="inlineStr">
        <is>
          <t>VIP</t>
        </is>
      </c>
      <c r="G15" s="24" t="n"/>
      <c r="H15" s="49" t="inlineStr">
        <is>
          <t>Pax</t>
        </is>
      </c>
      <c r="I15" s="49" t="inlineStr">
        <is>
          <t xml:space="preserve">ARR </t>
        </is>
      </c>
      <c r="J15" s="6" t="inlineStr">
        <is>
          <t xml:space="preserve">DEP </t>
        </is>
      </c>
      <c r="K15" s="6" t="inlineStr">
        <is>
          <t>Flight</t>
        </is>
      </c>
      <c r="L15" s="49" t="inlineStr">
        <is>
          <t>ETA</t>
        </is>
      </c>
      <c r="M15" s="24" t="n"/>
      <c r="N15" s="49" t="inlineStr">
        <is>
          <t>TRSF</t>
        </is>
      </c>
      <c r="O15" s="24" t="n"/>
      <c r="P15" s="49" t="inlineStr">
        <is>
          <t>Remark</t>
        </is>
      </c>
      <c r="Q15" s="23" t="n"/>
      <c r="R15" s="23" t="n"/>
      <c r="S15" s="23" t="n"/>
      <c r="T15" s="23" t="n"/>
      <c r="U15" s="23" t="n"/>
      <c r="V15" s="24" t="n"/>
    </row>
    <row r="16" ht="114" customHeight="1">
      <c r="A16" s="95" t="inlineStr">
        <is>
          <t>Mr. Udi Barzelay</t>
        </is>
      </c>
      <c r="B16" s="24" t="n"/>
      <c r="C16" s="7" t="inlineStr">
        <is>
          <t>-</t>
        </is>
      </c>
      <c r="D16" s="39" t="inlineStr">
        <is>
          <t>0009</t>
        </is>
      </c>
      <c r="E16" s="24" t="n"/>
      <c r="F16" s="39" t="inlineStr">
        <is>
          <t>-</t>
        </is>
      </c>
      <c r="G16" s="24" t="n"/>
      <c r="H16" s="8" t="inlineStr">
        <is>
          <t>3+2</t>
        </is>
      </c>
      <c r="I16" s="9" t="inlineStr">
        <is>
          <t>25/07/26</t>
        </is>
      </c>
      <c r="J16" s="9" t="inlineStr">
        <is>
          <t>27/07/26</t>
        </is>
      </c>
      <c r="K16" s="8" t="inlineStr">
        <is>
          <t>-</t>
        </is>
      </c>
      <c r="L16" s="52" t="inlineStr">
        <is>
          <t>12.00</t>
        </is>
      </c>
      <c r="M16" s="24" t="n"/>
      <c r="N16" s="53" t="inlineStr">
        <is>
          <t>OWN</t>
        </is>
      </c>
      <c r="O16" s="24" t="n"/>
      <c r="P16" s="62" t="inlineStr">
        <is>
          <t>PAID RB/3A2C THB 15,050.00+++(25-26/07/26) per night
- 2 kids (age TBA)
Direct booking benefit
• 20% savings on dining (excluding In-Room Dining, minibar &amp; alcoholic beverages) 
• 20% savings on spa treatment at Avani Spa (excluding Coco Breeze Salas)
• 20% savings on laundry service</t>
        </is>
      </c>
      <c r="Q16" s="23" t="n"/>
      <c r="R16" s="23" t="n"/>
      <c r="S16" s="23" t="n"/>
      <c r="T16" s="23" t="n"/>
      <c r="U16" s="23" t="n"/>
      <c r="V16" s="24" t="n"/>
    </row>
    <row r="17" ht="114" customHeight="1">
      <c r="A17" s="95" t="inlineStr">
        <is>
          <t>Mr. Laurenca David Burgess</t>
        </is>
      </c>
      <c r="B17" s="24" t="n"/>
      <c r="C17" s="7" t="inlineStr">
        <is>
          <t>-</t>
        </is>
      </c>
      <c r="D17" s="39" t="inlineStr">
        <is>
          <t>0019</t>
        </is>
      </c>
      <c r="E17" s="24" t="n"/>
      <c r="F17" s="39" t="inlineStr">
        <is>
          <t>VIPS
SILVER</t>
        </is>
      </c>
      <c r="G17" s="24" t="n"/>
      <c r="H17" s="8" t="inlineStr">
        <is>
          <t>4</t>
        </is>
      </c>
      <c r="I17" s="9" t="inlineStr">
        <is>
          <t>25/07/26</t>
        </is>
      </c>
      <c r="J17" s="9" t="inlineStr">
        <is>
          <t>01/08/26</t>
        </is>
      </c>
      <c r="K17" s="8" t="inlineStr">
        <is>
          <t>-</t>
        </is>
      </c>
      <c r="L17" s="52" t="inlineStr">
        <is>
          <t>15.00</t>
        </is>
      </c>
      <c r="M17" s="24" t="n"/>
      <c r="N17" s="53" t="inlineStr">
        <is>
          <t>OWN</t>
        </is>
      </c>
      <c r="O17" s="24" t="n"/>
      <c r="P17" s="62" t="inlineStr">
        <is>
          <t>RB4A Paid 63,0000 2U1XKT SPC rate 10%  Disc offer for inhouse extend stay FOC Upgrade to 2U2XKT due to fully booked 
** 20% FB, SPA</t>
        </is>
      </c>
      <c r="Q17" s="23" t="n"/>
      <c r="R17" s="23" t="n"/>
      <c r="S17" s="23" t="n"/>
      <c r="T17" s="23" t="n"/>
      <c r="U17" s="23" t="n"/>
      <c r="V17" s="24" t="n"/>
    </row>
    <row r="18" ht="114" customHeight="1">
      <c r="A18" s="95" t="inlineStr">
        <is>
          <t>Ms. Taniga Kanwatjana</t>
        </is>
      </c>
      <c r="B18" s="24" t="n"/>
      <c r="C18" s="7" t="inlineStr">
        <is>
          <t>-</t>
        </is>
      </c>
      <c r="D18" s="39" t="inlineStr">
        <is>
          <t>0020</t>
        </is>
      </c>
      <c r="E18" s="24" t="n"/>
      <c r="F18" s="39" t="inlineStr">
        <is>
          <t>VIPG
SILVER</t>
        </is>
      </c>
      <c r="G18" s="24" t="n"/>
      <c r="H18" s="8" t="inlineStr">
        <is>
          <t>6+1</t>
        </is>
      </c>
      <c r="I18" s="9" t="inlineStr">
        <is>
          <t>25/07/26</t>
        </is>
      </c>
      <c r="J18" s="9" t="inlineStr">
        <is>
          <t>26/07/26</t>
        </is>
      </c>
      <c r="K18" s="8" t="inlineStr">
        <is>
          <t>-</t>
        </is>
      </c>
      <c r="L18" s="52" t="inlineStr">
        <is>
          <t>15.00</t>
        </is>
      </c>
      <c r="M18" s="24" t="n"/>
      <c r="N18" s="53" t="inlineStr">
        <is>
          <t>OWN</t>
        </is>
      </c>
      <c r="O18" s="24" t="n"/>
      <c r="P18" s="62" t="inlineStr">
        <is>
          <t>PAID (PG) RB/6A THB 21,600+++ per night + 1 x CBF at THB 375 net per child per night
- CHD (Ages 8)
- Line name: Ning&amp;Tan&amp;Khun
- Repeat guest - last stay: 11/08/25
BOOK DIRECT BENEFITS:
Stays of 1-4 nights
• 20% savings on dining (excluding In-Room Dining, minibar &amp; alcoholic beverages)
• 20% savings on spa treatment at AvaniSpa (excluding Coco Breeze Salas)
• 20% savings on laundry service</t>
        </is>
      </c>
      <c r="Q18" s="23" t="n"/>
      <c r="R18" s="23" t="n"/>
      <c r="S18" s="23" t="n"/>
      <c r="T18" s="23" t="n"/>
      <c r="U18" s="23" t="n"/>
      <c r="V18" s="24" t="n"/>
    </row>
    <row r="19" ht="114" customHeight="1">
      <c r="A19" s="95" t="inlineStr">
        <is>
          <t>Mr. Krit Rakmai</t>
        </is>
      </c>
      <c r="B19" s="24" t="n"/>
      <c r="C19" s="7" t="inlineStr">
        <is>
          <t>-</t>
        </is>
      </c>
      <c r="D19" s="39" t="inlineStr">
        <is>
          <t>0024</t>
        </is>
      </c>
      <c r="E19" s="24" t="n"/>
      <c r="F19" s="39" t="inlineStr">
        <is>
          <t>-</t>
        </is>
      </c>
      <c r="G19" s="24" t="n"/>
      <c r="H19" s="8" t="inlineStr">
        <is>
          <t>2+4</t>
        </is>
      </c>
      <c r="I19" s="9" t="inlineStr">
        <is>
          <t>25/07/26</t>
        </is>
      </c>
      <c r="J19" s="9" t="inlineStr">
        <is>
          <t>27/07/26</t>
        </is>
      </c>
      <c r="K19" s="8" t="inlineStr">
        <is>
          <t>-</t>
        </is>
      </c>
      <c r="L19" s="52" t="inlineStr">
        <is>
          <t>15.00</t>
        </is>
      </c>
      <c r="M19" s="24" t="n"/>
      <c r="N19" s="53" t="inlineStr">
        <is>
          <t>OWN</t>
        </is>
      </c>
      <c r="O19" s="24" t="n"/>
      <c r="P19" s="62" t="inlineStr">
        <is>
          <t>PAID(PG) RB/2A2C THB 7,500 net per night + 1 x CBF THB 375 net per night + GTD UPG to 2U3XKT THB 4,500 net per night (THB 24,750 net)
Offer GTD UPG to 2U3XKT  THB 4,500 net/night by Call/ Duangkaeo (RES13)  21.07.26
- 3 CHD (4,4,5 yrs.)
- FOC 1 CHD 1 yr.
STAY &amp; BENEFITS 
-Accommodation
-Daily breakfast for 4 persons
-20% off dining
-20% off selected treatments at AvaniSpa
-Proof of Thai residency must be presented at check-in
-THB 500 resort credit per room for every night of your stay**FO Cost allocation to 81108**</t>
        </is>
      </c>
      <c r="Q19" s="23" t="n"/>
      <c r="R19" s="23" t="n"/>
      <c r="S19" s="23" t="n"/>
      <c r="T19" s="23" t="n"/>
      <c r="U19" s="23" t="n"/>
      <c r="V19" s="24" t="n"/>
    </row>
    <row r="20" ht="114" customHeight="1">
      <c r="A20" s="95" t="inlineStr">
        <is>
          <t>Mr. Mark Ian Jones</t>
        </is>
      </c>
      <c r="B20" s="24" t="n"/>
      <c r="C20" s="7" t="inlineStr">
        <is>
          <t>-</t>
        </is>
      </c>
      <c r="D20" s="39" t="inlineStr">
        <is>
          <t>0027</t>
        </is>
      </c>
      <c r="E20" s="24" t="n"/>
      <c r="F20" s="39" t="inlineStr">
        <is>
          <t>VIPG
SILVER</t>
        </is>
      </c>
      <c r="G20" s="24" t="n"/>
      <c r="H20" s="8" t="inlineStr">
        <is>
          <t>3+3</t>
        </is>
      </c>
      <c r="I20" s="9" t="inlineStr">
        <is>
          <t>25/07/26</t>
        </is>
      </c>
      <c r="J20" s="9" t="inlineStr">
        <is>
          <t>29/07/26</t>
        </is>
      </c>
      <c r="K20" s="8" t="inlineStr">
        <is>
          <t>-</t>
        </is>
      </c>
      <c r="L20" s="52" t="inlineStr">
        <is>
          <t>15.00</t>
        </is>
      </c>
      <c r="M20" s="24" t="n"/>
      <c r="N20" s="53" t="inlineStr">
        <is>
          <t>OWN</t>
        </is>
      </c>
      <c r="O20" s="24" t="n"/>
      <c r="P20" s="62" t="inlineStr">
        <is>
          <t>POA RB/3A+3C THB 7,160.91+++per night (THB 8500 net per night) // Pls collect payment upon arrival total 34,000 net 
- 2 CHD age 9,7 Yrs old   
- FOC 1 Infants  
- Guaruntee upgrade to Two Bedroom Family Pool Suite
- Rate Offer by Khun Pattiya Klinchaem/  Cluster Director of Revenue  
- Guest are frind of Khun Ian - Executive Chef Anantara mai khao</t>
        </is>
      </c>
      <c r="Q20" s="23" t="n"/>
      <c r="R20" s="23" t="n"/>
      <c r="S20" s="23" t="n"/>
      <c r="T20" s="23" t="n"/>
      <c r="U20" s="23" t="n"/>
      <c r="V20" s="24" t="n"/>
    </row>
    <row r="21" ht="114" customHeight="1">
      <c r="A21" s="95" t="inlineStr">
        <is>
          <t>Mr. Sahachart Atichosakun</t>
        </is>
      </c>
      <c r="B21" s="24" t="n"/>
      <c r="C21" s="7" t="inlineStr">
        <is>
          <t>-</t>
        </is>
      </c>
      <c r="D21" s="39" t="inlineStr">
        <is>
          <t>0028
MI Squared</t>
        </is>
      </c>
      <c r="E21" s="24" t="n"/>
      <c r="F21" s="39" t="inlineStr">
        <is>
          <t>-</t>
        </is>
      </c>
      <c r="G21" s="24" t="n"/>
      <c r="H21" s="8" t="inlineStr">
        <is>
          <t>3</t>
        </is>
      </c>
      <c r="I21" s="9" t="inlineStr">
        <is>
          <t>25/07/26</t>
        </is>
      </c>
      <c r="J21" s="9" t="inlineStr">
        <is>
          <t>28/07/26</t>
        </is>
      </c>
      <c r="K21" s="8" t="inlineStr">
        <is>
          <t>-</t>
        </is>
      </c>
      <c r="L21" s="52" t="inlineStr">
        <is>
          <t>15.00</t>
        </is>
      </c>
      <c r="M21" s="24" t="n"/>
      <c r="N21" s="53" t="inlineStr">
        <is>
          <t>OWN</t>
        </is>
      </c>
      <c r="O21" s="24" t="n"/>
      <c r="P21" s="62" t="inlineStr">
        <is>
          <t>CTC RO/3A + 3 x ABF at THB 570 net/pax/nt **Billing to MI Squared Limited**</t>
        </is>
      </c>
      <c r="Q21" s="23" t="n"/>
      <c r="R21" s="23" t="n"/>
      <c r="S21" s="23" t="n"/>
      <c r="T21" s="23" t="n"/>
      <c r="U21" s="23" t="n"/>
      <c r="V21" s="24" t="n"/>
    </row>
    <row r="22" ht="114" customHeight="1">
      <c r="A22" s="95" t="inlineStr">
        <is>
          <t>Mr. Johannes Steckel</t>
        </is>
      </c>
      <c r="B22" s="24" t="n"/>
      <c r="C22" s="7" t="inlineStr">
        <is>
          <t>-</t>
        </is>
      </c>
      <c r="D22" s="39" t="inlineStr">
        <is>
          <t>0035</t>
        </is>
      </c>
      <c r="E22" s="24" t="n"/>
      <c r="F22" s="39" t="inlineStr">
        <is>
          <t>-</t>
        </is>
      </c>
      <c r="G22" s="24" t="n"/>
      <c r="H22" s="8" t="inlineStr">
        <is>
          <t>3+2</t>
        </is>
      </c>
      <c r="I22" s="9" t="inlineStr">
        <is>
          <t>25/07/26</t>
        </is>
      </c>
      <c r="J22" s="9" t="inlineStr">
        <is>
          <t>31/07/26</t>
        </is>
      </c>
      <c r="K22" s="8" t="inlineStr">
        <is>
          <t>-</t>
        </is>
      </c>
      <c r="L22" s="52" t="inlineStr">
        <is>
          <t>15.00</t>
        </is>
      </c>
      <c r="M22" s="24" t="n"/>
      <c r="N22" s="53" t="inlineStr">
        <is>
          <t>OWN</t>
        </is>
      </c>
      <c r="O22" s="24" t="n"/>
      <c r="P22" s="62" t="inlineStr">
        <is>
          <t>POA RB/3A2C THB12,000 net per night**Settle payment upon arrival***
-2C age TBA
-in case no show charge to master account</t>
        </is>
      </c>
      <c r="Q22" s="23" t="n"/>
      <c r="R22" s="23" t="n"/>
      <c r="S22" s="23" t="n"/>
      <c r="T22" s="23" t="n"/>
      <c r="U22" s="23" t="n"/>
      <c r="V22" s="24" t="n"/>
    </row>
    <row r="23" ht="114" customHeight="1">
      <c r="A23" s="95" t="inlineStr">
        <is>
          <t>Mr. Ben Mason</t>
        </is>
      </c>
      <c r="B23" s="24" t="n"/>
      <c r="C23" s="7" t="inlineStr">
        <is>
          <t>-</t>
        </is>
      </c>
      <c r="D23" s="39" t="inlineStr">
        <is>
          <t>0038
Booking.com</t>
        </is>
      </c>
      <c r="E23" s="24" t="n"/>
      <c r="F23" s="39" t="inlineStr">
        <is>
          <t>-</t>
        </is>
      </c>
      <c r="G23" s="24" t="n"/>
      <c r="H23" s="8" t="inlineStr">
        <is>
          <t>2+2</t>
        </is>
      </c>
      <c r="I23" s="9" t="inlineStr">
        <is>
          <t>25/07/26</t>
        </is>
      </c>
      <c r="J23" s="9" t="inlineStr">
        <is>
          <t>27/07/26</t>
        </is>
      </c>
      <c r="K23" s="8" t="inlineStr">
        <is>
          <t>-</t>
        </is>
      </c>
      <c r="L23" s="52" t="inlineStr">
        <is>
          <t>15.00</t>
        </is>
      </c>
      <c r="M23" s="24" t="n"/>
      <c r="N23" s="53" t="inlineStr">
        <is>
          <t>OWN</t>
        </is>
      </c>
      <c r="O23" s="24" t="n"/>
      <c r="P23" s="62" t="inlineStr">
        <is>
          <t>COA (see trace) RB/2A2C THB 19,297.72+++ per night
-18% comm kickback THB 8,176.83 net
-Chd age 5 and 8 yrs old</t>
        </is>
      </c>
      <c r="Q23" s="23" t="n"/>
      <c r="R23" s="23" t="n"/>
      <c r="S23" s="23" t="n"/>
      <c r="T23" s="23" t="n"/>
      <c r="U23" s="23" t="n"/>
      <c r="V23" s="24" t="n"/>
    </row>
    <row r="24" ht="114" customHeight="1">
      <c r="A24" s="95" t="inlineStr">
        <is>
          <t>Mr. Gabriel Marian Marian</t>
        </is>
      </c>
      <c r="B24" s="24" t="n"/>
      <c r="C24" s="7" t="inlineStr">
        <is>
          <t>-</t>
        </is>
      </c>
      <c r="D24" s="39" t="inlineStr">
        <is>
          <t>0049</t>
        </is>
      </c>
      <c r="E24" s="24" t="n"/>
      <c r="F24" s="39" t="inlineStr">
        <is>
          <t>-</t>
        </is>
      </c>
      <c r="G24" s="24" t="n"/>
      <c r="H24" s="8" t="inlineStr">
        <is>
          <t>4</t>
        </is>
      </c>
      <c r="I24" s="9" t="inlineStr">
        <is>
          <t>25/07/26</t>
        </is>
      </c>
      <c r="J24" s="9" t="inlineStr">
        <is>
          <t>26/07/26</t>
        </is>
      </c>
      <c r="K24" s="8" t="inlineStr">
        <is>
          <t>-</t>
        </is>
      </c>
      <c r="L24" s="52" t="inlineStr">
        <is>
          <t>11.35</t>
        </is>
      </c>
      <c r="M24" s="24" t="n"/>
      <c r="N24" s="53" t="inlineStr">
        <is>
          <t>OWN</t>
        </is>
      </c>
      <c r="O24" s="24" t="n"/>
      <c r="P24" s="62" t="inlineStr">
        <is>
          <t>PAID (PG) RB/4A THB 13,479+++per night (total THB 16,000 net)
POA APT TRSF THB 5,600 net per van per way by Toyota Ventury 
Consecutive booking (pls assign same room)
-on 25-26/07/26 with #850011371
-on 26/07-05/08/26 with #846787639
BOOK DIRECT BENEFITS:
Stays of 1-4 nights
• 20% savings on dining (excluding In-Room Dining, minibar &amp; alcoholic beverages)
• 20% savings on spa treatment at AvaniSpa (excluding Coco Breeze Salas)
• 20% savings on laundry service</t>
        </is>
      </c>
      <c r="Q24" s="23" t="n"/>
      <c r="R24" s="23" t="n"/>
      <c r="S24" s="23" t="n"/>
      <c r="T24" s="23" t="n"/>
      <c r="U24" s="23" t="n"/>
      <c r="V24" s="24" t="n"/>
    </row>
    <row r="25" ht="114" customHeight="1">
      <c r="A25" s="95" t="inlineStr">
        <is>
          <t>Mrs. Clare-Marie Umit</t>
        </is>
      </c>
      <c r="B25" s="24" t="n"/>
      <c r="C25" s="7" t="inlineStr">
        <is>
          <t>-</t>
        </is>
      </c>
      <c r="D25" s="39" t="inlineStr">
        <is>
          <t>0054</t>
        </is>
      </c>
      <c r="E25" s="24" t="n"/>
      <c r="F25" s="39" t="inlineStr">
        <is>
          <t>VIPG
SILVER</t>
        </is>
      </c>
      <c r="G25" s="24" t="n"/>
      <c r="H25" s="8" t="inlineStr">
        <is>
          <t>3+1</t>
        </is>
      </c>
      <c r="I25" s="9" t="inlineStr">
        <is>
          <t>25/07/26</t>
        </is>
      </c>
      <c r="J25" s="9" t="inlineStr">
        <is>
          <t>28/07/26</t>
        </is>
      </c>
      <c r="K25" s="8" t="inlineStr">
        <is>
          <t>-</t>
        </is>
      </c>
      <c r="L25" s="52" t="inlineStr">
        <is>
          <t>12.10</t>
        </is>
      </c>
      <c r="M25" s="24" t="n"/>
      <c r="N25" s="53" t="inlineStr">
        <is>
          <t>OWN</t>
        </is>
      </c>
      <c r="O25" s="24" t="n"/>
      <c r="P25" s="62" t="inlineStr">
        <is>
          <t>PAID(PG) RB/3A1C THB 9,849.60+++ per night
POA Airport TRSF THB 2,700 net per van per way**settle upon arrival**
-1 CHD: 11 yrs.old
ABOUT YOUR BOOK DIRECT BENEFITS:
Stays of 1-4 nights
•  20% savings on spa treatment at AvaniSpa 
•  20% savings on dining (excluding In-Room Dining, minibar &amp; alcoholic beverages) 
•  20% savings on laundry service</t>
        </is>
      </c>
      <c r="Q25" s="23" t="n"/>
      <c r="R25" s="23" t="n"/>
      <c r="S25" s="23" t="n"/>
      <c r="T25" s="23" t="n"/>
      <c r="U25" s="23" t="n"/>
      <c r="V25" s="24" t="n"/>
    </row>
    <row r="26" ht="114" customHeight="1">
      <c r="A26" s="95" t="inlineStr">
        <is>
          <t>Mr. Rongrong Zou</t>
        </is>
      </c>
      <c r="B26" s="24" t="n"/>
      <c r="C26" s="7" t="inlineStr">
        <is>
          <t>-</t>
        </is>
      </c>
      <c r="D26" s="39" t="inlineStr">
        <is>
          <t>0062</t>
        </is>
      </c>
      <c r="E26" s="24" t="n"/>
      <c r="F26" s="39" t="inlineStr">
        <is>
          <t>VIPO
DIAMOND</t>
        </is>
      </c>
      <c r="G26" s="24" t="n"/>
      <c r="H26" s="8" t="inlineStr">
        <is>
          <t>2</t>
        </is>
      </c>
      <c r="I26" s="9" t="inlineStr">
        <is>
          <t>25/07/26</t>
        </is>
      </c>
      <c r="J26" s="9" t="inlineStr">
        <is>
          <t>26/07/26</t>
        </is>
      </c>
      <c r="K26" s="8" t="inlineStr">
        <is>
          <t>-</t>
        </is>
      </c>
      <c r="L26" s="52" t="inlineStr">
        <is>
          <t>15.00</t>
        </is>
      </c>
      <c r="M26" s="24" t="n"/>
      <c r="N26" s="53" t="inlineStr">
        <is>
          <t>OWN</t>
        </is>
      </c>
      <c r="O26" s="24" t="n"/>
      <c r="P26" s="62" t="inlineStr">
        <is>
          <t>CTC RO/2A **Billing to AVC**
- Party 2 rms.
“Diamond” Club Benefits 
- 15% discount F&amp;B (including alcohol) and Spa Treatment (Excluding Products) 
- 15% discount on Best Available Rate on Rental (not Club Point) Bookings (Subject to blackout date) 
- Daily Housekeeping and Room Service - VIP amenities 
- Complimentary Early Check-In 12:00 hrs. (Subject to availability) 
- Complimentary Late Check-Out 14:00 hrs. (Subject to availability) 
- In Room or Fast Track Check-In</t>
        </is>
      </c>
      <c r="Q26" s="23" t="n"/>
      <c r="R26" s="23" t="n"/>
      <c r="S26" s="23" t="n"/>
      <c r="T26" s="23" t="n"/>
      <c r="U26" s="23" t="n"/>
      <c r="V26" s="24" t="n"/>
    </row>
    <row r="27" ht="114" customHeight="1">
      <c r="A27" s="95" t="inlineStr">
        <is>
          <t>Mr. Yosapol Arttachariya</t>
        </is>
      </c>
      <c r="B27" s="24" t="n"/>
      <c r="C27" s="7" t="inlineStr">
        <is>
          <t>-</t>
        </is>
      </c>
      <c r="D27" s="39" t="inlineStr">
        <is>
          <t>0065
MI Squared</t>
        </is>
      </c>
      <c r="E27" s="24" t="n"/>
      <c r="F27" s="39" t="inlineStr">
        <is>
          <t>-</t>
        </is>
      </c>
      <c r="G27" s="24" t="n"/>
      <c r="H27" s="8" t="inlineStr">
        <is>
          <t>2</t>
        </is>
      </c>
      <c r="I27" s="9" t="inlineStr">
        <is>
          <t>25/07/26</t>
        </is>
      </c>
      <c r="J27" s="9" t="inlineStr">
        <is>
          <t>26/07/26</t>
        </is>
      </c>
      <c r="K27" s="8" t="inlineStr">
        <is>
          <t>-</t>
        </is>
      </c>
      <c r="L27" s="52" t="inlineStr">
        <is>
          <t>15.00</t>
        </is>
      </c>
      <c r="M27" s="24" t="n"/>
      <c r="N27" s="53" t="inlineStr">
        <is>
          <t>OWN</t>
        </is>
      </c>
      <c r="O27" s="24" t="n"/>
      <c r="P27" s="62" t="inlineStr">
        <is>
          <t>CTC RO/2A + 2 x ABF @ 570 THB net per nt per pax **Billing to MI Squared Limited**
Consecutive bookings:
1.) 25-26/07/26: DSR025FDVG866
2.) 26-27/07/26: DSR055H9426FW
3.) 27-28/07/26: DSR025H947UU8</t>
        </is>
      </c>
      <c r="Q27" s="23" t="n"/>
      <c r="R27" s="23" t="n"/>
      <c r="S27" s="23" t="n"/>
      <c r="T27" s="23" t="n"/>
      <c r="U27" s="23" t="n"/>
      <c r="V27" s="24" t="n"/>
    </row>
    <row r="28" ht="114" customHeight="1">
      <c r="A28" s="96" t="inlineStr">
        <is>
          <t>Mr. Maintenance Maintenance</t>
        </is>
      </c>
      <c r="B28" s="97" t="n"/>
      <c r="C28" s="98" t="inlineStr">
        <is>
          <t>-</t>
        </is>
      </c>
      <c r="D28" s="99" t="inlineStr">
        <is>
          <t>0067
MI Squared</t>
        </is>
      </c>
      <c r="E28" s="97" t="n"/>
      <c r="F28" s="99" t="inlineStr">
        <is>
          <t>VIPS</t>
        </is>
      </c>
      <c r="G28" s="97" t="n"/>
      <c r="H28" s="99" t="inlineStr">
        <is>
          <t>2</t>
        </is>
      </c>
      <c r="I28" s="100" t="inlineStr">
        <is>
          <t>25/07/26</t>
        </is>
      </c>
      <c r="J28" s="100" t="inlineStr">
        <is>
          <t>01/08/26</t>
        </is>
      </c>
      <c r="K28" s="99" t="inlineStr">
        <is>
          <t>-</t>
        </is>
      </c>
      <c r="L28" s="101" t="inlineStr">
        <is>
          <t>15.00</t>
        </is>
      </c>
      <c r="M28" s="97" t="n"/>
      <c r="N28" s="102" t="inlineStr">
        <is>
          <t>OWN</t>
        </is>
      </c>
      <c r="O28" s="97" t="n"/>
      <c r="P28" s="103" t="inlineStr">
        <is>
          <t>CTC RO/2A + 2 x ABF @ 570 THB net per nt per pax **Billing to MI Squared Limited**</t>
        </is>
      </c>
      <c r="Q28" s="23" t="n"/>
      <c r="R28" s="23" t="n"/>
      <c r="S28" s="23" t="n"/>
      <c r="T28" s="23" t="n"/>
      <c r="U28" s="23" t="n"/>
      <c r="V28" s="24" t="n"/>
    </row>
    <row r="29" ht="114" customHeight="1">
      <c r="A29" s="95" t="inlineStr">
        <is>
          <t>Ms. Nantana Raksiltham</t>
        </is>
      </c>
      <c r="B29" s="24" t="n"/>
      <c r="C29" s="7" t="inlineStr">
        <is>
          <t>-</t>
        </is>
      </c>
      <c r="D29" s="39" t="inlineStr">
        <is>
          <t>0068
MI Squared</t>
        </is>
      </c>
      <c r="E29" s="24" t="n"/>
      <c r="F29" s="39" t="inlineStr">
        <is>
          <t>-</t>
        </is>
      </c>
      <c r="G29" s="24" t="n"/>
      <c r="H29" s="8" t="inlineStr">
        <is>
          <t>4+1</t>
        </is>
      </c>
      <c r="I29" s="9" t="inlineStr">
        <is>
          <t>25/07/26</t>
        </is>
      </c>
      <c r="J29" s="9" t="inlineStr">
        <is>
          <t>28/07/26</t>
        </is>
      </c>
      <c r="K29" s="8" t="inlineStr">
        <is>
          <t>-</t>
        </is>
      </c>
      <c r="L29" s="52" t="inlineStr">
        <is>
          <t>11.00</t>
        </is>
      </c>
      <c r="M29" s="24" t="n"/>
      <c r="N29" s="53" t="inlineStr">
        <is>
          <t>OWN</t>
        </is>
      </c>
      <c r="O29" s="24" t="n"/>
      <c r="P29" s="62" t="inlineStr">
        <is>
          <t>CTC RO/4A1C + 4 x ABF at THB 570 net/pax/nt **Billing to MI Squared Limited**
- 1 child (ages 2): FOC CBF</t>
        </is>
      </c>
      <c r="Q29" s="23" t="n"/>
      <c r="R29" s="23" t="n"/>
      <c r="S29" s="23" t="n"/>
      <c r="T29" s="23" t="n"/>
      <c r="U29" s="23" t="n"/>
      <c r="V29" s="24" t="n"/>
    </row>
    <row r="30" ht="114" customHeight="1">
      <c r="A30" s="95" t="inlineStr">
        <is>
          <t>Ms. Katkaew Kaewthaisong</t>
        </is>
      </c>
      <c r="B30" s="24" t="n"/>
      <c r="C30" s="7" t="inlineStr">
        <is>
          <t>-</t>
        </is>
      </c>
      <c r="D30" s="39" t="inlineStr">
        <is>
          <t>0071
MI Squared</t>
        </is>
      </c>
      <c r="E30" s="24" t="n"/>
      <c r="F30" s="39" t="inlineStr">
        <is>
          <t>-</t>
        </is>
      </c>
      <c r="G30" s="24" t="n"/>
      <c r="H30" s="8" t="inlineStr">
        <is>
          <t>4</t>
        </is>
      </c>
      <c r="I30" s="9" t="inlineStr">
        <is>
          <t>25/07/26</t>
        </is>
      </c>
      <c r="J30" s="9" t="inlineStr">
        <is>
          <t>28/07/26</t>
        </is>
      </c>
      <c r="K30" s="8" t="inlineStr">
        <is>
          <t>-</t>
        </is>
      </c>
      <c r="L30" s="52" t="inlineStr">
        <is>
          <t>15.00</t>
        </is>
      </c>
      <c r="M30" s="24" t="n"/>
      <c r="N30" s="53" t="inlineStr">
        <is>
          <t>OWN</t>
        </is>
      </c>
      <c r="O30" s="24" t="n"/>
      <c r="P30" s="62" t="inlineStr">
        <is>
          <t>CTC RO/4A + 4 x ABF @ 570 THB net per nt per pax **Billing to MI Squared Limited**</t>
        </is>
      </c>
      <c r="Q30" s="23" t="n"/>
      <c r="R30" s="23" t="n"/>
      <c r="S30" s="23" t="n"/>
      <c r="T30" s="23" t="n"/>
      <c r="U30" s="23" t="n"/>
      <c r="V30" s="24" t="n"/>
    </row>
    <row r="31" ht="114" customHeight="1">
      <c r="A31" s="95" t="inlineStr">
        <is>
          <t>Ms. Nattaporn Charoenpak</t>
        </is>
      </c>
      <c r="B31" s="24" t="n"/>
      <c r="C31" s="7" t="inlineStr">
        <is>
          <t>-</t>
        </is>
      </c>
      <c r="D31" s="39" t="inlineStr">
        <is>
          <t>0073</t>
        </is>
      </c>
      <c r="E31" s="24" t="n"/>
      <c r="F31" s="39" t="inlineStr">
        <is>
          <t>VIPO
JADE</t>
        </is>
      </c>
      <c r="G31" s="24" t="n"/>
      <c r="H31" s="8" t="inlineStr">
        <is>
          <t>2</t>
        </is>
      </c>
      <c r="I31" s="9" t="inlineStr">
        <is>
          <t>25/07/26</t>
        </is>
      </c>
      <c r="J31" s="9" t="inlineStr">
        <is>
          <t>27/07/26</t>
        </is>
      </c>
      <c r="K31" s="8" t="inlineStr">
        <is>
          <t>-</t>
        </is>
      </c>
      <c r="L31" s="52" t="inlineStr">
        <is>
          <t>15.00</t>
        </is>
      </c>
      <c r="M31" s="24" t="n"/>
      <c r="N31" s="53" t="inlineStr">
        <is>
          <t>OWN</t>
        </is>
      </c>
      <c r="O31" s="24" t="n"/>
      <c r="P31" s="62" t="inlineStr">
        <is>
          <t>CTC RO/2A1C **Billing to AVC** - 1 CHD is infant  “Jade/Ruby” Club Benefits - 15% discount F&amp;B (including alcohol) and Spa Treatment (Excluding Products) - 15% discount on Best Available Rate on Rental (not Club Point) Bookings (Subject to blackout date) - Daily Housekeeping and Room Service - Welcome drink</t>
        </is>
      </c>
      <c r="Q31" s="23" t="n"/>
      <c r="R31" s="23" t="n"/>
      <c r="S31" s="23" t="n"/>
      <c r="T31" s="23" t="n"/>
      <c r="U31" s="23" t="n"/>
      <c r="V31" s="24" t="n"/>
    </row>
    <row r="32" ht="114" customHeight="1">
      <c r="A32" s="95" t="inlineStr">
        <is>
          <t>Ms. Chompunut Jenpoomjai</t>
        </is>
      </c>
      <c r="B32" s="24" t="n"/>
      <c r="C32" s="7" t="inlineStr">
        <is>
          <t>-</t>
        </is>
      </c>
      <c r="D32" s="39" t="inlineStr">
        <is>
          <t>0075</t>
        </is>
      </c>
      <c r="E32" s="24" t="n"/>
      <c r="F32" s="39" t="inlineStr">
        <is>
          <t>VIPO
DIAMOND</t>
        </is>
      </c>
      <c r="G32" s="24" t="n"/>
      <c r="H32" s="8" t="inlineStr">
        <is>
          <t>5</t>
        </is>
      </c>
      <c r="I32" s="9" t="inlineStr">
        <is>
          <t>25/07/26</t>
        </is>
      </c>
      <c r="J32" s="9" t="inlineStr">
        <is>
          <t>26/07/26</t>
        </is>
      </c>
      <c r="K32" s="8" t="inlineStr">
        <is>
          <t>-</t>
        </is>
      </c>
      <c r="L32" s="52" t="inlineStr">
        <is>
          <t>15.00</t>
        </is>
      </c>
      <c r="M32" s="24" t="n"/>
      <c r="N32" s="53" t="inlineStr">
        <is>
          <t>OWN</t>
        </is>
      </c>
      <c r="O32" s="24" t="n"/>
      <c r="P32" s="62" t="inlineStr">
        <is>
          <t>CTC RO/5A **Billing to AVC**
“Diamond” Club Benefits
- 15% discount F&amp;B (including alcohol) and Spa Treatment (Excluding Products)
- 15% discount on Best Available Rate on Rental (not Club Point) Bookings (Subject to blackout date)
- Daily Housekeeping and Room Service
- VIP amenities
- Complimentary Early Check-In 12:00 hrs. (Subject to availability)
- Complimentary Late Check-Out 14:00 hrs. (Subject to availability)
- In Room or Fast Track Check-In</t>
        </is>
      </c>
      <c r="Q32" s="23" t="n"/>
      <c r="R32" s="23" t="n"/>
      <c r="S32" s="23" t="n"/>
      <c r="T32" s="23" t="n"/>
      <c r="U32" s="23" t="n"/>
      <c r="V32" s="24" t="n"/>
    </row>
    <row r="33" ht="114" customHeight="1">
      <c r="A33" s="95" t="inlineStr">
        <is>
          <t>Mr. Teerawut Eksorakul</t>
        </is>
      </c>
      <c r="B33" s="24" t="n"/>
      <c r="C33" s="7" t="inlineStr">
        <is>
          <t>-</t>
        </is>
      </c>
      <c r="D33" s="39" t="inlineStr">
        <is>
          <t>0076
MI Squared</t>
        </is>
      </c>
      <c r="E33" s="24" t="n"/>
      <c r="F33" s="39" t="inlineStr">
        <is>
          <t>-</t>
        </is>
      </c>
      <c r="G33" s="24" t="n"/>
      <c r="H33" s="8" t="inlineStr">
        <is>
          <t>2+1</t>
        </is>
      </c>
      <c r="I33" s="9" t="inlineStr">
        <is>
          <t>25/07/26</t>
        </is>
      </c>
      <c r="J33" s="9" t="inlineStr">
        <is>
          <t>28/07/26</t>
        </is>
      </c>
      <c r="K33" s="8" t="inlineStr">
        <is>
          <t>-</t>
        </is>
      </c>
      <c r="L33" s="52" t="inlineStr">
        <is>
          <t>13.05</t>
        </is>
      </c>
      <c r="M33" s="24" t="n"/>
      <c r="N33" s="53" t="inlineStr">
        <is>
          <t>OWN</t>
        </is>
      </c>
      <c r="O33" s="24" t="n"/>
      <c r="P33" s="62" t="inlineStr">
        <is>
          <t>CTC RO/2A1C + 2 x ABF @ 570 THB net per nt per pax + 1 CBF at THB 285 net per person **Billing to MI Squared Limited** 
-1 kid (Ages 5)</t>
        </is>
      </c>
      <c r="Q33" s="23" t="n"/>
      <c r="R33" s="23" t="n"/>
      <c r="S33" s="23" t="n"/>
      <c r="T33" s="23" t="n"/>
      <c r="U33" s="23" t="n"/>
      <c r="V33" s="24" t="n"/>
    </row>
    <row r="34" ht="114" customHeight="1">
      <c r="A34" s="95" t="inlineStr">
        <is>
          <t>Mr. Kajornpong Poolsawad</t>
        </is>
      </c>
      <c r="B34" s="24" t="n"/>
      <c r="C34" s="7" t="inlineStr">
        <is>
          <t>-</t>
        </is>
      </c>
      <c r="D34" s="39" t="inlineStr">
        <is>
          <t>0077
MI Squared</t>
        </is>
      </c>
      <c r="E34" s="24" t="n"/>
      <c r="F34" s="39" t="inlineStr">
        <is>
          <t>-</t>
        </is>
      </c>
      <c r="G34" s="24" t="n"/>
      <c r="H34" s="8" t="inlineStr">
        <is>
          <t>4+2</t>
        </is>
      </c>
      <c r="I34" s="9" t="inlineStr">
        <is>
          <t>25/07/26</t>
        </is>
      </c>
      <c r="J34" s="9" t="inlineStr">
        <is>
          <t>28/07/26</t>
        </is>
      </c>
      <c r="K34" s="8" t="inlineStr">
        <is>
          <t>-</t>
        </is>
      </c>
      <c r="L34" s="52" t="inlineStr">
        <is>
          <t>15.00</t>
        </is>
      </c>
      <c r="M34" s="24" t="n"/>
      <c r="N34" s="53" t="inlineStr">
        <is>
          <t>OWN</t>
        </is>
      </c>
      <c r="O34" s="24" t="n"/>
      <c r="P34" s="62" t="inlineStr">
        <is>
          <t>CTC RO/4A2C + 4 x ABF at THB 570 net/pax/nt + 1 x CBF at THB 285 net/child/nt **Billing to MI Squared Limited**
- 2 children (ages 2, 4)
- FOC 1 x CBF (2 Yrs.)</t>
        </is>
      </c>
      <c r="Q34" s="23" t="n"/>
      <c r="R34" s="23" t="n"/>
      <c r="S34" s="23" t="n"/>
      <c r="T34" s="23" t="n"/>
      <c r="U34" s="23" t="n"/>
      <c r="V34" s="24" t="n"/>
    </row>
    <row r="35" ht="114" customHeight="1">
      <c r="A35" s="95" t="inlineStr">
        <is>
          <t>Mr. Sornthep Sodsri</t>
        </is>
      </c>
      <c r="B35" s="24" t="n"/>
      <c r="C35" s="7" t="inlineStr">
        <is>
          <t>-</t>
        </is>
      </c>
      <c r="D35" s="39" t="inlineStr">
        <is>
          <t>1201
Expedia</t>
        </is>
      </c>
      <c r="E35" s="24" t="n"/>
      <c r="F35" s="39" t="inlineStr">
        <is>
          <t>-</t>
        </is>
      </c>
      <c r="G35" s="24" t="n"/>
      <c r="H35" s="8" t="inlineStr">
        <is>
          <t>2</t>
        </is>
      </c>
      <c r="I35" s="9" t="inlineStr">
        <is>
          <t>25/07/26</t>
        </is>
      </c>
      <c r="J35" s="9" t="inlineStr">
        <is>
          <t>26/07/26</t>
        </is>
      </c>
      <c r="K35" s="8" t="inlineStr">
        <is>
          <t>-</t>
        </is>
      </c>
      <c r="L35" s="52" t="inlineStr">
        <is>
          <t>15.00</t>
        </is>
      </c>
      <c r="M35" s="24" t="n"/>
      <c r="N35" s="53" t="inlineStr">
        <is>
          <t>OWN</t>
        </is>
      </c>
      <c r="O35" s="24" t="n"/>
      <c r="P35" s="62" t="inlineStr">
        <is>
          <t>COA (see trace) RB/2A THB 2,732.08+++ per night
-17.5% comm prepaid THB 478.11 net</t>
        </is>
      </c>
      <c r="Q35" s="23" t="n"/>
      <c r="R35" s="23" t="n"/>
      <c r="S35" s="23" t="n"/>
      <c r="T35" s="23" t="n"/>
      <c r="U35" s="23" t="n"/>
      <c r="V35" s="24" t="n"/>
    </row>
    <row r="36" ht="114" customHeight="1">
      <c r="A36" s="95" t="inlineStr">
        <is>
          <t>Ms. Siwaporn Kuhamuk</t>
        </is>
      </c>
      <c r="B36" s="24" t="n"/>
      <c r="C36" s="7" t="inlineStr">
        <is>
          <t>-</t>
        </is>
      </c>
      <c r="D36" s="39" t="inlineStr">
        <is>
          <t>1202</t>
        </is>
      </c>
      <c r="E36" s="24" t="n"/>
      <c r="F36" s="39" t="inlineStr">
        <is>
          <t>VIPG
GOLD</t>
        </is>
      </c>
      <c r="G36" s="24" t="n"/>
      <c r="H36" s="8" t="inlineStr">
        <is>
          <t>2</t>
        </is>
      </c>
      <c r="I36" s="9" t="inlineStr">
        <is>
          <t>25/07/26</t>
        </is>
      </c>
      <c r="J36" s="9" t="inlineStr">
        <is>
          <t>26/07/26</t>
        </is>
      </c>
      <c r="K36" s="8" t="inlineStr">
        <is>
          <t>-</t>
        </is>
      </c>
      <c r="L36" s="52" t="inlineStr">
        <is>
          <t>15.00</t>
        </is>
      </c>
      <c r="M36" s="24" t="n"/>
      <c r="N36" s="53" t="inlineStr">
        <is>
          <t>OWN</t>
        </is>
      </c>
      <c r="O36" s="24" t="n"/>
      <c r="P36" s="62" t="inlineStr">
        <is>
          <t>PAID (Credit from PM Megatix) RB/2A THB 2,500 net per night (Booked from Travel Agency)
***Please assist in screening the guest's QR Code to redeem the voucher
-8.2 % comm prepaid THB 200.60 net
Tiew Thai Deal Includes:
-Accommodation
-Daily Breakfast
-20% savings on food and beverages
-20% savings on selected treatments at Avani Spa</t>
        </is>
      </c>
      <c r="Q36" s="23" t="n"/>
      <c r="R36" s="23" t="n"/>
      <c r="S36" s="23" t="n"/>
      <c r="T36" s="23" t="n"/>
      <c r="U36" s="23" t="n"/>
      <c r="V36" s="24" t="n"/>
    </row>
    <row r="37" ht="114" customHeight="1">
      <c r="A37" s="95" t="inlineStr">
        <is>
          <t>Ms. Kanlayanee Rattanapong</t>
        </is>
      </c>
      <c r="B37" s="24" t="n"/>
      <c r="C37" s="7" t="inlineStr">
        <is>
          <t>-</t>
        </is>
      </c>
      <c r="D37" s="39" t="inlineStr">
        <is>
          <t>1203</t>
        </is>
      </c>
      <c r="E37" s="24" t="n"/>
      <c r="F37" s="39" t="inlineStr">
        <is>
          <t>VIPG
SILVER</t>
        </is>
      </c>
      <c r="G37" s="24" t="n"/>
      <c r="H37" s="8" t="inlineStr">
        <is>
          <t>2</t>
        </is>
      </c>
      <c r="I37" s="9" t="inlineStr">
        <is>
          <t>25/07/26</t>
        </is>
      </c>
      <c r="J37" s="9" t="inlineStr">
        <is>
          <t>26/07/26</t>
        </is>
      </c>
      <c r="K37" s="8" t="inlineStr">
        <is>
          <t>-</t>
        </is>
      </c>
      <c r="L37" s="52" t="inlineStr">
        <is>
          <t>15.00</t>
        </is>
      </c>
      <c r="M37" s="24" t="n"/>
      <c r="N37" s="53" t="inlineStr">
        <is>
          <t>OWN</t>
        </is>
      </c>
      <c r="O37" s="24" t="n"/>
      <c r="P37" s="62" t="inlineStr">
        <is>
          <t>PAID RB/2A THB 2,646+++ per night
- party 3 rooms
Direct Booking benefit
• 20% savings on dining (excluding In-Room Dining, minibar &amp; alcoholic beverages) 
• 20% savings on spa treatment at Avani Spa (excluding Coco Breeze Salas)
• 20% savings on laundry service</t>
        </is>
      </c>
      <c r="Q37" s="23" t="n"/>
      <c r="R37" s="23" t="n"/>
      <c r="S37" s="23" t="n"/>
      <c r="T37" s="23" t="n"/>
      <c r="U37" s="23" t="n"/>
      <c r="V37" s="24" t="n"/>
    </row>
    <row r="38" ht="114" customHeight="1">
      <c r="A38" s="95" t="inlineStr">
        <is>
          <t>Ms. Kanlayanee Rattanapong</t>
        </is>
      </c>
      <c r="B38" s="24" t="n"/>
      <c r="C38" s="7" t="inlineStr">
        <is>
          <t>-</t>
        </is>
      </c>
      <c r="D38" s="39" t="inlineStr">
        <is>
          <t>1204</t>
        </is>
      </c>
      <c r="E38" s="24" t="n"/>
      <c r="F38" s="39" t="inlineStr">
        <is>
          <t>VIPG
SILVER</t>
        </is>
      </c>
      <c r="G38" s="24" t="n"/>
      <c r="H38" s="8" t="inlineStr">
        <is>
          <t>2</t>
        </is>
      </c>
      <c r="I38" s="9" t="inlineStr">
        <is>
          <t>25/07/26</t>
        </is>
      </c>
      <c r="J38" s="9" t="inlineStr">
        <is>
          <t>26/07/26</t>
        </is>
      </c>
      <c r="K38" s="8" t="inlineStr">
        <is>
          <t>-</t>
        </is>
      </c>
      <c r="L38" s="52" t="inlineStr">
        <is>
          <t>15.00</t>
        </is>
      </c>
      <c r="M38" s="24" t="n"/>
      <c r="N38" s="53" t="inlineStr">
        <is>
          <t>OWN</t>
        </is>
      </c>
      <c r="O38" s="24" t="n"/>
      <c r="P38" s="62" t="inlineStr">
        <is>
          <t>PAID (#850845683) RB/2A THB 2,646+++ per night
- Party 3 rooms
Direct Booking benefit
• 20% savings on dining (excluding In-Room Dining, minibar &amp; alcoholic beverages) 
• 20% savings on spa treatment at Avani Spa (excluding Coco Breeze Salas)
• 20% savings on laundry service</t>
        </is>
      </c>
      <c r="Q38" s="23" t="n"/>
      <c r="R38" s="23" t="n"/>
      <c r="S38" s="23" t="n"/>
      <c r="T38" s="23" t="n"/>
      <c r="U38" s="23" t="n"/>
      <c r="V38" s="24" t="n"/>
    </row>
    <row r="39" ht="114" customHeight="1">
      <c r="A39" s="95" t="inlineStr">
        <is>
          <t>Ms. Kanlayanee Rattanapong</t>
        </is>
      </c>
      <c r="B39" s="24" t="n"/>
      <c r="C39" s="7" t="inlineStr">
        <is>
          <t>-</t>
        </is>
      </c>
      <c r="D39" s="39" t="inlineStr">
        <is>
          <t>1205</t>
        </is>
      </c>
      <c r="E39" s="24" t="n"/>
      <c r="F39" s="39" t="inlineStr">
        <is>
          <t>VIPG
SILVER</t>
        </is>
      </c>
      <c r="G39" s="24" t="n"/>
      <c r="H39" s="8" t="inlineStr">
        <is>
          <t>2</t>
        </is>
      </c>
      <c r="I39" s="9" t="inlineStr">
        <is>
          <t>25/07/26</t>
        </is>
      </c>
      <c r="J39" s="9" t="inlineStr">
        <is>
          <t>26/07/26</t>
        </is>
      </c>
      <c r="K39" s="8" t="inlineStr">
        <is>
          <t>-</t>
        </is>
      </c>
      <c r="L39" s="52" t="inlineStr">
        <is>
          <t>15.00</t>
        </is>
      </c>
      <c r="M39" s="24" t="n"/>
      <c r="N39" s="53" t="inlineStr">
        <is>
          <t>OWN</t>
        </is>
      </c>
      <c r="O39" s="24" t="n"/>
      <c r="P39" s="62" t="inlineStr">
        <is>
          <t>PAID (#850845683) RB/2A THB 2,646+++ per night
- Party 3 rooms
Direct Booking benefit
• 20% savings on dining (excluding In-Room Dining, minibar &amp; alcoholic beverages) 
• 20% savings on spa treatment at Avani Spa (excluding Coco Breeze Salas)
• 20% savings on laundry service</t>
        </is>
      </c>
      <c r="Q39" s="23" t="n"/>
      <c r="R39" s="23" t="n"/>
      <c r="S39" s="23" t="n"/>
      <c r="T39" s="23" t="n"/>
      <c r="U39" s="23" t="n"/>
      <c r="V39" s="24" t="n"/>
    </row>
    <row r="40" ht="114" customHeight="1">
      <c r="A40" s="95" t="inlineStr">
        <is>
          <t>Mrs. Margarita Mirsaitova</t>
        </is>
      </c>
      <c r="B40" s="24" t="n"/>
      <c r="C40" s="7" t="inlineStr">
        <is>
          <t>-</t>
        </is>
      </c>
      <c r="D40" s="39" t="inlineStr">
        <is>
          <t>1206</t>
        </is>
      </c>
      <c r="E40" s="24" t="n"/>
      <c r="F40" s="39" t="inlineStr">
        <is>
          <t>VIPG
SILVER</t>
        </is>
      </c>
      <c r="G40" s="24" t="n"/>
      <c r="H40" s="8" t="inlineStr">
        <is>
          <t>2+2</t>
        </is>
      </c>
      <c r="I40" s="9" t="inlineStr">
        <is>
          <t>25/07/26</t>
        </is>
      </c>
      <c r="J40" s="9" t="inlineStr">
        <is>
          <t>26/07/26</t>
        </is>
      </c>
      <c r="K40" s="8" t="inlineStr">
        <is>
          <t>-</t>
        </is>
      </c>
      <c r="L40" s="52" t="inlineStr">
        <is>
          <t>15.00</t>
        </is>
      </c>
      <c r="M40" s="24" t="n"/>
      <c r="N40" s="53" t="inlineStr">
        <is>
          <t>OWN</t>
        </is>
      </c>
      <c r="O40" s="24" t="n"/>
      <c r="P40" s="62" t="inlineStr">
        <is>
          <t>PAID (PG) RB/2A THB 2,500 net per night
POA The 1st child with compulsory EXB at THB 882.75 net/chd/day **COL payment upon arrival**
Comp 1*ABF for 1 chd
-Chd age 7 and 9 yrs old
DISCOVERY – THAILAND RESIDENTS RATE
-Accommodation
-Daily breakfast
-20% off dining
-20% off selected treatments at AvaniSpa
-Proof of Thai residency must be presented at check-in, if not present the best flexible rate will be applied.</t>
        </is>
      </c>
      <c r="Q40" s="23" t="n"/>
      <c r="R40" s="23" t="n"/>
      <c r="S40" s="23" t="n"/>
      <c r="T40" s="23" t="n"/>
      <c r="U40" s="23" t="n"/>
      <c r="V40" s="24" t="n"/>
    </row>
    <row r="41" ht="114" customHeight="1">
      <c r="A41" s="95" t="inlineStr">
        <is>
          <t>Ms. Nattaporn Charoenpak</t>
        </is>
      </c>
      <c r="B41" s="24" t="n"/>
      <c r="C41" s="7" t="inlineStr">
        <is>
          <t>-</t>
        </is>
      </c>
      <c r="D41" s="39" t="inlineStr">
        <is>
          <t>1207</t>
        </is>
      </c>
      <c r="E41" s="24" t="n"/>
      <c r="F41" s="39" t="inlineStr">
        <is>
          <t>VIPG
GOLD</t>
        </is>
      </c>
      <c r="G41" s="24" t="n"/>
      <c r="H41" s="8" t="inlineStr">
        <is>
          <t>2</t>
        </is>
      </c>
      <c r="I41" s="9" t="inlineStr">
        <is>
          <t>25/07/26</t>
        </is>
      </c>
      <c r="J41" s="9" t="inlineStr">
        <is>
          <t>26/07/26</t>
        </is>
      </c>
      <c r="K41" s="8" t="inlineStr">
        <is>
          <t>-</t>
        </is>
      </c>
      <c r="L41" s="52" t="inlineStr">
        <is>
          <t>15.00</t>
        </is>
      </c>
      <c r="M41" s="24" t="n"/>
      <c r="N41" s="53" t="inlineStr">
        <is>
          <t>OWN</t>
        </is>
      </c>
      <c r="O41" s="24" t="n"/>
      <c r="P41" s="62" t="inlineStr">
        <is>
          <t>PAID (PG) RB/2A THB 2,700 net per night    DISCOVERY – THAILAND RESIDENTS RATE - Accommodation  - Daily breakfast  - 20% off dining  - 20% off selected treatments at AvaniSpa  - Proof of Thai residency must be presented at check-in</t>
        </is>
      </c>
      <c r="Q41" s="23" t="n"/>
      <c r="R41" s="23" t="n"/>
      <c r="S41" s="23" t="n"/>
      <c r="T41" s="23" t="n"/>
      <c r="U41" s="23" t="n"/>
      <c r="V41" s="24" t="n"/>
    </row>
    <row r="42" ht="114" customHeight="1">
      <c r="A42" s="95" t="inlineStr">
        <is>
          <t>Ms. Olga Goncharenko</t>
        </is>
      </c>
      <c r="B42" s="24" t="n"/>
      <c r="C42" s="7" t="inlineStr">
        <is>
          <t>-</t>
        </is>
      </c>
      <c r="D42" s="39" t="inlineStr">
        <is>
          <t>1209</t>
        </is>
      </c>
      <c r="E42" s="24" t="n"/>
      <c r="F42" s="39" t="inlineStr">
        <is>
          <t>VIPG
GOLD</t>
        </is>
      </c>
      <c r="G42" s="24" t="n"/>
      <c r="H42" s="8" t="inlineStr">
        <is>
          <t>2</t>
        </is>
      </c>
      <c r="I42" s="9" t="inlineStr">
        <is>
          <t>25/07/26</t>
        </is>
      </c>
      <c r="J42" s="9" t="inlineStr">
        <is>
          <t>26/07/26</t>
        </is>
      </c>
      <c r="K42" s="8" t="inlineStr">
        <is>
          <t>-</t>
        </is>
      </c>
      <c r="L42" s="52" t="inlineStr">
        <is>
          <t>13.00</t>
        </is>
      </c>
      <c r="M42" s="24" t="n"/>
      <c r="N42" s="53" t="inlineStr">
        <is>
          <t>OWN</t>
        </is>
      </c>
      <c r="O42" s="24" t="n"/>
      <c r="P42" s="62" t="inlineStr">
        <is>
          <t>PAID (PG) RB/2A THB 2,500 net per night
-Chek in time about 13:00 if possible
DISCOVERY – THAILAND RESIDENTS RATE
-Accommodation
-Daily breakfast
-20% off dining
-20% off selected treatments at AvaniSpa
-Proof of Thai residency must be presented at check-in, if not present the best flexible rate will be applied.</t>
        </is>
      </c>
      <c r="Q42" s="23" t="n"/>
      <c r="R42" s="23" t="n"/>
      <c r="S42" s="23" t="n"/>
      <c r="T42" s="23" t="n"/>
      <c r="U42" s="23" t="n"/>
      <c r="V42" s="24" t="n"/>
    </row>
    <row r="43" ht="114" customHeight="1">
      <c r="A43" s="95" t="inlineStr">
        <is>
          <t>Mr. Thammasak Masapsomboon</t>
        </is>
      </c>
      <c r="B43" s="24" t="n"/>
      <c r="C43" s="7" t="inlineStr">
        <is>
          <t>-</t>
        </is>
      </c>
      <c r="D43" s="39" t="inlineStr">
        <is>
          <t>1302</t>
        </is>
      </c>
      <c r="E43" s="24" t="n"/>
      <c r="F43" s="39" t="inlineStr">
        <is>
          <t>VIPG
SILVER</t>
        </is>
      </c>
      <c r="G43" s="24" t="n"/>
      <c r="H43" s="8" t="inlineStr">
        <is>
          <t>2+1</t>
        </is>
      </c>
      <c r="I43" s="9" t="inlineStr">
        <is>
          <t>25/07/26</t>
        </is>
      </c>
      <c r="J43" s="9" t="inlineStr">
        <is>
          <t>26/07/26</t>
        </is>
      </c>
      <c r="K43" s="8" t="inlineStr">
        <is>
          <t>-</t>
        </is>
      </c>
      <c r="L43" s="52" t="inlineStr">
        <is>
          <t>15.00</t>
        </is>
      </c>
      <c r="M43" s="24" t="n"/>
      <c r="N43" s="53" t="inlineStr">
        <is>
          <t>OWN</t>
        </is>
      </c>
      <c r="O43" s="24" t="n"/>
      <c r="P43" s="62" t="inlineStr">
        <is>
          <t>PAID (PG) RB/2A THB 2,500 net per night  -15% comm kickback THB 315.92 net  -FOC 1 infant    DISCOVERY – THAILAND RESIDENTS RATE  -Accommodation -Daily breakfast  -20% off dining  -20% off selected treatments at AvaniSpa  -Proof of Thai residency must be presented at check-in</t>
        </is>
      </c>
      <c r="Q43" s="23" t="n"/>
      <c r="R43" s="23" t="n"/>
      <c r="S43" s="23" t="n"/>
      <c r="T43" s="23" t="n"/>
      <c r="U43" s="23" t="n"/>
      <c r="V43" s="24" t="n"/>
    </row>
    <row r="44" ht="114" customHeight="1">
      <c r="A44" s="95" t="inlineStr">
        <is>
          <t>Mrs. Sawadee Yaemkanchoo</t>
        </is>
      </c>
      <c r="B44" s="24" t="n"/>
      <c r="C44" s="7" t="inlineStr">
        <is>
          <t>-</t>
        </is>
      </c>
      <c r="D44" s="39" t="inlineStr">
        <is>
          <t>1304</t>
        </is>
      </c>
      <c r="E44" s="24" t="n"/>
      <c r="F44" s="39" t="inlineStr">
        <is>
          <t>VIPG
SILVER</t>
        </is>
      </c>
      <c r="G44" s="24" t="n"/>
      <c r="H44" s="8" t="inlineStr">
        <is>
          <t>2+1</t>
        </is>
      </c>
      <c r="I44" s="9" t="inlineStr">
        <is>
          <t>25/07/26</t>
        </is>
      </c>
      <c r="J44" s="9" t="inlineStr">
        <is>
          <t>26/07/26</t>
        </is>
      </c>
      <c r="K44" s="8" t="inlineStr">
        <is>
          <t>-</t>
        </is>
      </c>
      <c r="L44" s="52" t="inlineStr">
        <is>
          <t>15.00</t>
        </is>
      </c>
      <c r="M44" s="24" t="n"/>
      <c r="N44" s="53" t="inlineStr">
        <is>
          <t>OWN</t>
        </is>
      </c>
      <c r="O44" s="24" t="n"/>
      <c r="P44" s="62" t="inlineStr">
        <is>
          <t>PAID RB/2A1C THB 2,900 net per night
- CHD (Ages below 3 yrs.)
- Line name: Noodee
- Strongly request quiet room + away from elevator
- INH guest BK#849953724: 20-25/07/26 extend stay same room
STAY &amp; BENEFITS: Bonus Credit Escape
- Daily Breakfast
- THB 500 resort credit per night **FO Cost allocation to 81108**
- No minimum length of stay required
- 20% savings on food and beverages
- 20% savings on selected treatments at AvaniSpa
**Received a THB 500 net Resort Credit via LINE Wallet (Laguna Group special). #Charge to S&amp;M. Please ask the guest present the voucher upon redemption**</t>
        </is>
      </c>
      <c r="Q44" s="23" t="n"/>
      <c r="R44" s="23" t="n"/>
      <c r="S44" s="23" t="n"/>
      <c r="T44" s="23" t="n"/>
      <c r="U44" s="23" t="n"/>
      <c r="V44" s="24" t="n"/>
    </row>
    <row r="45" ht="114" customHeight="1">
      <c r="A45" s="95" t="inlineStr">
        <is>
          <t>Mrs. Jitsopin Khumrak</t>
        </is>
      </c>
      <c r="B45" s="24" t="n"/>
      <c r="C45" s="7" t="inlineStr">
        <is>
          <t>-</t>
        </is>
      </c>
      <c r="D45" s="39" t="inlineStr">
        <is>
          <t>1305</t>
        </is>
      </c>
      <c r="E45" s="24" t="n"/>
      <c r="F45" s="39" t="inlineStr">
        <is>
          <t>-</t>
        </is>
      </c>
      <c r="G45" s="24" t="n"/>
      <c r="H45" s="8" t="inlineStr">
        <is>
          <t>2</t>
        </is>
      </c>
      <c r="I45" s="9" t="inlineStr">
        <is>
          <t>25/07/26</t>
        </is>
      </c>
      <c r="J45" s="9" t="inlineStr">
        <is>
          <t>26/07/26</t>
        </is>
      </c>
      <c r="K45" s="8" t="inlineStr">
        <is>
          <t>-</t>
        </is>
      </c>
      <c r="L45" s="52" t="inlineStr">
        <is>
          <t>15.00</t>
        </is>
      </c>
      <c r="M45" s="24" t="n"/>
      <c r="N45" s="53" t="inlineStr">
        <is>
          <t>OWN</t>
        </is>
      </c>
      <c r="O45" s="24" t="n"/>
      <c r="P45" s="62" t="inlineStr">
        <is>
          <t>PAID RB/2A THB 2,900 net per night 
- Party 5 rms.
STAY &amp; BENEFITS: Bonus Credit Escape
- Daily Breakfast
- THB 500 resort credit per night **FO Cost allocation to 81108**
- No minimum length of stay required
- Purchase your voucher today and choose your stay dates later
- 20% savings on food and beverages
- 20% savings on selected treatments at AvaniSpa</t>
        </is>
      </c>
      <c r="Q45" s="23" t="n"/>
      <c r="R45" s="23" t="n"/>
      <c r="S45" s="23" t="n"/>
      <c r="T45" s="23" t="n"/>
      <c r="U45" s="23" t="n"/>
      <c r="V45" s="24" t="n"/>
    </row>
    <row r="46" ht="114" customHeight="1">
      <c r="A46" s="95" t="inlineStr">
        <is>
          <t>Mrs. Jitsopin Khumrak</t>
        </is>
      </c>
      <c r="B46" s="24" t="n"/>
      <c r="C46" s="7" t="inlineStr">
        <is>
          <t>-</t>
        </is>
      </c>
      <c r="D46" s="39" t="inlineStr">
        <is>
          <t>1306</t>
        </is>
      </c>
      <c r="E46" s="24" t="n"/>
      <c r="F46" s="39" t="inlineStr">
        <is>
          <t>-</t>
        </is>
      </c>
      <c r="G46" s="24" t="n"/>
      <c r="H46" s="8" t="inlineStr">
        <is>
          <t>2+2</t>
        </is>
      </c>
      <c r="I46" s="9" t="inlineStr">
        <is>
          <t>25/07/26</t>
        </is>
      </c>
      <c r="J46" s="9" t="inlineStr">
        <is>
          <t>26/07/26</t>
        </is>
      </c>
      <c r="K46" s="8" t="inlineStr">
        <is>
          <t>-</t>
        </is>
      </c>
      <c r="L46" s="52" t="inlineStr">
        <is>
          <t>15.00</t>
        </is>
      </c>
      <c r="M46" s="24" t="n"/>
      <c r="N46" s="53" t="inlineStr">
        <is>
          <t>OWN</t>
        </is>
      </c>
      <c r="O46" s="24" t="n"/>
      <c r="P46" s="62" t="inlineStr">
        <is>
          <t>PAID (PG) RB/2A THB 2,500 net per night + 1 x CBF at THB 375 net per night 
- 2 CHD (Ages 9,2)
- FOC 1 CHD (Ages 2)
- Party 4 rms.
Hello 365 Days Review – Exclusive Benefits
-Daily breakfast for 2 persons
-Children under 4 stay free (sharing existing bed)
-20% discount on food &amp; beverage (excluding alcohol, in-room dinning and minibar)
-20% discount on treatment at AvaniSpa (excluding ongoing promotions)</t>
        </is>
      </c>
      <c r="Q46" s="23" t="n"/>
      <c r="R46" s="23" t="n"/>
      <c r="S46" s="23" t="n"/>
      <c r="T46" s="23" t="n"/>
      <c r="U46" s="23" t="n"/>
      <c r="V46" s="24" t="n"/>
    </row>
    <row r="47" ht="114" customHeight="1">
      <c r="A47" s="95" t="inlineStr">
        <is>
          <t>Mrs. Jitsopin Khumrak</t>
        </is>
      </c>
      <c r="B47" s="24" t="n"/>
      <c r="C47" s="7" t="inlineStr">
        <is>
          <t>-</t>
        </is>
      </c>
      <c r="D47" s="39" t="inlineStr">
        <is>
          <t>1307</t>
        </is>
      </c>
      <c r="E47" s="24" t="n"/>
      <c r="F47" s="39" t="inlineStr">
        <is>
          <t>-</t>
        </is>
      </c>
      <c r="G47" s="24" t="n"/>
      <c r="H47" s="8" t="inlineStr">
        <is>
          <t>2+2</t>
        </is>
      </c>
      <c r="I47" s="9" t="inlineStr">
        <is>
          <t>25/07/26</t>
        </is>
      </c>
      <c r="J47" s="9" t="inlineStr">
        <is>
          <t>26/07/26</t>
        </is>
      </c>
      <c r="K47" s="8" t="inlineStr">
        <is>
          <t>-</t>
        </is>
      </c>
      <c r="L47" s="52" t="inlineStr">
        <is>
          <t>15.00</t>
        </is>
      </c>
      <c r="M47" s="24" t="n"/>
      <c r="N47" s="53" t="inlineStr">
        <is>
          <t>OWN</t>
        </is>
      </c>
      <c r="O47" s="24" t="n"/>
      <c r="P47" s="62" t="inlineStr">
        <is>
          <t>PAID(PG) RB/2A THB 2,500 net per night + 2 x CBF at THB 375 net per night 
- 2 CHD (5y 5y)
- Party 4 rms.
Hello 365 Days Review – Exclusive Benefits
-Daily breakfast for 2 persons
-Children under 4 stay free (sharing existing bed)
-20% discount on food &amp; beverage (excluding alcohol, in-room dinning and minibar)
-20% discount on treatment at AvaniSpa (excluding ongoing promotions)</t>
        </is>
      </c>
      <c r="Q47" s="23" t="n"/>
      <c r="R47" s="23" t="n"/>
      <c r="S47" s="23" t="n"/>
      <c r="T47" s="23" t="n"/>
      <c r="U47" s="23" t="n"/>
      <c r="V47" s="24" t="n"/>
    </row>
    <row r="48" ht="114" customHeight="1">
      <c r="A48" s="95" t="inlineStr">
        <is>
          <t>Mrs. Jitsopin Khumrak</t>
        </is>
      </c>
      <c r="B48" s="24" t="n"/>
      <c r="C48" s="7" t="inlineStr">
        <is>
          <t>-</t>
        </is>
      </c>
      <c r="D48" s="39" t="inlineStr">
        <is>
          <t>1308</t>
        </is>
      </c>
      <c r="E48" s="24" t="n"/>
      <c r="F48" s="39" t="inlineStr">
        <is>
          <t>-</t>
        </is>
      </c>
      <c r="G48" s="24" t="n"/>
      <c r="H48" s="8" t="inlineStr">
        <is>
          <t>2+2</t>
        </is>
      </c>
      <c r="I48" s="9" t="inlineStr">
        <is>
          <t>25/07/26</t>
        </is>
      </c>
      <c r="J48" s="9" t="inlineStr">
        <is>
          <t>26/07/26</t>
        </is>
      </c>
      <c r="K48" s="8" t="inlineStr">
        <is>
          <t>-</t>
        </is>
      </c>
      <c r="L48" s="52" t="inlineStr">
        <is>
          <t>15.00</t>
        </is>
      </c>
      <c r="M48" s="24" t="n"/>
      <c r="N48" s="53" t="inlineStr">
        <is>
          <t>OWN</t>
        </is>
      </c>
      <c r="O48" s="24" t="n"/>
      <c r="P48" s="62" t="inlineStr">
        <is>
          <t>PAID (PG) RB/2A THB 2,500 net per night + 1 x CBF at THB 375 net per night 
- 2C 5y 3y
- FOC 1C 3y
- Party 4 rms.
Hello 365 Days Review – Exclusive Benefits
-Daily breakfast for 2 persons
-Children under 4 stay free (sharing existing bed)
-20% discount on food &amp; beverage (excluding alcohol, in-room dinning and minibar)
-20% discount on treatment at AvaniSpa (excluding ongoing promotions)</t>
        </is>
      </c>
      <c r="Q48" s="23" t="n"/>
      <c r="R48" s="23" t="n"/>
      <c r="S48" s="23" t="n"/>
      <c r="T48" s="23" t="n"/>
      <c r="U48" s="23" t="n"/>
      <c r="V48" s="24" t="n"/>
    </row>
    <row r="49" ht="114" customHeight="1">
      <c r="A49" s="95" t="inlineStr">
        <is>
          <t>Mrs. Jitsopin Khumrak</t>
        </is>
      </c>
      <c r="B49" s="24" t="n"/>
      <c r="C49" s="7" t="inlineStr">
        <is>
          <t>-</t>
        </is>
      </c>
      <c r="D49" s="39" t="inlineStr">
        <is>
          <t>1309</t>
        </is>
      </c>
      <c r="E49" s="24" t="n"/>
      <c r="F49" s="39" t="inlineStr">
        <is>
          <t>-</t>
        </is>
      </c>
      <c r="G49" s="24" t="n"/>
      <c r="H49" s="8" t="inlineStr">
        <is>
          <t>2</t>
        </is>
      </c>
      <c r="I49" s="9" t="inlineStr">
        <is>
          <t>25/07/26</t>
        </is>
      </c>
      <c r="J49" s="9" t="inlineStr">
        <is>
          <t>26/07/26</t>
        </is>
      </c>
      <c r="K49" s="8" t="inlineStr">
        <is>
          <t>-</t>
        </is>
      </c>
      <c r="L49" s="52" t="inlineStr">
        <is>
          <t>15.00</t>
        </is>
      </c>
      <c r="M49" s="24" t="n"/>
      <c r="N49" s="53" t="inlineStr">
        <is>
          <t>OWN</t>
        </is>
      </c>
      <c r="O49" s="24" t="n"/>
      <c r="P49" s="62" t="inlineStr">
        <is>
          <t>PAID (PG) RB/2A THB 2,500 net per night 
- Party 4 rms.
THAILAND RESIDENTS RATE :
- Accommodation
- Daily breakfast
- 20% off dining
- 20% off selected treatments at AvaniSpa
- Proof of Thai residency must be presented at check-in</t>
        </is>
      </c>
      <c r="Q49" s="23" t="n"/>
      <c r="R49" s="23" t="n"/>
      <c r="S49" s="23" t="n"/>
      <c r="T49" s="23" t="n"/>
      <c r="U49" s="23" t="n"/>
      <c r="V49" s="24" t="n"/>
    </row>
    <row r="50" ht="114" customHeight="1">
      <c r="A50" s="95" t="inlineStr">
        <is>
          <t>Mrs. Nataliia Soladtenko</t>
        </is>
      </c>
      <c r="B50" s="24" t="n"/>
      <c r="C50" s="7" t="inlineStr">
        <is>
          <t>-</t>
        </is>
      </c>
      <c r="D50" s="39" t="inlineStr">
        <is>
          <t>1314</t>
        </is>
      </c>
      <c r="E50" s="24" t="n"/>
      <c r="F50" s="39" t="inlineStr">
        <is>
          <t>VIPG
SILVER</t>
        </is>
      </c>
      <c r="G50" s="24" t="n"/>
      <c r="H50" s="8" t="inlineStr">
        <is>
          <t>1+2</t>
        </is>
      </c>
      <c r="I50" s="9" t="inlineStr">
        <is>
          <t>25/07/26</t>
        </is>
      </c>
      <c r="J50" s="9" t="inlineStr">
        <is>
          <t>26/07/26</t>
        </is>
      </c>
      <c r="K50" s="8" t="inlineStr">
        <is>
          <t>-</t>
        </is>
      </c>
      <c r="L50" s="52" t="inlineStr">
        <is>
          <t>15.00</t>
        </is>
      </c>
      <c r="M50" s="24" t="n"/>
      <c r="N50" s="53" t="inlineStr">
        <is>
          <t>OWN</t>
        </is>
      </c>
      <c r="O50" s="24" t="n"/>
      <c r="P50" s="62" t="inlineStr">
        <is>
          <t>PAID (PG) RB/1A2C THB 3,650 net per night
- Need extra bed
- CHD age 6 and 10 yrs old
DISCOVERY – THAILAND RESIDENTS RATE
-Accommodation
-Daily breakfast
-20% off dining
-20% off selected treatments at AvaniSpa
-Proof of Thai residency must be presented at check-in, if not present, the best flexible rate will be applied.</t>
        </is>
      </c>
      <c r="Q50" s="23" t="n"/>
      <c r="R50" s="23" t="n"/>
      <c r="S50" s="23" t="n"/>
      <c r="T50" s="23" t="n"/>
      <c r="U50" s="23" t="n"/>
      <c r="V50" s="24" t="n"/>
    </row>
    <row r="51" ht="114" customHeight="1">
      <c r="A51" s="95" t="inlineStr">
        <is>
          <t>Ms. Nittaya Ekpinijpittya</t>
        </is>
      </c>
      <c r="B51" s="24" t="n"/>
      <c r="C51" s="7" t="inlineStr">
        <is>
          <t>-</t>
        </is>
      </c>
      <c r="D51" s="39" t="inlineStr">
        <is>
          <t>1417</t>
        </is>
      </c>
      <c r="E51" s="24" t="n"/>
      <c r="F51" s="39" t="inlineStr">
        <is>
          <t>-</t>
        </is>
      </c>
      <c r="G51" s="24" t="n"/>
      <c r="H51" s="8" t="inlineStr">
        <is>
          <t>3</t>
        </is>
      </c>
      <c r="I51" s="9" t="inlineStr">
        <is>
          <t>25/07/26</t>
        </is>
      </c>
      <c r="J51" s="9" t="inlineStr">
        <is>
          <t>26/07/26</t>
        </is>
      </c>
      <c r="K51" s="8" t="inlineStr">
        <is>
          <t>-</t>
        </is>
      </c>
      <c r="L51" s="52" t="inlineStr">
        <is>
          <t>15.00</t>
        </is>
      </c>
      <c r="M51" s="24" t="n"/>
      <c r="N51" s="53" t="inlineStr">
        <is>
          <t>OWN</t>
        </is>
      </c>
      <c r="O51" s="24" t="n"/>
      <c r="P51" s="62" t="inlineStr">
        <is>
          <t>PAID RB/3A THB 4,400 net per night
- Party 3 rooms
STAY &amp; BENEFITS: Bonus Credit Escape
- Daily Breakfast
- THB 500 resort credit per night **FO Cost allocation to 81108**
- No minimum length of stay required
- Purchase your voucher today and choose your stay dates later
- 20% savings on food and beverages
- 20% savings on selected treatments at AvaniSpa</t>
        </is>
      </c>
      <c r="Q51" s="23" t="n"/>
      <c r="R51" s="23" t="n"/>
      <c r="S51" s="23" t="n"/>
      <c r="T51" s="23" t="n"/>
      <c r="U51" s="23" t="n"/>
      <c r="V51" s="24" t="n"/>
    </row>
    <row r="52" ht="114" customHeight="1">
      <c r="A52" s="95" t="inlineStr">
        <is>
          <t>Ms. Nittaya Ekpinijpittya</t>
        </is>
      </c>
      <c r="B52" s="24" t="n"/>
      <c r="C52" s="7" t="inlineStr">
        <is>
          <t>-</t>
        </is>
      </c>
      <c r="D52" s="39" t="inlineStr">
        <is>
          <t>1418</t>
        </is>
      </c>
      <c r="E52" s="24" t="n"/>
      <c r="F52" s="39" t="inlineStr">
        <is>
          <t>-</t>
        </is>
      </c>
      <c r="G52" s="24" t="n"/>
      <c r="H52" s="8" t="inlineStr">
        <is>
          <t>2</t>
        </is>
      </c>
      <c r="I52" s="9" t="inlineStr">
        <is>
          <t>25/07/26</t>
        </is>
      </c>
      <c r="J52" s="9" t="inlineStr">
        <is>
          <t>26/07/26</t>
        </is>
      </c>
      <c r="K52" s="8" t="inlineStr">
        <is>
          <t>-</t>
        </is>
      </c>
      <c r="L52" s="52" t="inlineStr">
        <is>
          <t>15.00</t>
        </is>
      </c>
      <c r="M52" s="24" t="n"/>
      <c r="N52" s="53" t="inlineStr">
        <is>
          <t>OWN</t>
        </is>
      </c>
      <c r="O52" s="24" t="n"/>
      <c r="P52" s="62" t="inlineStr">
        <is>
          <t>PAID RB/2A THB 2,900 net per night
- Party 3 rooms
STAY &amp; BENEFITS: Bonus Credit Escape
- Daily Breakfast
- THB 500 resort credit per night **FO Cost allocation to 81108**
- No minimum length of stay required
- Purchase your voucher today and choose your stay dates later
- 20% savings on food and beverages
- 20% savings on selected treatments at AvaniSpa</t>
        </is>
      </c>
      <c r="Q52" s="23" t="n"/>
      <c r="R52" s="23" t="n"/>
      <c r="S52" s="23" t="n"/>
      <c r="T52" s="23" t="n"/>
      <c r="U52" s="23" t="n"/>
      <c r="V52" s="24" t="n"/>
    </row>
    <row r="53" ht="114" customHeight="1">
      <c r="A53" s="95" t="inlineStr">
        <is>
          <t>Ms. Nittaya Ekpinijpittya</t>
        </is>
      </c>
      <c r="B53" s="24" t="n"/>
      <c r="C53" s="7" t="inlineStr">
        <is>
          <t>-</t>
        </is>
      </c>
      <c r="D53" s="39" t="inlineStr">
        <is>
          <t>1419</t>
        </is>
      </c>
      <c r="E53" s="24" t="n"/>
      <c r="F53" s="39" t="inlineStr">
        <is>
          <t>-</t>
        </is>
      </c>
      <c r="G53" s="24" t="n"/>
      <c r="H53" s="8" t="inlineStr">
        <is>
          <t>2</t>
        </is>
      </c>
      <c r="I53" s="9" t="inlineStr">
        <is>
          <t>25/07/26</t>
        </is>
      </c>
      <c r="J53" s="9" t="inlineStr">
        <is>
          <t>26/07/26</t>
        </is>
      </c>
      <c r="K53" s="8" t="inlineStr">
        <is>
          <t>-</t>
        </is>
      </c>
      <c r="L53" s="52" t="inlineStr">
        <is>
          <t>15.00</t>
        </is>
      </c>
      <c r="M53" s="24" t="n"/>
      <c r="N53" s="53" t="inlineStr">
        <is>
          <t>OWN</t>
        </is>
      </c>
      <c r="O53" s="24" t="n"/>
      <c r="P53" s="62" t="inlineStr">
        <is>
          <t>PAID RB/2A THB 2,900 net per night
- Party 3 rooms
STAY &amp; BENEFITS: Bonus Credit Escape
- Daily Breakfast
- THB 500 resort credit per night **FO Cost allocation to 81108**
- No minimum length of stay required
- Purchase your voucher today and choose your stay dates later
- 20% savings on food and beverages
- 20% savings on selected treatments at AvaniSpa</t>
        </is>
      </c>
      <c r="Q53" s="23" t="n"/>
      <c r="R53" s="23" t="n"/>
      <c r="S53" s="23" t="n"/>
      <c r="T53" s="23" t="n"/>
      <c r="U53" s="23" t="n"/>
      <c r="V53" s="24" t="n"/>
    </row>
    <row r="54" ht="114" customHeight="1">
      <c r="A54" s="95" t="inlineStr">
        <is>
          <t>Mr. Atthaphon Pattanee</t>
        </is>
      </c>
      <c r="B54" s="24" t="n"/>
      <c r="C54" s="7" t="inlineStr">
        <is>
          <t>-</t>
        </is>
      </c>
      <c r="D54" s="39" t="inlineStr">
        <is>
          <t>1420</t>
        </is>
      </c>
      <c r="E54" s="24" t="n"/>
      <c r="F54" s="39" t="inlineStr">
        <is>
          <t>-</t>
        </is>
      </c>
      <c r="G54" s="24" t="n"/>
      <c r="H54" s="8" t="inlineStr">
        <is>
          <t>2+1</t>
        </is>
      </c>
      <c r="I54" s="9" t="inlineStr">
        <is>
          <t>25/07/26</t>
        </is>
      </c>
      <c r="J54" s="9" t="inlineStr">
        <is>
          <t>26/07/26</t>
        </is>
      </c>
      <c r="K54" s="8" t="inlineStr">
        <is>
          <t>-</t>
        </is>
      </c>
      <c r="L54" s="52" t="inlineStr">
        <is>
          <t>15.00</t>
        </is>
      </c>
      <c r="M54" s="24" t="n"/>
      <c r="N54" s="53" t="inlineStr">
        <is>
          <t>OWN</t>
        </is>
      </c>
      <c r="O54" s="24" t="n"/>
      <c r="P54" s="62" t="inlineStr">
        <is>
          <t>PAID RB/2A THB 2,500 net per night
-  FOC 1 CHD (Ages 3 yrs )
- Party 3 RMS.
THAILAND RESIDENTS RATE - "Hello 365 Days Review"
• Daily breakfast for 2 persons
• Children under 4 stay free (sharing existing bedding)
• 20% discount on food &amp; beverages (excluding alcohol, in-room dining, and minibar)
• 20% discount on treatments at AvaniSpa (excluding ongoing promotions)</t>
        </is>
      </c>
      <c r="Q54" s="23" t="n"/>
      <c r="R54" s="23" t="n"/>
      <c r="S54" s="23" t="n"/>
      <c r="T54" s="23" t="n"/>
      <c r="U54" s="23" t="n"/>
      <c r="V54" s="24" t="n"/>
    </row>
    <row r="55" ht="114" customHeight="1">
      <c r="A55" s="95" t="inlineStr">
        <is>
          <t>Mrs. Amornrat Krohlek</t>
        </is>
      </c>
      <c r="B55" s="24" t="n"/>
      <c r="C55" s="7" t="inlineStr">
        <is>
          <t>-</t>
        </is>
      </c>
      <c r="D55" s="39" t="inlineStr">
        <is>
          <t>1421</t>
        </is>
      </c>
      <c r="E55" s="24" t="n"/>
      <c r="F55" s="39" t="inlineStr">
        <is>
          <t>-</t>
        </is>
      </c>
      <c r="G55" s="24" t="n"/>
      <c r="H55" s="8" t="inlineStr">
        <is>
          <t>2+1</t>
        </is>
      </c>
      <c r="I55" s="9" t="inlineStr">
        <is>
          <t>25/07/26</t>
        </is>
      </c>
      <c r="J55" s="9" t="inlineStr">
        <is>
          <t>26/07/26</t>
        </is>
      </c>
      <c r="K55" s="8" t="inlineStr">
        <is>
          <t>-</t>
        </is>
      </c>
      <c r="L55" s="52" t="inlineStr">
        <is>
          <t>15.00</t>
        </is>
      </c>
      <c r="M55" s="24" t="n"/>
      <c r="N55" s="53" t="inlineStr">
        <is>
          <t>OWN</t>
        </is>
      </c>
      <c r="O55" s="24" t="n"/>
      <c r="P55" s="62" t="inlineStr">
        <is>
          <t>PAID RB/2A THB 2,500 net per night + 1 CBF THB 375 net per day
- CHD (Ages 9 yrs)
- Party 3 RMS.
THAILAND RESIDENTS RATE - "Hello 365 Days Review"
• Daily breakfast for 2 persons
• Children under 4 stay free (sharing existing bedding)
• 20% discount on food &amp; beverages (excluding alcohol, in-room dining, and minibar)
• 20% discount on treatments at AvaniSpa (excluding ongoing promotions)</t>
        </is>
      </c>
      <c r="Q55" s="23" t="n"/>
      <c r="R55" s="23" t="n"/>
      <c r="S55" s="23" t="n"/>
      <c r="T55" s="23" t="n"/>
      <c r="U55" s="23" t="n"/>
      <c r="V55" s="24" t="n"/>
    </row>
    <row r="56" ht="114" customHeight="1">
      <c r="A56" s="95" t="inlineStr">
        <is>
          <t>Ms. Umaree Krolek</t>
        </is>
      </c>
      <c r="B56" s="24" t="n"/>
      <c r="C56" s="7" t="inlineStr">
        <is>
          <t>-</t>
        </is>
      </c>
      <c r="D56" s="39" t="inlineStr">
        <is>
          <t>1422</t>
        </is>
      </c>
      <c r="E56" s="24" t="n"/>
      <c r="F56" s="39" t="inlineStr">
        <is>
          <t>-</t>
        </is>
      </c>
      <c r="G56" s="24" t="n"/>
      <c r="H56" s="8" t="inlineStr">
        <is>
          <t>2</t>
        </is>
      </c>
      <c r="I56" s="9" t="inlineStr">
        <is>
          <t>25/07/26</t>
        </is>
      </c>
      <c r="J56" s="9" t="inlineStr">
        <is>
          <t>26/07/26</t>
        </is>
      </c>
      <c r="K56" s="8" t="inlineStr">
        <is>
          <t>-</t>
        </is>
      </c>
      <c r="L56" s="52" t="inlineStr">
        <is>
          <t>15.00</t>
        </is>
      </c>
      <c r="M56" s="24" t="n"/>
      <c r="N56" s="53" t="inlineStr">
        <is>
          <t>OWN</t>
        </is>
      </c>
      <c r="O56" s="24" t="n"/>
      <c r="P56" s="62" t="inlineStr">
        <is>
          <t>PAID RB/2A THB 2,500 net per night
- Party 3 RMS.
THAILAND RESIDENTS RATE - "Hello 365 Days Review"
• Daily breakfast for 2 persons
• Children under 4 stay free (sharing existing bedding)
• 20% discount on food &amp; beverages (excluding alcohol, in-room dining, and minibar)
• 20% discount on treatments at AvaniSpa (excluding ongoing promotions)</t>
        </is>
      </c>
      <c r="Q56" s="23" t="n"/>
      <c r="R56" s="23" t="n"/>
      <c r="S56" s="23" t="n"/>
      <c r="T56" s="23" t="n"/>
      <c r="U56" s="23" t="n"/>
      <c r="V56" s="24" t="n"/>
    </row>
    <row r="57" ht="114" customHeight="1">
      <c r="A57" s="95" t="inlineStr">
        <is>
          <t>Ms. Aumarin Bunkrai</t>
        </is>
      </c>
      <c r="B57" s="24" t="n"/>
      <c r="C57" s="7" t="inlineStr">
        <is>
          <t>-</t>
        </is>
      </c>
      <c r="D57" s="39" t="inlineStr">
        <is>
          <t>1425</t>
        </is>
      </c>
      <c r="E57" s="24" t="n"/>
      <c r="F57" s="39" t="inlineStr">
        <is>
          <t>-</t>
        </is>
      </c>
      <c r="G57" s="24" t="n"/>
      <c r="H57" s="8" t="inlineStr">
        <is>
          <t>2</t>
        </is>
      </c>
      <c r="I57" s="9" t="inlineStr">
        <is>
          <t>25/07/26</t>
        </is>
      </c>
      <c r="J57" s="9" t="inlineStr">
        <is>
          <t>26/07/26</t>
        </is>
      </c>
      <c r="K57" s="8" t="inlineStr">
        <is>
          <t>-</t>
        </is>
      </c>
      <c r="L57" s="52" t="inlineStr">
        <is>
          <t>15.00</t>
        </is>
      </c>
      <c r="M57" s="24" t="n"/>
      <c r="N57" s="53" t="inlineStr">
        <is>
          <t>OWN</t>
        </is>
      </c>
      <c r="O57" s="24" t="n"/>
      <c r="P57" s="62" t="inlineStr">
        <is>
          <t>PAID (Bank Transfer) RB/2A THB 2,500 net per night
Hello 365 Days Review – Exclusive Benefits
-Daily breakfast for 2 persons
-Children under 4 stay free (sharing existing bed)
-20% discount on food &amp; beverage (excluding alcohol, in-room dinning and minibar)
-20% discount on treatment at AvaniSpa (excluding ongoing promotions)</t>
        </is>
      </c>
      <c r="Q57" s="23" t="n"/>
      <c r="R57" s="23" t="n"/>
      <c r="S57" s="23" t="n"/>
      <c r="T57" s="23" t="n"/>
      <c r="U57" s="23" t="n"/>
      <c r="V57" s="24" t="n"/>
    </row>
    <row r="58" ht="114" customHeight="1">
      <c r="A58" s="95" t="inlineStr">
        <is>
          <t>Mrs. Yoo Seung Lee</t>
        </is>
      </c>
      <c r="B58" s="24" t="n"/>
      <c r="C58" s="7" t="inlineStr">
        <is>
          <t>-</t>
        </is>
      </c>
      <c r="D58" s="39" t="inlineStr">
        <is>
          <t>1510</t>
        </is>
      </c>
      <c r="E58" s="24" t="n"/>
      <c r="F58" s="39" t="inlineStr">
        <is>
          <t>VIPO
JADE</t>
        </is>
      </c>
      <c r="G58" s="24" t="n"/>
      <c r="H58" s="8" t="inlineStr">
        <is>
          <t>2+1</t>
        </is>
      </c>
      <c r="I58" s="9" t="inlineStr">
        <is>
          <t>25/07/26</t>
        </is>
      </c>
      <c r="J58" s="9" t="inlineStr">
        <is>
          <t>29/07/26</t>
        </is>
      </c>
      <c r="K58" s="8" t="inlineStr">
        <is>
          <t>-</t>
        </is>
      </c>
      <c r="L58" s="52" t="inlineStr">
        <is>
          <t>15.00</t>
        </is>
      </c>
      <c r="M58" s="24" t="n"/>
      <c r="N58" s="53" t="inlineStr">
        <is>
          <t>OWN</t>
        </is>
      </c>
      <c r="O58" s="24" t="n"/>
      <c r="P58" s="62" t="inlineStr">
        <is>
          <t>CTC RO/2A1C + 1 ABF at THB 570 net per person per nt  + One way Airport Transfer Toyota Commuter at THB 2,000 net per way **Billing to AVC**
- 1 child (ages 11)   
- One-way TRSF will arrival on 24 July 2026 (1 Pax: for Ms. Yoo Seung Lee)
Consecutive booking: 
- 1st 23-25/7/2026 #DSRAF5D4YHK2B  
- 2nd 25-29/7/2026 #DSR025D4YMVK4  
“Jade/Ruby” Club Benefits 
- 15% discount F&amp;B (including alcohol) and Spa Treatment (Excluding Products) 
- 15% discount on Best Available Rate on Rental (not Club Point) Bookings (Subject to blackout date) 
- Daily Housekeeping and Room Service 
- Welcome drink</t>
        </is>
      </c>
      <c r="Q58" s="23" t="n"/>
      <c r="R58" s="23" t="n"/>
      <c r="S58" s="23" t="n"/>
      <c r="T58" s="23" t="n"/>
      <c r="U58" s="23" t="n"/>
      <c r="V58" s="24" t="n"/>
    </row>
    <row r="59" ht="114" customHeight="1">
      <c r="A59" s="95" t="inlineStr">
        <is>
          <t>Ms. Suvadee Visutharumanee</t>
        </is>
      </c>
      <c r="B59" s="24" t="n"/>
      <c r="C59" s="7" t="inlineStr">
        <is>
          <t>-</t>
        </is>
      </c>
      <c r="D59" s="39" t="inlineStr">
        <is>
          <t>1511</t>
        </is>
      </c>
      <c r="E59" s="24" t="n"/>
      <c r="F59" s="39" t="inlineStr">
        <is>
          <t>VIPO
JADE</t>
        </is>
      </c>
      <c r="G59" s="24" t="n"/>
      <c r="H59" s="8" t="inlineStr">
        <is>
          <t>2+1</t>
        </is>
      </c>
      <c r="I59" s="9" t="inlineStr">
        <is>
          <t>25/07/26</t>
        </is>
      </c>
      <c r="J59" s="9" t="inlineStr">
        <is>
          <t>28/07/26</t>
        </is>
      </c>
      <c r="K59" s="8" t="inlineStr">
        <is>
          <t>-</t>
        </is>
      </c>
      <c r="L59" s="52" t="inlineStr">
        <is>
          <t>15.00</t>
        </is>
      </c>
      <c r="M59" s="24" t="n"/>
      <c r="N59" s="53" t="inlineStr">
        <is>
          <t>OWN</t>
        </is>
      </c>
      <c r="O59" s="24" t="n"/>
      <c r="P59" s="62" t="inlineStr">
        <is>
          <t>CTC RO/2A1C **Billing to AVC**
-1 child (ages 9)
“Jade/Ruby” Club Benefits
- 15% discount F&amp;B (including alcohol) and Spa Treatment (Excluding Products)
- 15% discount on Best Available Rate on Rental (not Club Point) Bookings (Subject to blackout date)
- Daily Housekeeping and Room Service
- Welcome drink</t>
        </is>
      </c>
      <c r="Q59" s="23" t="n"/>
      <c r="R59" s="23" t="n"/>
      <c r="S59" s="23" t="n"/>
      <c r="T59" s="23" t="n"/>
      <c r="U59" s="23" t="n"/>
      <c r="V59" s="24" t="n"/>
    </row>
    <row r="60" ht="114" customHeight="1">
      <c r="A60" s="95" t="inlineStr">
        <is>
          <t>Mr. Rongrong Zou</t>
        </is>
      </c>
      <c r="B60" s="24" t="n"/>
      <c r="C60" s="7" t="inlineStr">
        <is>
          <t>-</t>
        </is>
      </c>
      <c r="D60" s="39" t="inlineStr">
        <is>
          <t>1513</t>
        </is>
      </c>
      <c r="E60" s="24" t="n"/>
      <c r="F60" s="39" t="inlineStr">
        <is>
          <t>VIPO
DIAMOND</t>
        </is>
      </c>
      <c r="G60" s="24" t="n"/>
      <c r="H60" s="8" t="inlineStr">
        <is>
          <t>2</t>
        </is>
      </c>
      <c r="I60" s="9" t="inlineStr">
        <is>
          <t>25/07/26</t>
        </is>
      </c>
      <c r="J60" s="9" t="inlineStr">
        <is>
          <t>26/07/26</t>
        </is>
      </c>
      <c r="K60" s="8" t="inlineStr">
        <is>
          <t>-</t>
        </is>
      </c>
      <c r="L60" s="52" t="inlineStr">
        <is>
          <t>15.00</t>
        </is>
      </c>
      <c r="M60" s="24" t="n"/>
      <c r="N60" s="53" t="inlineStr">
        <is>
          <t>OWN</t>
        </is>
      </c>
      <c r="O60" s="24" t="n"/>
      <c r="P60" s="62" t="inlineStr">
        <is>
          <t>CTC RO/2A **Billing to AVC**
- Party 2 rms.
“Diamond” Club Benefits 
- 15% discount F&amp;B (including alcohol) and Spa Treatment (Excluding Products) 
- 15% discount on Best Available Rate on Rental (not Club Point) Bookings (Subject to blackout date) 
- Daily Housekeeping and Room Service - VIP amenities 
- Complimentary Early Check-In 12:00 hrs. (Subject to availability) 
- Complimentary Late Check-Out 14:00 hrs. (Subject to availability) 
- In Room or Fast Track Check-In</t>
        </is>
      </c>
      <c r="Q60" s="23" t="n"/>
      <c r="R60" s="23" t="n"/>
      <c r="S60" s="23" t="n"/>
      <c r="T60" s="23" t="n"/>
      <c r="U60" s="23" t="n"/>
      <c r="V60" s="24" t="n"/>
    </row>
    <row r="61" ht="114" customHeight="1">
      <c r="A61" s="95" t="inlineStr">
        <is>
          <t>Ms. Nanticha Suwannarat</t>
        </is>
      </c>
      <c r="B61" s="24" t="n"/>
      <c r="C61" s="7" t="inlineStr">
        <is>
          <t>-</t>
        </is>
      </c>
      <c r="D61" s="39" t="inlineStr">
        <is>
          <t>1514
Expedia</t>
        </is>
      </c>
      <c r="E61" s="24" t="n"/>
      <c r="F61" s="39" t="inlineStr">
        <is>
          <t>-</t>
        </is>
      </c>
      <c r="G61" s="24" t="n"/>
      <c r="H61" s="8" t="inlineStr">
        <is>
          <t>2</t>
        </is>
      </c>
      <c r="I61" s="9" t="inlineStr">
        <is>
          <t>25/07/26</t>
        </is>
      </c>
      <c r="J61" s="9" t="inlineStr">
        <is>
          <t>27/07/26</t>
        </is>
      </c>
      <c r="K61" s="8" t="inlineStr">
        <is>
          <t>-</t>
        </is>
      </c>
      <c r="L61" s="52" t="inlineStr">
        <is>
          <t>15.00</t>
        </is>
      </c>
      <c r="M61" s="24" t="n"/>
      <c r="N61" s="53" t="inlineStr">
        <is>
          <t>OWN</t>
        </is>
      </c>
      <c r="O61" s="24" t="n"/>
      <c r="P61" s="62" t="inlineStr">
        <is>
          <t>COA(see trace) RB/2A THB 2,651.83+++(25/07/26)+THB 3,157.11+++(26/07/26) per night
- 20% comm prepaid at 1,161.79 THB
- party 4 rooms
- RQ king bed
Payment Method: VirtualCard, Remittance Model: Net, Expedia Collect Booking, 1 King Bed, Non-Smoking, Multi-room booking. Primary traveler:Suwannarat, Nanticha. 1 of 4 rooms., Remittance amount: 5,733.43, Virtual card will be activated from the day of Check-in.</t>
        </is>
      </c>
      <c r="Q61" s="23" t="n"/>
      <c r="R61" s="23" t="n"/>
      <c r="S61" s="23" t="n"/>
      <c r="T61" s="23" t="n"/>
      <c r="U61" s="23" t="n"/>
      <c r="V61" s="24" t="n"/>
    </row>
    <row r="62" ht="114" customHeight="1">
      <c r="A62" s="95" t="inlineStr">
        <is>
          <t>Ms. Nanticha Suwannarat</t>
        </is>
      </c>
      <c r="B62" s="24" t="n"/>
      <c r="C62" s="7" t="inlineStr">
        <is>
          <t>-</t>
        </is>
      </c>
      <c r="D62" s="39" t="inlineStr">
        <is>
          <t>1515
Expedia</t>
        </is>
      </c>
      <c r="E62" s="24" t="n"/>
      <c r="F62" s="39" t="inlineStr">
        <is>
          <t>-</t>
        </is>
      </c>
      <c r="G62" s="24" t="n"/>
      <c r="H62" s="8" t="inlineStr">
        <is>
          <t>2</t>
        </is>
      </c>
      <c r="I62" s="9" t="inlineStr">
        <is>
          <t>25/07/26</t>
        </is>
      </c>
      <c r="J62" s="9" t="inlineStr">
        <is>
          <t>27/07/26</t>
        </is>
      </c>
      <c r="K62" s="8" t="inlineStr">
        <is>
          <t>-</t>
        </is>
      </c>
      <c r="L62" s="52" t="inlineStr">
        <is>
          <t>15.00</t>
        </is>
      </c>
      <c r="M62" s="24" t="n"/>
      <c r="N62" s="53" t="inlineStr">
        <is>
          <t>OWN</t>
        </is>
      </c>
      <c r="O62" s="24" t="n"/>
      <c r="P62" s="62" t="inlineStr">
        <is>
          <t>COA(see trace) RB/2A THB 2,651.83+++(25/07/26)+THB 3,157.11+++(26/07/26) per night
- 20% comm prepaid at 1,161.79 THB
- party 4 rooms
- RQ king bed
Payment Method: VirtualCard, Remittance Model: Net, Expedia Collect Booking, 1 King Bed, Non-Smoking, Multi-room booking. Primary traveler:Suwannarat, Nanticha. 3 of 4 rooms., Remittance amount: 5,733.43, Virtual card will be activated from the day of Check-in.</t>
        </is>
      </c>
      <c r="Q62" s="23" t="n"/>
      <c r="R62" s="23" t="n"/>
      <c r="S62" s="23" t="n"/>
      <c r="T62" s="23" t="n"/>
      <c r="U62" s="23" t="n"/>
      <c r="V62" s="24" t="n"/>
    </row>
    <row r="63" ht="114" customHeight="1">
      <c r="A63" s="95" t="inlineStr">
        <is>
          <t>Ms. Nanticha Suwannarat</t>
        </is>
      </c>
      <c r="B63" s="24" t="n"/>
      <c r="C63" s="7" t="inlineStr">
        <is>
          <t>-</t>
        </is>
      </c>
      <c r="D63" s="39" t="inlineStr">
        <is>
          <t>1516
Expedia</t>
        </is>
      </c>
      <c r="E63" s="24" t="n"/>
      <c r="F63" s="39" t="inlineStr">
        <is>
          <t>-</t>
        </is>
      </c>
      <c r="G63" s="24" t="n"/>
      <c r="H63" s="8" t="inlineStr">
        <is>
          <t>2</t>
        </is>
      </c>
      <c r="I63" s="9" t="inlineStr">
        <is>
          <t>25/07/26</t>
        </is>
      </c>
      <c r="J63" s="9" t="inlineStr">
        <is>
          <t>27/07/26</t>
        </is>
      </c>
      <c r="K63" s="8" t="inlineStr">
        <is>
          <t>-</t>
        </is>
      </c>
      <c r="L63" s="52" t="inlineStr">
        <is>
          <t>15.00</t>
        </is>
      </c>
      <c r="M63" s="24" t="n"/>
      <c r="N63" s="53" t="inlineStr">
        <is>
          <t>OWN</t>
        </is>
      </c>
      <c r="O63" s="24" t="n"/>
      <c r="P63" s="62" t="inlineStr">
        <is>
          <t>COA(see trace) RB/2A THB 2,651.83+++(25/07/26)+THB 3,157.11+++(26/07/26) per night
- 20% comm prepaid at 1,161.79 THB
- party 4 rooms
- RQ king bed
Payment Method: VirtualCard, Remittance Model: Net, Expedia Collect Booking, 1 King Bed, Non-Smoking, Multi-room booking. Primary traveler:Suwannarat, Nanticha. 2 of 4 rooms., Remittance amount: 5,733.43, Virtual card will be activated from the day of Check-in.</t>
        </is>
      </c>
      <c r="Q63" s="23" t="n"/>
      <c r="R63" s="23" t="n"/>
      <c r="S63" s="23" t="n"/>
      <c r="T63" s="23" t="n"/>
      <c r="U63" s="23" t="n"/>
      <c r="V63" s="24" t="n"/>
    </row>
    <row r="64" ht="114" customHeight="1">
      <c r="A64" s="95" t="inlineStr">
        <is>
          <t>Ms. Nanticha Suwannarat</t>
        </is>
      </c>
      <c r="B64" s="24" t="n"/>
      <c r="C64" s="7" t="inlineStr">
        <is>
          <t>-</t>
        </is>
      </c>
      <c r="D64" s="39" t="inlineStr">
        <is>
          <t>1517
Expedia</t>
        </is>
      </c>
      <c r="E64" s="24" t="n"/>
      <c r="F64" s="39" t="inlineStr">
        <is>
          <t>-</t>
        </is>
      </c>
      <c r="G64" s="24" t="n"/>
      <c r="H64" s="8" t="inlineStr">
        <is>
          <t>2</t>
        </is>
      </c>
      <c r="I64" s="9" t="inlineStr">
        <is>
          <t>25/07/26</t>
        </is>
      </c>
      <c r="J64" s="9" t="inlineStr">
        <is>
          <t>27/07/26</t>
        </is>
      </c>
      <c r="K64" s="8" t="inlineStr">
        <is>
          <t>-</t>
        </is>
      </c>
      <c r="L64" s="52" t="inlineStr">
        <is>
          <t>15.00</t>
        </is>
      </c>
      <c r="M64" s="24" t="n"/>
      <c r="N64" s="53" t="inlineStr">
        <is>
          <t>OWN</t>
        </is>
      </c>
      <c r="O64" s="24" t="n"/>
      <c r="P64" s="62" t="inlineStr">
        <is>
          <t>COA(see trace) RB/2A THB 2,651.83+++(25/07/26)+THB 3,157.11+++(26/07/26) per night
- 20% comm prepaid at 1,161.79 THB
- party 4 rooms
- RQ king bed
Payment Method: VirtualCard, Remittance Model: Net, Expedia Collect Booking, 1 King Bed, Non-Smoking, Multi-room booking. Primary traveler:Suwannarat, Nanticha. 4 of 4 rooms., Remittance amount: 5,733.43, Virtual card will be activated from the day of Check-in.</t>
        </is>
      </c>
      <c r="Q64" s="23" t="n"/>
      <c r="R64" s="23" t="n"/>
      <c r="S64" s="23" t="n"/>
      <c r="T64" s="23" t="n"/>
      <c r="U64" s="23" t="n"/>
      <c r="V64" s="24" t="n"/>
    </row>
    <row r="65" ht="114" customHeight="1">
      <c r="A65" s="95" t="inlineStr">
        <is>
          <t>Mr. Anusak Wiboonsabtawee</t>
        </is>
      </c>
      <c r="B65" s="24" t="n"/>
      <c r="C65" s="7" t="inlineStr">
        <is>
          <t>-</t>
        </is>
      </c>
      <c r="D65" s="39" t="inlineStr">
        <is>
          <t>1601
MI Squared</t>
        </is>
      </c>
      <c r="E65" s="24" t="n"/>
      <c r="F65" s="39" t="inlineStr">
        <is>
          <t>-</t>
        </is>
      </c>
      <c r="G65" s="24" t="n"/>
      <c r="H65" s="8" t="inlineStr">
        <is>
          <t>4</t>
        </is>
      </c>
      <c r="I65" s="9" t="inlineStr">
        <is>
          <t>25/07/26</t>
        </is>
      </c>
      <c r="J65" s="9" t="inlineStr">
        <is>
          <t>28/07/26</t>
        </is>
      </c>
      <c r="K65" s="8" t="inlineStr">
        <is>
          <t>-</t>
        </is>
      </c>
      <c r="L65" s="52" t="inlineStr">
        <is>
          <t>18.00</t>
        </is>
      </c>
      <c r="M65" s="24" t="n"/>
      <c r="N65" s="53" t="inlineStr">
        <is>
          <t>OWN</t>
        </is>
      </c>
      <c r="O65" s="24" t="n"/>
      <c r="P65" s="62" t="inlineStr">
        <is>
          <t>CTC RO/4A + 4 x ABF @ 570 THB net per nt per pax **Billing to MI Squared Limited**</t>
        </is>
      </c>
      <c r="Q65" s="23" t="n"/>
      <c r="R65" s="23" t="n"/>
      <c r="S65" s="23" t="n"/>
      <c r="T65" s="23" t="n"/>
      <c r="U65" s="23" t="n"/>
      <c r="V65" s="24" t="n"/>
    </row>
    <row r="66" ht="114" customHeight="1">
      <c r="A66" s="95" t="inlineStr">
        <is>
          <t>Ms. Apinya Tutsiexusakoon</t>
        </is>
      </c>
      <c r="B66" s="24" t="n"/>
      <c r="C66" s="7" t="inlineStr">
        <is>
          <t>-</t>
        </is>
      </c>
      <c r="D66" s="39" t="inlineStr">
        <is>
          <t>1605</t>
        </is>
      </c>
      <c r="E66" s="24" t="n"/>
      <c r="F66" s="39" t="inlineStr">
        <is>
          <t>VIPO
JADE</t>
        </is>
      </c>
      <c r="G66" s="24" t="n"/>
      <c r="H66" s="8" t="inlineStr">
        <is>
          <t>2+1</t>
        </is>
      </c>
      <c r="I66" s="9" t="inlineStr">
        <is>
          <t>25/07/26</t>
        </is>
      </c>
      <c r="J66" s="9" t="inlineStr">
        <is>
          <t>28/07/26</t>
        </is>
      </c>
      <c r="K66" s="8" t="inlineStr">
        <is>
          <t>-</t>
        </is>
      </c>
      <c r="L66" s="52" t="inlineStr">
        <is>
          <t>15.00</t>
        </is>
      </c>
      <c r="M66" s="24" t="n"/>
      <c r="N66" s="53" t="inlineStr">
        <is>
          <t>OWN</t>
        </is>
      </c>
      <c r="O66" s="24" t="n"/>
      <c r="P66" s="62" t="inlineStr">
        <is>
          <t>CTC RO/2A1C + 2 x ABF at THB 570 net/pax/nt + 1 x CBF at THB 285 net/child/nt **Billing to AVC**
- 1 child (ages 4)
“Jade/Ruby” Club Benefits 
- 15% discount F&amp;B (including alcohol) and Spa Treatment (Excluding Products) 
- 15% discount on Best Available Rate on Rental (not Club Point) Bookings (Subject to blackout date) 
- Daily Housekeeping and Room Service 
- Welcome drink</t>
        </is>
      </c>
      <c r="Q66" s="23" t="n"/>
      <c r="R66" s="23" t="n"/>
      <c r="S66" s="23" t="n"/>
      <c r="T66" s="23" t="n"/>
      <c r="U66" s="23" t="n"/>
      <c r="V66" s="24" t="n"/>
    </row>
    <row r="67" ht="114" customHeight="1">
      <c r="A67" s="95" t="inlineStr">
        <is>
          <t>Mrs. Chanika Zaltsman</t>
        </is>
      </c>
      <c r="B67" s="24" t="n"/>
      <c r="C67" s="7" t="inlineStr">
        <is>
          <t>-</t>
        </is>
      </c>
      <c r="D67" s="39" t="inlineStr">
        <is>
          <t>1606
MI Squared</t>
        </is>
      </c>
      <c r="E67" s="24" t="n"/>
      <c r="F67" s="39" t="inlineStr">
        <is>
          <t>-</t>
        </is>
      </c>
      <c r="G67" s="24" t="n"/>
      <c r="H67" s="8" t="inlineStr">
        <is>
          <t>2</t>
        </is>
      </c>
      <c r="I67" s="9" t="inlineStr">
        <is>
          <t>25/07/26</t>
        </is>
      </c>
      <c r="J67" s="9" t="inlineStr">
        <is>
          <t>28/07/26</t>
        </is>
      </c>
      <c r="K67" s="8" t="inlineStr">
        <is>
          <t>-</t>
        </is>
      </c>
      <c r="L67" s="52" t="inlineStr">
        <is>
          <t>14.30</t>
        </is>
      </c>
      <c r="M67" s="24" t="n"/>
      <c r="N67" s="53" t="inlineStr">
        <is>
          <t>OWN</t>
        </is>
      </c>
      <c r="O67" s="24" t="n"/>
      <c r="P67" s="62" t="inlineStr">
        <is>
          <t>CTC RO/2A + 2 x ABF at THB 570 net/pax/nt **Billing to MI Squared Limited**</t>
        </is>
      </c>
      <c r="Q67" s="23" t="n"/>
      <c r="R67" s="23" t="n"/>
      <c r="S67" s="23" t="n"/>
      <c r="T67" s="23" t="n"/>
      <c r="U67" s="23" t="n"/>
      <c r="V67" s="24" t="n"/>
    </row>
    <row r="68" ht="114" customHeight="1">
      <c r="A68" s="95" t="inlineStr">
        <is>
          <t>Ms. Nantida Jutiboot</t>
        </is>
      </c>
      <c r="B68" s="24" t="n"/>
      <c r="C68" s="7" t="inlineStr">
        <is>
          <t>-</t>
        </is>
      </c>
      <c r="D68" s="39" t="inlineStr">
        <is>
          <t>1611
MI Squared</t>
        </is>
      </c>
      <c r="E68" s="24" t="n"/>
      <c r="F68" s="39" t="inlineStr">
        <is>
          <t>-</t>
        </is>
      </c>
      <c r="G68" s="24" t="n"/>
      <c r="H68" s="8" t="inlineStr">
        <is>
          <t>3</t>
        </is>
      </c>
      <c r="I68" s="9" t="inlineStr">
        <is>
          <t>25/07/26</t>
        </is>
      </c>
      <c r="J68" s="9" t="inlineStr">
        <is>
          <t>27/07/26</t>
        </is>
      </c>
      <c r="K68" s="8" t="inlineStr">
        <is>
          <t>-</t>
        </is>
      </c>
      <c r="L68" s="52" t="inlineStr">
        <is>
          <t>15.00</t>
        </is>
      </c>
      <c r="M68" s="24" t="n"/>
      <c r="N68" s="53" t="inlineStr">
        <is>
          <t>OWN</t>
        </is>
      </c>
      <c r="O68" s="24" t="n"/>
      <c r="P68" s="62" t="inlineStr">
        <is>
          <t>CTC RO/3A + 2 x ABF at THB 570 net/pax/nt **Billing to MI Squared Limited**</t>
        </is>
      </c>
      <c r="Q68" s="23" t="n"/>
      <c r="R68" s="23" t="n"/>
      <c r="S68" s="23" t="n"/>
      <c r="T68" s="23" t="n"/>
      <c r="U68" s="23" t="n"/>
      <c r="V68" s="24" t="n"/>
    </row>
    <row r="69" ht="114" customHeight="1">
      <c r="A69" s="95" t="inlineStr">
        <is>
          <t>Mrs. Sayuri Kawai</t>
        </is>
      </c>
      <c r="B69" s="24" t="n"/>
      <c r="C69" s="7" t="inlineStr">
        <is>
          <t>-</t>
        </is>
      </c>
      <c r="D69" s="39" t="inlineStr">
        <is>
          <t>1621</t>
        </is>
      </c>
      <c r="E69" s="24" t="n"/>
      <c r="F69" s="39" t="inlineStr">
        <is>
          <t>VIPG
SILVER</t>
        </is>
      </c>
      <c r="G69" s="24" t="n"/>
      <c r="H69" s="8" t="inlineStr">
        <is>
          <t>2+1</t>
        </is>
      </c>
      <c r="I69" s="9" t="inlineStr">
        <is>
          <t>25/07/26</t>
        </is>
      </c>
      <c r="J69" s="9" t="inlineStr">
        <is>
          <t>26/07/26</t>
        </is>
      </c>
      <c r="K69" s="8" t="inlineStr">
        <is>
          <t>-</t>
        </is>
      </c>
      <c r="L69" s="52" t="inlineStr">
        <is>
          <t>15.00</t>
        </is>
      </c>
      <c r="M69" s="24" t="n"/>
      <c r="N69" s="53" t="inlineStr">
        <is>
          <t>OWN</t>
        </is>
      </c>
      <c r="O69" s="24" t="n"/>
      <c r="P69" s="62" t="inlineStr">
        <is>
          <t>PAID (PG) RO/2A THB 2,727+++ per night
-15% comm kickback THB 409.05 net
-Req I want to celebrate my husband birthday 
-FOC chd age 2 yrs old
DISCOVERY – ROOM ONLY ESCAPE
-Accommodation – room only
-Kids under 4 years stay for free when using existing bed
Stays of 1-4 nights
• 20% savings on dining (excluding In-Room Dining, minibar &amp; alcoholic beverages)
• 20% savings on spa treatment at AvaniSpa (excluding Coco Breeze Salas)
• 20% savings on laundry service</t>
        </is>
      </c>
      <c r="Q69" s="23" t="n"/>
      <c r="R69" s="23" t="n"/>
      <c r="S69" s="23" t="n"/>
      <c r="T69" s="23" t="n"/>
      <c r="U69" s="23" t="n"/>
      <c r="V69" s="24" t="n"/>
    </row>
    <row r="70" ht="114" customHeight="1">
      <c r="A70" s="95" t="inlineStr">
        <is>
          <t>Mr. Phanuphong Sartyaem</t>
        </is>
      </c>
      <c r="B70" s="24" t="n"/>
      <c r="C70" s="7" t="inlineStr">
        <is>
          <t>-</t>
        </is>
      </c>
      <c r="D70" s="39" t="inlineStr">
        <is>
          <t>2102</t>
        </is>
      </c>
      <c r="E70" s="24" t="n"/>
      <c r="F70" s="39" t="inlineStr">
        <is>
          <t>VIP2
TITANIUM</t>
        </is>
      </c>
      <c r="G70" s="24" t="n"/>
      <c r="H70" s="8" t="inlineStr">
        <is>
          <t>2+1</t>
        </is>
      </c>
      <c r="I70" s="9" t="inlineStr">
        <is>
          <t>25/07/26</t>
        </is>
      </c>
      <c r="J70" s="9" t="inlineStr">
        <is>
          <t>27/07/26</t>
        </is>
      </c>
      <c r="K70" s="8" t="inlineStr">
        <is>
          <t>-</t>
        </is>
      </c>
      <c r="L70" s="52" t="inlineStr">
        <is>
          <t>15.00</t>
        </is>
      </c>
      <c r="M70" s="24" t="n"/>
      <c r="N70" s="53" t="inlineStr">
        <is>
          <t>OWN</t>
        </is>
      </c>
      <c r="O70" s="24" t="n"/>
      <c r="P70" s="62" t="inlineStr">
        <is>
          <t>PAID(PG) RB/2A1C THB 3,356+++ per night 
-1 CHD; TBA
- Party 5 rms.
DISCOVERY – THAILAND RESIDENTS RATE
-Accommodation
-Daily breakfast
-Kids under 4 years stay for free when using existing bed
-Stay two nights or more and receive a dining credit of THB 500 per room per stay**Cost deduct to transaction #81108**
-20% savings on dining, excluding alcoholic beverage and in-room dining and minibar
-20% savings on treatments at AvaniSpa, excluding promotional items
-Proof of Thailand residences must be presented at check-in</t>
        </is>
      </c>
      <c r="Q70" s="23" t="n"/>
      <c r="R70" s="23" t="n"/>
      <c r="S70" s="23" t="n"/>
      <c r="T70" s="23" t="n"/>
      <c r="U70" s="23" t="n"/>
      <c r="V70" s="24" t="n"/>
    </row>
    <row r="71" ht="114" customHeight="1">
      <c r="A71" s="95" t="inlineStr">
        <is>
          <t>Mr. Phanuphong Sartyaem</t>
        </is>
      </c>
      <c r="B71" s="24" t="n"/>
      <c r="C71" s="7" t="inlineStr">
        <is>
          <t>-</t>
        </is>
      </c>
      <c r="D71" s="39" t="inlineStr">
        <is>
          <t>2103</t>
        </is>
      </c>
      <c r="E71" s="24" t="n"/>
      <c r="F71" s="39" t="inlineStr">
        <is>
          <t>VIP2
TITANIUM</t>
        </is>
      </c>
      <c r="G71" s="24" t="n"/>
      <c r="H71" s="8" t="inlineStr">
        <is>
          <t>2+1</t>
        </is>
      </c>
      <c r="I71" s="9" t="inlineStr">
        <is>
          <t>25/07/26</t>
        </is>
      </c>
      <c r="J71" s="9" t="inlineStr">
        <is>
          <t>27/07/26</t>
        </is>
      </c>
      <c r="K71" s="8" t="inlineStr">
        <is>
          <t>-</t>
        </is>
      </c>
      <c r="L71" s="52" t="inlineStr">
        <is>
          <t>15.00</t>
        </is>
      </c>
      <c r="M71" s="24" t="n"/>
      <c r="N71" s="53" t="inlineStr">
        <is>
          <t>OWN</t>
        </is>
      </c>
      <c r="O71" s="24" t="n"/>
      <c r="P71" s="62" t="inlineStr">
        <is>
          <t>PAID(PG) RB/2A1C THB 2,960.27+++ per night 
- CHD (Ages TBA)
- Party 5 rms.
DISCOVERY – THAILAND RESIDENTS RATE:
-Accommodation
-Daily Breakfast
-Kids under 4 years stay for free when using existing bed
-Stay two nights or more and receive a dining credit of THB 500 per room per stay**Cost deduct to transaction #81108**
-20% savings on dining, excluding alcoholic beverage and in-room dining and minibar
-20% savings on treatments at AvaniSpa, excluding promotional items
-Proof of Thailand residences must be presented at check-in</t>
        </is>
      </c>
      <c r="Q71" s="23" t="n"/>
      <c r="R71" s="23" t="n"/>
      <c r="S71" s="23" t="n"/>
      <c r="T71" s="23" t="n"/>
      <c r="U71" s="23" t="n"/>
      <c r="V71" s="24" t="n"/>
    </row>
    <row r="72" ht="114" customHeight="1">
      <c r="A72" s="95" t="inlineStr">
        <is>
          <t>Mr. Phanuphong Sartyaem</t>
        </is>
      </c>
      <c r="B72" s="24" t="n"/>
      <c r="C72" s="7" t="inlineStr">
        <is>
          <t>-</t>
        </is>
      </c>
      <c r="D72" s="39" t="inlineStr">
        <is>
          <t>2104</t>
        </is>
      </c>
      <c r="E72" s="24" t="n"/>
      <c r="F72" s="39" t="inlineStr">
        <is>
          <t>VIP2
TITANIUM</t>
        </is>
      </c>
      <c r="G72" s="24" t="n"/>
      <c r="H72" s="8" t="inlineStr">
        <is>
          <t>2</t>
        </is>
      </c>
      <c r="I72" s="9" t="inlineStr">
        <is>
          <t>25/07/26</t>
        </is>
      </c>
      <c r="J72" s="9" t="inlineStr">
        <is>
          <t>27/07/26</t>
        </is>
      </c>
      <c r="K72" s="8" t="inlineStr">
        <is>
          <t>-</t>
        </is>
      </c>
      <c r="L72" s="52" t="inlineStr">
        <is>
          <t>15.00</t>
        </is>
      </c>
      <c r="M72" s="24" t="n"/>
      <c r="N72" s="53" t="inlineStr">
        <is>
          <t>OWN</t>
        </is>
      </c>
      <c r="O72" s="24" t="n"/>
      <c r="P72" s="62" t="inlineStr">
        <is>
          <t>PAID(PG) RB/2A THB 2,643+++ per night 
- Party 5 rms.
DISCOVERY – THAILAND RESIDENTS RATE
-Accommodation
-Daily breakfast
-Kids under 4 years stay for free when using existing bed
-Stay two nights or more and receive a dining credit of THB 500 per room per stay**Cost deduct to transaction #81108**
-20% savings on dining, excluding alcoholic beverage and in-room dining and minibar
-20% savings on treatments at AvaniSpa, excluding promotional items
-Proof of Thailand residences must be presented at check-in</t>
        </is>
      </c>
      <c r="Q72" s="23" t="n"/>
      <c r="R72" s="23" t="n"/>
      <c r="S72" s="23" t="n"/>
      <c r="T72" s="23" t="n"/>
      <c r="U72" s="23" t="n"/>
      <c r="V72" s="24" t="n"/>
    </row>
    <row r="73" ht="114" customHeight="1">
      <c r="A73" s="95" t="inlineStr">
        <is>
          <t>Mr. Phanuphong Sartyaem</t>
        </is>
      </c>
      <c r="B73" s="24" t="n"/>
      <c r="C73" s="7" t="inlineStr">
        <is>
          <t>-</t>
        </is>
      </c>
      <c r="D73" s="39" t="inlineStr">
        <is>
          <t>2105</t>
        </is>
      </c>
      <c r="E73" s="24" t="n"/>
      <c r="F73" s="39" t="inlineStr">
        <is>
          <t>VIP2
TITANIUM</t>
        </is>
      </c>
      <c r="G73" s="24" t="n"/>
      <c r="H73" s="8" t="inlineStr">
        <is>
          <t>2</t>
        </is>
      </c>
      <c r="I73" s="9" t="inlineStr">
        <is>
          <t>25/07/26</t>
        </is>
      </c>
      <c r="J73" s="9" t="inlineStr">
        <is>
          <t>27/07/26</t>
        </is>
      </c>
      <c r="K73" s="8" t="inlineStr">
        <is>
          <t>-</t>
        </is>
      </c>
      <c r="L73" s="52" t="inlineStr">
        <is>
          <t>15.00</t>
        </is>
      </c>
      <c r="M73" s="24" t="n"/>
      <c r="N73" s="53" t="inlineStr">
        <is>
          <t>OWN</t>
        </is>
      </c>
      <c r="O73" s="24" t="n"/>
      <c r="P73" s="62" t="inlineStr">
        <is>
          <t>PAID (PG) RB/2A THB 2,717+++per night  
- Party 5 rooms  
DISCOVERY – THAILAND RESIDENTS RATE:
-Accommodation 
-Daily breakfast 
-Kids under 4 years stay for free when using existing bed 
-Stay two nights or more and receive a dining credit of THB 500 per room per stay**Cost deduct to transaction #81108**
-20% savings on dining, excluding alcoholic beverage and in-room dining and minibar 
-20% savings on treatments at AvaniSpa, excluding promotional items 
-Proof of Thailand residences must be presented at check-in</t>
        </is>
      </c>
      <c r="Q73" s="23" t="n"/>
      <c r="R73" s="23" t="n"/>
      <c r="S73" s="23" t="n"/>
      <c r="T73" s="23" t="n"/>
      <c r="U73" s="23" t="n"/>
      <c r="V73" s="24" t="n"/>
    </row>
    <row r="74" ht="114" customHeight="1">
      <c r="A74" s="95" t="inlineStr">
        <is>
          <t>Mr. Phanuphong Sartyaem</t>
        </is>
      </c>
      <c r="B74" s="24" t="n"/>
      <c r="C74" s="7" t="inlineStr">
        <is>
          <t>-</t>
        </is>
      </c>
      <c r="D74" s="39" t="inlineStr">
        <is>
          <t>2106</t>
        </is>
      </c>
      <c r="E74" s="24" t="n"/>
      <c r="F74" s="39" t="inlineStr">
        <is>
          <t>VIP2
TITANIUM</t>
        </is>
      </c>
      <c r="G74" s="24" t="n"/>
      <c r="H74" s="8" t="inlineStr">
        <is>
          <t>2+1</t>
        </is>
      </c>
      <c r="I74" s="9" t="inlineStr">
        <is>
          <t>25/07/26</t>
        </is>
      </c>
      <c r="J74" s="9" t="inlineStr">
        <is>
          <t>27/07/26</t>
        </is>
      </c>
      <c r="K74" s="8" t="inlineStr">
        <is>
          <t>-</t>
        </is>
      </c>
      <c r="L74" s="52" t="inlineStr">
        <is>
          <t>15.00</t>
        </is>
      </c>
      <c r="M74" s="24" t="n"/>
      <c r="N74" s="53" t="inlineStr">
        <is>
          <t>OWN</t>
        </is>
      </c>
      <c r="O74" s="24" t="n"/>
      <c r="P74" s="62" t="inlineStr">
        <is>
          <t>PAID(PG) RB/2A1C THB 2,960.27+++ per night
- CHD (Ages TBA) 
- Party 5 rms.
DISCOVERY – THAILAND RESIDENTS RATE
- Accommodation
- Daily breakfast
- Kids under 4 years stay for free when using existing bed
- Stay two nights or more and receive a dining credit of THB 500 per room per stay**Cost deduct to transaction #81108**
- 20% savings on dining, excluding alcoholic beverage and in-room dining and minibar
- 20% savings on treatments at AvaniSpa, excluding promotional items
- Proof of Thailand residences must be presented at check-in</t>
        </is>
      </c>
      <c r="Q74" s="23" t="n"/>
      <c r="R74" s="23" t="n"/>
      <c r="S74" s="23" t="n"/>
      <c r="T74" s="23" t="n"/>
      <c r="U74" s="23" t="n"/>
      <c r="V74" s="24" t="n"/>
    </row>
    <row r="75" ht="114" customHeight="1">
      <c r="A75" s="95" t="inlineStr">
        <is>
          <t>Ms. Busabong Preechanonda</t>
        </is>
      </c>
      <c r="B75" s="24" t="n"/>
      <c r="C75" s="7" t="inlineStr">
        <is>
          <t>-</t>
        </is>
      </c>
      <c r="D75" s="39" t="inlineStr">
        <is>
          <t>2113
Booking.com</t>
        </is>
      </c>
      <c r="E75" s="24" t="n"/>
      <c r="F75" s="39" t="inlineStr">
        <is>
          <t>-</t>
        </is>
      </c>
      <c r="G75" s="24" t="n"/>
      <c r="H75" s="8" t="inlineStr">
        <is>
          <t>2+1</t>
        </is>
      </c>
      <c r="I75" s="9" t="inlineStr">
        <is>
          <t>25/07/26</t>
        </is>
      </c>
      <c r="J75" s="9" t="inlineStr">
        <is>
          <t>26/07/26</t>
        </is>
      </c>
      <c r="K75" s="8" t="inlineStr">
        <is>
          <t>-</t>
        </is>
      </c>
      <c r="L75" s="52" t="inlineStr">
        <is>
          <t>15.00</t>
        </is>
      </c>
      <c r="M75" s="24" t="n"/>
      <c r="N75" s="53" t="inlineStr">
        <is>
          <t>OWN</t>
        </is>
      </c>
      <c r="O75" s="24" t="n"/>
      <c r="P75" s="62" t="inlineStr">
        <is>
          <t>COA (See Trace) RB/2A+1C THB 6,371.42+++per night 
- 18% COMM Kickback at THB 1,349.85
- 1 CHD age 11 Yrs old
- Pty 2 rooms 
You have received a virtual credit card for this reservation.You may charge it as of 2026-07-22. Approximate time of arrival: between 15:00 and 16:00 ต้องการเตียงเสริมสำหรับเด็กอายุ 11 ปี, booker_is_genius, smoking preference: Non-Smoking</t>
        </is>
      </c>
      <c r="Q75" s="23" t="n"/>
      <c r="R75" s="23" t="n"/>
      <c r="S75" s="23" t="n"/>
      <c r="T75" s="23" t="n"/>
      <c r="U75" s="23" t="n"/>
      <c r="V75" s="24" t="n"/>
    </row>
    <row r="76" ht="114" customHeight="1">
      <c r="A76" s="95" t="inlineStr">
        <is>
          <t>Mr. Motoki Achiha</t>
        </is>
      </c>
      <c r="B76" s="24" t="n"/>
      <c r="C76" s="7" t="inlineStr">
        <is>
          <t>-</t>
        </is>
      </c>
      <c r="D76" s="39" t="inlineStr">
        <is>
          <t>2201
DNATA</t>
        </is>
      </c>
      <c r="E76" s="24" t="n"/>
      <c r="F76" s="39" t="inlineStr">
        <is>
          <t>-</t>
        </is>
      </c>
      <c r="G76" s="24" t="n"/>
      <c r="H76" s="8" t="inlineStr">
        <is>
          <t>2</t>
        </is>
      </c>
      <c r="I76" s="9" t="inlineStr">
        <is>
          <t>25/07/26</t>
        </is>
      </c>
      <c r="J76" s="9" t="inlineStr">
        <is>
          <t>27/07/26</t>
        </is>
      </c>
      <c r="K76" s="8" t="inlineStr">
        <is>
          <t>-</t>
        </is>
      </c>
      <c r="L76" s="52" t="inlineStr">
        <is>
          <t>15.00</t>
        </is>
      </c>
      <c r="M76" s="24" t="n"/>
      <c r="N76" s="53" t="inlineStr">
        <is>
          <t>OWN</t>
        </is>
      </c>
      <c r="O76" s="24" t="n"/>
      <c r="P76" s="62" t="inlineStr">
        <is>
          <t>CTC RB/2A THB 2,475 net per night per room **COLL VCH**
- Pro. Exclusive Green Season Escape - 45%</t>
        </is>
      </c>
      <c r="Q76" s="23" t="n"/>
      <c r="R76" s="23" t="n"/>
      <c r="S76" s="23" t="n"/>
      <c r="T76" s="23" t="n"/>
      <c r="U76" s="23" t="n"/>
      <c r="V76" s="24" t="n"/>
    </row>
    <row r="77" ht="114" customHeight="1">
      <c r="A77" s="95" t="inlineStr">
        <is>
          <t>Ms. Landysh Khabipova</t>
        </is>
      </c>
      <c r="B77" s="24" t="n"/>
      <c r="C77" s="7" t="inlineStr">
        <is>
          <t>-</t>
        </is>
      </c>
      <c r="D77" s="39" t="inlineStr">
        <is>
          <t>2202</t>
        </is>
      </c>
      <c r="E77" s="24" t="n"/>
      <c r="F77" s="39" t="inlineStr">
        <is>
          <t>VIPG
SILVER</t>
        </is>
      </c>
      <c r="G77" s="24" t="n"/>
      <c r="H77" s="8" t="inlineStr">
        <is>
          <t>2</t>
        </is>
      </c>
      <c r="I77" s="9" t="inlineStr">
        <is>
          <t>25/07/26</t>
        </is>
      </c>
      <c r="J77" s="9" t="inlineStr">
        <is>
          <t>28/07/26</t>
        </is>
      </c>
      <c r="K77" s="8" t="inlineStr">
        <is>
          <t>-</t>
        </is>
      </c>
      <c r="L77" s="52" t="inlineStr">
        <is>
          <t>15.00</t>
        </is>
      </c>
      <c r="M77" s="24" t="n"/>
      <c r="N77" s="53" t="inlineStr">
        <is>
          <t>OWN</t>
        </is>
      </c>
      <c r="O77" s="24" t="n"/>
      <c r="P77" s="62" t="inlineStr">
        <is>
          <t>PAID (Credit from PM Megatix) RB/2A THB 2,500 net per night (Booked from Travel Agency)
POA 3 x Elements Dinner Buffet at THB 1,200 net per pax / Oaky COL payment upon arrival
-Party 3 rooms ( Strong request All Twin bed room )
-8.2 % comm prepaid THB 601.80 net
***Please assist in screening the guest's QR Code to redeem the voucher
Tiew Thai Deal Includes:
-Accommodation
-Daily Breakfast
-20% savings on food and beverages
-20% savings on selected treatments at Avani Spa
-Proof of Thai residency, Thai ID Card or work permit must be presented at check-in.  In case of no document, the best available rate will be applied</t>
        </is>
      </c>
      <c r="Q77" s="23" t="n"/>
      <c r="R77" s="23" t="n"/>
      <c r="S77" s="23" t="n"/>
      <c r="T77" s="23" t="n"/>
      <c r="U77" s="23" t="n"/>
      <c r="V77" s="24" t="n"/>
    </row>
    <row r="78" ht="114" customHeight="1">
      <c r="A78" s="95" t="inlineStr">
        <is>
          <t>Ms. Landysh Khabipova</t>
        </is>
      </c>
      <c r="B78" s="24" t="n"/>
      <c r="C78" s="7" t="inlineStr">
        <is>
          <t>-</t>
        </is>
      </c>
      <c r="D78" s="39" t="inlineStr">
        <is>
          <t>2203</t>
        </is>
      </c>
      <c r="E78" s="24" t="n"/>
      <c r="F78" s="39" t="inlineStr">
        <is>
          <t>VIPG
SILVER</t>
        </is>
      </c>
      <c r="G78" s="24" t="n"/>
      <c r="H78" s="8" t="inlineStr">
        <is>
          <t>2</t>
        </is>
      </c>
      <c r="I78" s="9" t="inlineStr">
        <is>
          <t>25/07/26</t>
        </is>
      </c>
      <c r="J78" s="9" t="inlineStr">
        <is>
          <t>28/07/26</t>
        </is>
      </c>
      <c r="K78" s="8" t="inlineStr">
        <is>
          <t>-</t>
        </is>
      </c>
      <c r="L78" s="52" t="inlineStr">
        <is>
          <t>15.00</t>
        </is>
      </c>
      <c r="M78" s="24" t="n"/>
      <c r="N78" s="53" t="inlineStr">
        <is>
          <t>OWN</t>
        </is>
      </c>
      <c r="O78" s="24" t="n"/>
      <c r="P78" s="62" t="inlineStr">
        <is>
          <t>PAID (Credit from PM Megatix) RB/2A THB 2,500 net per night (Booked from Travel Agency)
-Party 3 rooms ( Strong request All Twin bed room )
-8.2 % comm prepaid THB 601.80 net
***Please assist in screening the guest's QR Code to redeem the voucher
Tiew Thai Deal Includes:
-Accommodation
-Daily Breakfast
-20% savings on food and beverages
-20% savings on selected treatments at Avani Spa
-Proof of Thai residency , Thai ID Card or work permit must be presented at check-in.  In case of no document, the best available rate will be applied</t>
        </is>
      </c>
      <c r="Q78" s="23" t="n"/>
      <c r="R78" s="23" t="n"/>
      <c r="S78" s="23" t="n"/>
      <c r="T78" s="23" t="n"/>
      <c r="U78" s="23" t="n"/>
      <c r="V78" s="24" t="n"/>
    </row>
    <row r="79" ht="114" customHeight="1">
      <c r="A79" s="95" t="inlineStr">
        <is>
          <t>Ms. Landysh Khabipova</t>
        </is>
      </c>
      <c r="B79" s="24" t="n"/>
      <c r="C79" s="7" t="inlineStr">
        <is>
          <t>-</t>
        </is>
      </c>
      <c r="D79" s="39" t="inlineStr">
        <is>
          <t>2204</t>
        </is>
      </c>
      <c r="E79" s="24" t="n"/>
      <c r="F79" s="39" t="inlineStr">
        <is>
          <t>VIPG
SILVER</t>
        </is>
      </c>
      <c r="G79" s="24" t="n"/>
      <c r="H79" s="8" t="inlineStr">
        <is>
          <t>2</t>
        </is>
      </c>
      <c r="I79" s="9" t="inlineStr">
        <is>
          <t>25/07/26</t>
        </is>
      </c>
      <c r="J79" s="9" t="inlineStr">
        <is>
          <t>28/07/26</t>
        </is>
      </c>
      <c r="K79" s="8" t="inlineStr">
        <is>
          <t>-</t>
        </is>
      </c>
      <c r="L79" s="52" t="inlineStr">
        <is>
          <t>15.00</t>
        </is>
      </c>
      <c r="M79" s="24" t="n"/>
      <c r="N79" s="53" t="inlineStr">
        <is>
          <t>OWN</t>
        </is>
      </c>
      <c r="O79" s="24" t="n"/>
      <c r="P79" s="62" t="inlineStr">
        <is>
          <t>PAID (Credit from PM Megatix) RB/2A THB 2,500 net per night (Booked from Travel Agency)
-Party 3 rooms ( Strong request All Twin bed room )
-8.2 % comm prepaid THB 601.80 net
***Please assist in screening the guest's QR Code to redeem the voucher
Tiew Thai Deal Includes:
-Accommodation
-Daily Breakfast
-20% savings on food and beverages
-20% savings on selected treatments at Avani Spa
-Proof of Thai residency , Thai ID Card or work permit must be presented at check-in.  In case of no document, the best available rate will be applied</t>
        </is>
      </c>
      <c r="Q79" s="23" t="n"/>
      <c r="R79" s="23" t="n"/>
      <c r="S79" s="23" t="n"/>
      <c r="T79" s="23" t="n"/>
      <c r="U79" s="23" t="n"/>
      <c r="V79" s="24" t="n"/>
    </row>
    <row r="80" ht="114" customHeight="1">
      <c r="A80" s="95" t="inlineStr">
        <is>
          <t>Ms. Patcharin Audomthongkon</t>
        </is>
      </c>
      <c r="B80" s="24" t="n"/>
      <c r="C80" s="7" t="inlineStr">
        <is>
          <t>-</t>
        </is>
      </c>
      <c r="D80" s="39" t="inlineStr">
        <is>
          <t>2206
MI Squared</t>
        </is>
      </c>
      <c r="E80" s="24" t="n"/>
      <c r="F80" s="39" t="inlineStr">
        <is>
          <t>-</t>
        </is>
      </c>
      <c r="G80" s="24" t="n"/>
      <c r="H80" s="8" t="inlineStr">
        <is>
          <t>2</t>
        </is>
      </c>
      <c r="I80" s="9" t="inlineStr">
        <is>
          <t>25/07/26</t>
        </is>
      </c>
      <c r="J80" s="9" t="inlineStr">
        <is>
          <t>28/07/26</t>
        </is>
      </c>
      <c r="K80" s="8" t="inlineStr">
        <is>
          <t>-</t>
        </is>
      </c>
      <c r="L80" s="52" t="inlineStr">
        <is>
          <t>11.10</t>
        </is>
      </c>
      <c r="M80" s="24" t="n"/>
      <c r="N80" s="53" t="inlineStr">
        <is>
          <t>OWN</t>
        </is>
      </c>
      <c r="O80" s="24" t="n"/>
      <c r="P80" s="62" t="inlineStr">
        <is>
          <t>CTC RB/2A THB 2,500 net per night **Billing to MI Squared Limited**
- Pro. Royal Escapes - AVC Marketing Preview</t>
        </is>
      </c>
      <c r="Q80" s="23" t="n"/>
      <c r="R80" s="23" t="n"/>
      <c r="S80" s="23" t="n"/>
      <c r="T80" s="23" t="n"/>
      <c r="U80" s="23" t="n"/>
      <c r="V80" s="24" t="n"/>
    </row>
    <row r="81" ht="114" customHeight="1">
      <c r="A81" s="95" t="inlineStr">
        <is>
          <t>Mrs. Elena Suslina</t>
        </is>
      </c>
      <c r="B81" s="24" t="n"/>
      <c r="C81" s="7" t="inlineStr">
        <is>
          <t>-</t>
        </is>
      </c>
      <c r="D81" s="39" t="inlineStr">
        <is>
          <t>2207
BG Asia</t>
        </is>
      </c>
      <c r="E81" s="24" t="n"/>
      <c r="F81" s="39" t="inlineStr">
        <is>
          <t>VIPS
SILVER</t>
        </is>
      </c>
      <c r="G81" s="24" t="n"/>
      <c r="H81" s="8" t="inlineStr">
        <is>
          <t>3</t>
        </is>
      </c>
      <c r="I81" s="9" t="inlineStr">
        <is>
          <t>25/07/26</t>
        </is>
      </c>
      <c r="J81" s="9" t="inlineStr">
        <is>
          <t>27/07/26</t>
        </is>
      </c>
      <c r="K81" s="8" t="inlineStr">
        <is>
          <t>-</t>
        </is>
      </c>
      <c r="L81" s="52" t="inlineStr">
        <is>
          <t>15.00</t>
        </is>
      </c>
      <c r="M81" s="24" t="n"/>
      <c r="N81" s="53" t="inlineStr">
        <is>
          <t>OWN</t>
        </is>
      </c>
      <c r="O81" s="24" t="n"/>
      <c r="P81" s="62" t="inlineStr">
        <is>
          <t>PAID RB/3A THB 4,200 net per night + 3 HB (3 course) at THB 950 net per night 
- Pro. Green Season Escape: 2,700 + EXB 1,500
Consecutives booking
#850178951 on 14-25 July 2026 in 1H4XK
#850181964 on 25-27 July 2026 in 1H2XK</t>
        </is>
      </c>
      <c r="Q81" s="23" t="n"/>
      <c r="R81" s="23" t="n"/>
      <c r="S81" s="23" t="n"/>
      <c r="T81" s="23" t="n"/>
      <c r="U81" s="23" t="n"/>
      <c r="V81" s="24" t="n"/>
    </row>
    <row r="82" ht="114" customHeight="1">
      <c r="A82" s="95" t="inlineStr">
        <is>
          <t>Mr. Suphachoke Saisangthong</t>
        </is>
      </c>
      <c r="B82" s="24" t="n"/>
      <c r="C82" s="7" t="inlineStr">
        <is>
          <t>-</t>
        </is>
      </c>
      <c r="D82" s="39" t="inlineStr">
        <is>
          <t>2208</t>
        </is>
      </c>
      <c r="E82" s="24" t="n"/>
      <c r="F82" s="39" t="inlineStr">
        <is>
          <t>-</t>
        </is>
      </c>
      <c r="G82" s="24" t="n"/>
      <c r="H82" s="8" t="inlineStr">
        <is>
          <t>2</t>
        </is>
      </c>
      <c r="I82" s="9" t="inlineStr">
        <is>
          <t>25/07/26</t>
        </is>
      </c>
      <c r="J82" s="9" t="inlineStr">
        <is>
          <t>29/07/26</t>
        </is>
      </c>
      <c r="K82" s="8" t="inlineStr">
        <is>
          <t>-</t>
        </is>
      </c>
      <c r="L82" s="52" t="inlineStr">
        <is>
          <t>15.00</t>
        </is>
      </c>
      <c r="M82" s="24" t="n"/>
      <c r="N82" s="53" t="inlineStr">
        <is>
          <t>OWN</t>
        </is>
      </c>
      <c r="O82" s="24" t="n"/>
      <c r="P82" s="62" t="inlineStr">
        <is>
          <t>PAID RB/2A THB 2,299.92+++ per night **TOTAL THB 10,920 net**
THAILAND RESIDENTS RATE:
- Accommodation
- Daily breakfast
- Kids under 4 years stay for free when using existing bed
- Stay two nights or more and receive a dining credit of THB 500 per room per stay**FO Cost allocation to 81108**
- 20% savings on dining, excluding alcoholic beverage and in-room dining and minibar
- 20% savings on treatments at AvaniSpa, excluding promotional items
- Proof of Thailand residences must be presented at check-in</t>
        </is>
      </c>
      <c r="Q82" s="23" t="n"/>
      <c r="R82" s="23" t="n"/>
      <c r="S82" s="23" t="n"/>
      <c r="T82" s="23" t="n"/>
      <c r="U82" s="23" t="n"/>
      <c r="V82" s="24" t="n"/>
    </row>
    <row r="83" ht="114" customHeight="1">
      <c r="A83" s="95" t="inlineStr">
        <is>
          <t>Mrs. Nattha Midey</t>
        </is>
      </c>
      <c r="B83" s="24" t="n"/>
      <c r="C83" s="7" t="inlineStr">
        <is>
          <t>-</t>
        </is>
      </c>
      <c r="D83" s="39" t="inlineStr">
        <is>
          <t>2210</t>
        </is>
      </c>
      <c r="E83" s="24" t="n"/>
      <c r="F83" s="39" t="inlineStr">
        <is>
          <t>-</t>
        </is>
      </c>
      <c r="G83" s="24" t="n"/>
      <c r="H83" s="8" t="inlineStr">
        <is>
          <t>2+1</t>
        </is>
      </c>
      <c r="I83" s="9" t="inlineStr">
        <is>
          <t>25/07/26</t>
        </is>
      </c>
      <c r="J83" s="9" t="inlineStr">
        <is>
          <t>29/07/26</t>
        </is>
      </c>
      <c r="K83" s="8" t="inlineStr">
        <is>
          <t>-</t>
        </is>
      </c>
      <c r="L83" s="52" t="inlineStr">
        <is>
          <t>15.00</t>
        </is>
      </c>
      <c r="M83" s="24" t="n"/>
      <c r="N83" s="53" t="inlineStr">
        <is>
          <t>OWN</t>
        </is>
      </c>
      <c r="O83" s="24" t="n"/>
      <c r="P83" s="62" t="inlineStr">
        <is>
          <t>PAID (PG) RB/2A THB 2,900 net per night
- FOC 1 CHD 2 yrs
- Original 03-07 Jul 26 amend to 25-29 Jul 26 
77th Discovery Thailand 05-08 March 2026
- Rate includes daily breakfast
- Free One-time meal at Burgur &amp; Wing (food only) **Cost deduct to transaction #81108 at THB 150 net/pax**
- Early Check - in 10 AM and Late Check - out 3 PM
- 1 Child (0 - 11 years) stay free in existing bed with ABF
- 20% Discount on Spa, Food, and Non-Alcoholic Beverages.
- Thai ID/ Passport/ or Work Permit must be required to present at time of check – in</t>
        </is>
      </c>
      <c r="Q83" s="23" t="n"/>
      <c r="R83" s="23" t="n"/>
      <c r="S83" s="23" t="n"/>
      <c r="T83" s="23" t="n"/>
      <c r="U83" s="23" t="n"/>
      <c r="V83" s="24" t="n"/>
    </row>
    <row r="84" ht="114" customHeight="1">
      <c r="A84" s="95" t="inlineStr">
        <is>
          <t>Miss. Benjawan Lertsirisathaporn</t>
        </is>
      </c>
      <c r="B84" s="24" t="n"/>
      <c r="C84" s="7" t="inlineStr">
        <is>
          <t>-</t>
        </is>
      </c>
      <c r="D84" s="39" t="inlineStr">
        <is>
          <t>2212</t>
        </is>
      </c>
      <c r="E84" s="24" t="n"/>
      <c r="F84" s="39" t="inlineStr">
        <is>
          <t>VIPG
SILVER</t>
        </is>
      </c>
      <c r="G84" s="24" t="n"/>
      <c r="H84" s="8" t="inlineStr">
        <is>
          <t>2</t>
        </is>
      </c>
      <c r="I84" s="9" t="inlineStr">
        <is>
          <t>25/07/26</t>
        </is>
      </c>
      <c r="J84" s="9" t="inlineStr">
        <is>
          <t>28/07/26</t>
        </is>
      </c>
      <c r="K84" s="8" t="inlineStr">
        <is>
          <t>-</t>
        </is>
      </c>
      <c r="L84" s="52" t="inlineStr">
        <is>
          <t>15.00</t>
        </is>
      </c>
      <c r="M84" s="24" t="n"/>
      <c r="N84" s="53" t="inlineStr">
        <is>
          <t>OWN</t>
        </is>
      </c>
      <c r="O84" s="24" t="n"/>
      <c r="P84" s="62" t="inlineStr">
        <is>
          <t>PAID (PG) RB/2A THB 2,390 net per night per room
- Line name: Nana
- Party 2 rms.
Tiew Thai Deal:
• Accommodation in Deluxe Room
• Daily breakfast for 2 persons
• 20% savings on food and beverages
• 20% savings on selected treatments at AvaniSpa
• Complimentary 2 mocktails per night for bookings made via LINE Official Account **Already breakdown at THB 55 net/glass/day**</t>
        </is>
      </c>
      <c r="Q84" s="23" t="n"/>
      <c r="R84" s="23" t="n"/>
      <c r="S84" s="23" t="n"/>
      <c r="T84" s="23" t="n"/>
      <c r="U84" s="23" t="n"/>
      <c r="V84" s="24" t="n"/>
    </row>
    <row r="85" ht="114" customHeight="1">
      <c r="A85" s="95" t="inlineStr">
        <is>
          <t>Miss. Benjawan Lertsirisathaporn</t>
        </is>
      </c>
      <c r="B85" s="24" t="n"/>
      <c r="C85" s="7" t="inlineStr">
        <is>
          <t>-</t>
        </is>
      </c>
      <c r="D85" s="39" t="inlineStr">
        <is>
          <t>2213</t>
        </is>
      </c>
      <c r="E85" s="24" t="n"/>
      <c r="F85" s="39" t="inlineStr">
        <is>
          <t>VIPG
SILVER</t>
        </is>
      </c>
      <c r="G85" s="24" t="n"/>
      <c r="H85" s="8" t="inlineStr">
        <is>
          <t>2</t>
        </is>
      </c>
      <c r="I85" s="9" t="inlineStr">
        <is>
          <t>25/07/26</t>
        </is>
      </c>
      <c r="J85" s="9" t="inlineStr">
        <is>
          <t>28/07/26</t>
        </is>
      </c>
      <c r="K85" s="8" t="inlineStr">
        <is>
          <t>-</t>
        </is>
      </c>
      <c r="L85" s="52" t="inlineStr">
        <is>
          <t>15.00</t>
        </is>
      </c>
      <c r="M85" s="24" t="n"/>
      <c r="N85" s="53" t="inlineStr">
        <is>
          <t>OWN</t>
        </is>
      </c>
      <c r="O85" s="24" t="n"/>
      <c r="P85" s="62" t="inlineStr">
        <is>
          <t>PAID (PG) RB/2A THB 2,390 net per night per room - Line name: Nana - 2 Party   Tiew Thai Deal: • Accommodation in Deluxe Room • Daily breakfast for 2 persons • 20% savings on food and beverages • 20% savings on selected treatments at AvaniSpa • Complimentary 2 mocktails per night for bookings made via LINE Official Account **Already breakdown at THB 55 net/glass/day**</t>
        </is>
      </c>
      <c r="Q85" s="23" t="n"/>
      <c r="R85" s="23" t="n"/>
      <c r="S85" s="23" t="n"/>
      <c r="T85" s="23" t="n"/>
      <c r="U85" s="23" t="n"/>
      <c r="V85" s="24" t="n"/>
    </row>
    <row r="86" ht="114" customHeight="1">
      <c r="A86" s="95" t="inlineStr">
        <is>
          <t>Mrs. Shirley Carfati</t>
        </is>
      </c>
      <c r="B86" s="24" t="n"/>
      <c r="C86" s="7" t="inlineStr">
        <is>
          <t>-</t>
        </is>
      </c>
      <c r="D86" s="39" t="inlineStr">
        <is>
          <t>2301</t>
        </is>
      </c>
      <c r="E86" s="24" t="n"/>
      <c r="F86" s="39" t="inlineStr">
        <is>
          <t>VIPG
SILVER</t>
        </is>
      </c>
      <c r="G86" s="24" t="n"/>
      <c r="H86" s="8" t="inlineStr">
        <is>
          <t>2+1</t>
        </is>
      </c>
      <c r="I86" s="9" t="inlineStr">
        <is>
          <t>25/07/26</t>
        </is>
      </c>
      <c r="J86" s="9" t="inlineStr">
        <is>
          <t>28/07/26</t>
        </is>
      </c>
      <c r="K86" s="8" t="inlineStr">
        <is>
          <t>-</t>
        </is>
      </c>
      <c r="L86" s="52" t="inlineStr">
        <is>
          <t>15.00</t>
        </is>
      </c>
      <c r="M86" s="24" t="n"/>
      <c r="N86" s="53" t="inlineStr">
        <is>
          <t>OWN</t>
        </is>
      </c>
      <c r="O86" s="24" t="n"/>
      <c r="P86" s="62" t="inlineStr">
        <is>
          <t>PAID (PG) RB/2A1C THB 4,053.25+++ per night 
-Pty 2 rooms, chd age 7 yrs old
Direct Booking Benefits:
• 20% savings on dining (excluding In-Room Dining, minibar &amp; alcoholic beverages)
• 20% savings on spa treatment at AvaniSpa (excluding Coco Breeze Salas)
• 20% savings on laundry service</t>
        </is>
      </c>
      <c r="Q86" s="23" t="n"/>
      <c r="R86" s="23" t="n"/>
      <c r="S86" s="23" t="n"/>
      <c r="T86" s="23" t="n"/>
      <c r="U86" s="23" t="n"/>
      <c r="V86" s="24" t="n"/>
    </row>
    <row r="87" ht="114" customHeight="1">
      <c r="A87" s="95" t="inlineStr">
        <is>
          <t>Ms. Matuwan Nontakarn</t>
        </is>
      </c>
      <c r="B87" s="24" t="n"/>
      <c r="C87" s="7" t="inlineStr">
        <is>
          <t>-</t>
        </is>
      </c>
      <c r="D87" s="39" t="inlineStr">
        <is>
          <t>2304</t>
        </is>
      </c>
      <c r="E87" s="24" t="n"/>
      <c r="F87" s="39" t="inlineStr">
        <is>
          <t>-</t>
        </is>
      </c>
      <c r="G87" s="24" t="n"/>
      <c r="H87" s="8" t="inlineStr">
        <is>
          <t>2+1</t>
        </is>
      </c>
      <c r="I87" s="9" t="inlineStr">
        <is>
          <t>25/07/26</t>
        </is>
      </c>
      <c r="J87" s="9" t="inlineStr">
        <is>
          <t>26/07/26</t>
        </is>
      </c>
      <c r="K87" s="8" t="inlineStr">
        <is>
          <t>-</t>
        </is>
      </c>
      <c r="L87" s="52" t="inlineStr">
        <is>
          <t>15.00</t>
        </is>
      </c>
      <c r="M87" s="24" t="n"/>
      <c r="N87" s="53" t="inlineStr">
        <is>
          <t>OWN</t>
        </is>
      </c>
      <c r="O87" s="24" t="n"/>
      <c r="P87" s="62" t="inlineStr">
        <is>
          <t>PAID (PG) RB/2A THB 2,500 net per night 
-FOC 1 CHD: 2 yrs.old 
-Pty 2 rooms: RQ. near the elevator, as an elderly guest will be staying.
Hello 365 Days Review
-Daily breakfast for 2 persons
-Children under 4 stay free (sharing existing bed)
-20% discount on food &amp; beverage (excluding alcohol, in-room dinning and minibar)
-20% discount on treatment at AvaniSpa (excluding ongoing promotions)</t>
        </is>
      </c>
      <c r="Q87" s="23" t="n"/>
      <c r="R87" s="23" t="n"/>
      <c r="S87" s="23" t="n"/>
      <c r="T87" s="23" t="n"/>
      <c r="U87" s="23" t="n"/>
      <c r="V87" s="24" t="n"/>
    </row>
    <row r="88" ht="114" customHeight="1">
      <c r="A88" s="95" t="inlineStr">
        <is>
          <t>Ms. Matuwan Nontakarn</t>
        </is>
      </c>
      <c r="B88" s="24" t="n"/>
      <c r="C88" s="7" t="inlineStr">
        <is>
          <t>-</t>
        </is>
      </c>
      <c r="D88" s="39" t="inlineStr">
        <is>
          <t>2305</t>
        </is>
      </c>
      <c r="E88" s="24" t="n"/>
      <c r="F88" s="39" t="inlineStr">
        <is>
          <t>-</t>
        </is>
      </c>
      <c r="G88" s="24" t="n"/>
      <c r="H88" s="8" t="inlineStr">
        <is>
          <t>2</t>
        </is>
      </c>
      <c r="I88" s="9" t="inlineStr">
        <is>
          <t>25/07/26</t>
        </is>
      </c>
      <c r="J88" s="9" t="inlineStr">
        <is>
          <t>26/07/26</t>
        </is>
      </c>
      <c r="K88" s="8" t="inlineStr">
        <is>
          <t>-</t>
        </is>
      </c>
      <c r="L88" s="52" t="inlineStr">
        <is>
          <t>15.00</t>
        </is>
      </c>
      <c r="M88" s="24" t="n"/>
      <c r="N88" s="53" t="inlineStr">
        <is>
          <t>OWN</t>
        </is>
      </c>
      <c r="O88" s="24" t="n"/>
      <c r="P88" s="62" t="inlineStr">
        <is>
          <t>PAID (PG) RB/2A THB 2,500 net per night 
-Party 2 rooms: RQ. near the elevator, as an elderly guest will be staying.
Hello 365 Days Review
-Daily breakfast for 2 persons
-Children under 4 stay free (sharing existing bed)
-20% discount on food &amp; beverage (excluding alcohol, in-room dinning and minibar)
-20% discount on treatment at AvaniSpa (excluding ongoing promotions)</t>
        </is>
      </c>
      <c r="Q88" s="23" t="n"/>
      <c r="R88" s="23" t="n"/>
      <c r="S88" s="23" t="n"/>
      <c r="T88" s="23" t="n"/>
      <c r="U88" s="23" t="n"/>
      <c r="V88" s="24" t="n"/>
    </row>
    <row r="89" ht="114" customHeight="1">
      <c r="A89" s="95" t="inlineStr">
        <is>
          <t>Ms. Sarochar Nomkran</t>
        </is>
      </c>
      <c r="B89" s="24" t="n"/>
      <c r="C89" s="7" t="inlineStr">
        <is>
          <t>-</t>
        </is>
      </c>
      <c r="D89" s="39" t="inlineStr">
        <is>
          <t>2306
Expedia</t>
        </is>
      </c>
      <c r="E89" s="24" t="n"/>
      <c r="F89" s="39" t="inlineStr">
        <is>
          <t>VIPG</t>
        </is>
      </c>
      <c r="G89" s="24" t="n"/>
      <c r="H89" s="8" t="inlineStr">
        <is>
          <t>2</t>
        </is>
      </c>
      <c r="I89" s="9" t="inlineStr">
        <is>
          <t>25/07/26</t>
        </is>
      </c>
      <c r="J89" s="9" t="inlineStr">
        <is>
          <t>27/07/26</t>
        </is>
      </c>
      <c r="K89" s="8" t="inlineStr">
        <is>
          <t>-</t>
        </is>
      </c>
      <c r="L89" s="52" t="inlineStr">
        <is>
          <t>15.00</t>
        </is>
      </c>
      <c r="M89" s="24" t="n"/>
      <c r="N89" s="53" t="inlineStr">
        <is>
          <t>OWN</t>
        </is>
      </c>
      <c r="O89" s="24" t="n"/>
      <c r="P89" s="62" t="inlineStr">
        <is>
          <t>COA (see trace) RB/2A THB 2,714.99+++(25/07/26) + THB 3,157.11+++(26/07/26) per night
- 20% comm prepaid at 1,174.42 THB
- Party 2 rooms
- RQ 1 king 
Payment Method: VirtualCard, Remittance Model: Net, Expedia Collect Booking, 2 Twin Beds, Non-Smoking, Multi-room booking. Primary traveler:NOMKRAN, SAROCHAR. 1 of 2 rooms., One King room, one Twin room. The King room is for our wedding anniversary., Remittance amount: 5,795.77, Virtual card will be activated from the day of Check-in.</t>
        </is>
      </c>
      <c r="Q89" s="23" t="n"/>
      <c r="R89" s="23" t="n"/>
      <c r="S89" s="23" t="n"/>
      <c r="T89" s="23" t="n"/>
      <c r="U89" s="23" t="n"/>
      <c r="V89" s="24" t="n"/>
    </row>
    <row r="90" ht="114" customHeight="1">
      <c r="A90" s="95" t="inlineStr">
        <is>
          <t>Ms. Wohranuch Jiansiri</t>
        </is>
      </c>
      <c r="B90" s="24" t="n"/>
      <c r="C90" s="7" t="inlineStr">
        <is>
          <t>-</t>
        </is>
      </c>
      <c r="D90" s="39" t="inlineStr">
        <is>
          <t>2307
Expedia</t>
        </is>
      </c>
      <c r="E90" s="24" t="n"/>
      <c r="F90" s="39" t="inlineStr">
        <is>
          <t>-</t>
        </is>
      </c>
      <c r="G90" s="24" t="n"/>
      <c r="H90" s="8" t="inlineStr">
        <is>
          <t>2</t>
        </is>
      </c>
      <c r="I90" s="9" t="inlineStr">
        <is>
          <t>25/07/26</t>
        </is>
      </c>
      <c r="J90" s="9" t="inlineStr">
        <is>
          <t>27/07/26</t>
        </is>
      </c>
      <c r="K90" s="8" t="inlineStr">
        <is>
          <t>-</t>
        </is>
      </c>
      <c r="L90" s="52" t="inlineStr">
        <is>
          <t>15.00</t>
        </is>
      </c>
      <c r="M90" s="24" t="n"/>
      <c r="N90" s="53" t="inlineStr">
        <is>
          <t>OWN</t>
        </is>
      </c>
      <c r="O90" s="24" t="n"/>
      <c r="P90" s="62" t="inlineStr">
        <is>
          <t>COA(see trace) RB/2A THB 2,714.99+++(25/07/26)+THB 3,157.11+++(26/07/26) per night
- 20% comm prepaid at 1,174.42 THB
- Party 2 rooms
- RQ twin bed
Payment Method: VirtualCard, Remittance Model: Net, Expedia Collect Booking, 2 Twin Beds, Non-Smoking, Multi-room booking. Primary traveler:NOMKRAN, SAROCHAR. 2 of 2 rooms., One King room, one Twin room. The King room is for our wedding anniversary., Remittance amount: 5,795.77, Virtual card will be activated from the day of Check-in.</t>
        </is>
      </c>
      <c r="Q90" s="23" t="n"/>
      <c r="R90" s="23" t="n"/>
      <c r="S90" s="23" t="n"/>
      <c r="T90" s="23" t="n"/>
      <c r="U90" s="23" t="n"/>
      <c r="V90" s="24" t="n"/>
    </row>
    <row r="91" ht="114" customHeight="1">
      <c r="A91" s="95" t="inlineStr">
        <is>
          <t>Mr. Watchara Panpuch</t>
        </is>
      </c>
      <c r="B91" s="24" t="n"/>
      <c r="C91" s="7" t="inlineStr">
        <is>
          <t>-</t>
        </is>
      </c>
      <c r="D91" s="39" t="inlineStr">
        <is>
          <t>2308</t>
        </is>
      </c>
      <c r="E91" s="24" t="n"/>
      <c r="F91" s="39" t="inlineStr">
        <is>
          <t>VIPG
SILVER</t>
        </is>
      </c>
      <c r="G91" s="24" t="n"/>
      <c r="H91" s="8" t="inlineStr">
        <is>
          <t>2+1</t>
        </is>
      </c>
      <c r="I91" s="9" t="inlineStr">
        <is>
          <t>25/07/26</t>
        </is>
      </c>
      <c r="J91" s="9" t="inlineStr">
        <is>
          <t>27/07/26</t>
        </is>
      </c>
      <c r="K91" s="8" t="inlineStr">
        <is>
          <t>-</t>
        </is>
      </c>
      <c r="L91" s="52" t="inlineStr">
        <is>
          <t>14.00</t>
        </is>
      </c>
      <c r="M91" s="24" t="n"/>
      <c r="N91" s="53" t="inlineStr">
        <is>
          <t>OWN</t>
        </is>
      </c>
      <c r="O91" s="24" t="n"/>
      <c r="P91" s="62" t="inlineStr">
        <is>
          <t>PAID (Bank TRSF) RB/2A1C THB 2,390 net per night per room + 1 x CBF at THB375 net per night
- 1 CHD 5 Yrs.
- Line name: watchara
- Party 2 rms.
Tiew Thai Deal:
• Accommodation in Deluxe Room
• Daily breakfast for 2 persons
• 20% savings on food and beverages
• 20% savings on selected treatments at AvaniSpa
• Complimentary 2 mocktails per night for bookings made via LINE Official Account **Already breakdown at THB 55 net/glass/day**</t>
        </is>
      </c>
      <c r="Q91" s="23" t="n"/>
      <c r="R91" s="23" t="n"/>
      <c r="S91" s="23" t="n"/>
      <c r="T91" s="23" t="n"/>
      <c r="U91" s="23" t="n"/>
      <c r="V91" s="24" t="n"/>
    </row>
    <row r="92" ht="114" customHeight="1">
      <c r="A92" s="95" t="inlineStr">
        <is>
          <t>Mr. Watchara Panpuch</t>
        </is>
      </c>
      <c r="B92" s="24" t="n"/>
      <c r="C92" s="7" t="inlineStr">
        <is>
          <t>-</t>
        </is>
      </c>
      <c r="D92" s="39" t="inlineStr">
        <is>
          <t>2309</t>
        </is>
      </c>
      <c r="E92" s="24" t="n"/>
      <c r="F92" s="39" t="inlineStr">
        <is>
          <t>VIPG
SILVER</t>
        </is>
      </c>
      <c r="G92" s="24" t="n"/>
      <c r="H92" s="8" t="inlineStr">
        <is>
          <t>2+1</t>
        </is>
      </c>
      <c r="I92" s="9" t="inlineStr">
        <is>
          <t>25/07/26</t>
        </is>
      </c>
      <c r="J92" s="9" t="inlineStr">
        <is>
          <t>27/07/26</t>
        </is>
      </c>
      <c r="K92" s="8" t="inlineStr">
        <is>
          <t>-</t>
        </is>
      </c>
      <c r="L92" s="52" t="inlineStr">
        <is>
          <t>14.00</t>
        </is>
      </c>
      <c r="M92" s="24" t="n"/>
      <c r="N92" s="53" t="inlineStr">
        <is>
          <t>OWN</t>
        </is>
      </c>
      <c r="O92" s="24" t="n"/>
      <c r="P92" s="62" t="inlineStr">
        <is>
          <t>PAID (Bank TRSF) RB/2A1C THB 2,390 net per night per room
- FOC 1 CHD (3 Yrs.)
- Line name: watchara
- Party 2 rms.
Tiew Thai Deal:
• Accommodation in Deluxe Room
• Daily breakfast for 2 persons
• 20% savings on food and beverages
• 20% savings on selected treatments at AvaniSpa
• Complimentary 2 mocktails per night for bookings made via LINE Official Account **Already breakdown at THB 55 net/glass/day**</t>
        </is>
      </c>
      <c r="Q92" s="23" t="n"/>
      <c r="R92" s="23" t="n"/>
      <c r="S92" s="23" t="n"/>
      <c r="T92" s="23" t="n"/>
      <c r="U92" s="23" t="n"/>
      <c r="V92" s="24" t="n"/>
    </row>
    <row r="93" ht="114" customHeight="1">
      <c r="A93" s="95" t="inlineStr">
        <is>
          <t>Ms. Sharon Belanis</t>
        </is>
      </c>
      <c r="B93" s="24" t="n"/>
      <c r="C93" s="7" t="inlineStr">
        <is>
          <t>-</t>
        </is>
      </c>
      <c r="D93" s="39" t="inlineStr">
        <is>
          <t>2310
Booking.com</t>
        </is>
      </c>
      <c r="E93" s="24" t="n"/>
      <c r="F93" s="39" t="inlineStr">
        <is>
          <t>VIPS</t>
        </is>
      </c>
      <c r="G93" s="24" t="n"/>
      <c r="H93" s="8" t="inlineStr">
        <is>
          <t>1+1</t>
        </is>
      </c>
      <c r="I93" s="9" t="inlineStr">
        <is>
          <t>25/07/26</t>
        </is>
      </c>
      <c r="J93" s="9" t="inlineStr">
        <is>
          <t>01/08/26</t>
        </is>
      </c>
      <c r="K93" s="8" t="inlineStr">
        <is>
          <t>-</t>
        </is>
      </c>
      <c r="L93" s="52" t="inlineStr">
        <is>
          <t>14.00</t>
        </is>
      </c>
      <c r="M93" s="24" t="n"/>
      <c r="N93" s="53" t="inlineStr">
        <is>
          <t>OWN</t>
        </is>
      </c>
      <c r="O93" s="24" t="n"/>
      <c r="P93" s="62" t="inlineStr">
        <is>
          <t>COA (see trace) RB/1A THB 2,553+++(25-26/07/26) + THB 2,484+++(27-31/07/26) per night
- FOC 1 kid (3 yrs)
- 18% comm kickback at 3,713.06 THB
You have received a virtual credit card for this reservation.You may charge it as of 2026-04-17. Approximate time of arrival: between 14:00 and 15:00 I would prefer a bath rather than a shower - thanks in advance, booker_is_genius, smoking preference: Non-Smoking</t>
        </is>
      </c>
      <c r="Q93" s="23" t="n"/>
      <c r="R93" s="23" t="n"/>
      <c r="S93" s="23" t="n"/>
      <c r="T93" s="23" t="n"/>
      <c r="U93" s="23" t="n"/>
      <c r="V93" s="24" t="n"/>
    </row>
    <row r="94" ht="114" customHeight="1">
      <c r="A94" s="95" t="inlineStr">
        <is>
          <t>Mr. Chaowit Pradubsriphet</t>
        </is>
      </c>
      <c r="B94" s="24" t="n"/>
      <c r="C94" s="7" t="inlineStr">
        <is>
          <t>-</t>
        </is>
      </c>
      <c r="D94" s="39" t="inlineStr">
        <is>
          <t>2311</t>
        </is>
      </c>
      <c r="E94" s="24" t="n"/>
      <c r="F94" s="39" t="inlineStr">
        <is>
          <t>VIPG
GOLD</t>
        </is>
      </c>
      <c r="G94" s="24" t="n"/>
      <c r="H94" s="8" t="inlineStr">
        <is>
          <t>2+2</t>
        </is>
      </c>
      <c r="I94" s="9" t="inlineStr">
        <is>
          <t>25/07/26</t>
        </is>
      </c>
      <c r="J94" s="9" t="inlineStr">
        <is>
          <t>28/07/26</t>
        </is>
      </c>
      <c r="K94" s="8" t="inlineStr">
        <is>
          <t>-</t>
        </is>
      </c>
      <c r="L94" s="52" t="inlineStr">
        <is>
          <t>15.00</t>
        </is>
      </c>
      <c r="M94" s="24" t="n"/>
      <c r="N94" s="53" t="inlineStr">
        <is>
          <t>OWN</t>
        </is>
      </c>
      <c r="O94" s="24" t="n"/>
      <c r="P94" s="62" t="inlineStr">
        <is>
          <t>PAID (PG) RB/2A THB 2,500 net per night + 2 x CBF at THB 375 net per child per night
- 2 CHD (Ages 6,8)
- Line name: Chaowit Pradubsriphe
- RQ. TWN + Rooms in the same building as the lobby
Tiew Thai Deal:
• Accommodation in Deluxe Room
• Daily breakfast for 2 persons
• 20% savings on food and beverages
• 20% savings on selected treatments at AvaniSpa
• Complimentary 2 mocktails per night for bookings made via LINE Official Account **Cost deduct to transaction #81108 at THB 55 net/glass/day**</t>
        </is>
      </c>
      <c r="Q94" s="23" t="n"/>
      <c r="R94" s="23" t="n"/>
      <c r="S94" s="23" t="n"/>
      <c r="T94" s="23" t="n"/>
      <c r="U94" s="23" t="n"/>
      <c r="V94" s="24" t="n"/>
    </row>
    <row r="95" ht="114" customHeight="1">
      <c r="A95" s="95" t="inlineStr">
        <is>
          <t>Mr. Andreas Rohde</t>
        </is>
      </c>
      <c r="B95" s="24" t="n"/>
      <c r="C95" s="7" t="inlineStr">
        <is>
          <t>-</t>
        </is>
      </c>
      <c r="D95" s="39" t="inlineStr">
        <is>
          <t>2312
Go Vacation</t>
        </is>
      </c>
      <c r="E95" s="24" t="n"/>
      <c r="F95" s="39" t="inlineStr">
        <is>
          <t>VIPS</t>
        </is>
      </c>
      <c r="G95" s="24" t="n"/>
      <c r="H95" s="8" t="inlineStr">
        <is>
          <t>2+1</t>
        </is>
      </c>
      <c r="I95" s="9" t="inlineStr">
        <is>
          <t>25/07/26</t>
        </is>
      </c>
      <c r="J95" s="9" t="inlineStr">
        <is>
          <t>09/08/26</t>
        </is>
      </c>
      <c r="K95" s="8" t="inlineStr">
        <is>
          <t>-</t>
        </is>
      </c>
      <c r="L95" s="52" t="inlineStr">
        <is>
          <t>15.00</t>
        </is>
      </c>
      <c r="M95" s="24" t="n"/>
      <c r="N95" s="53" t="inlineStr">
        <is>
          <t>OWN</t>
        </is>
      </c>
      <c r="O95" s="24" t="n"/>
      <c r="P95" s="62" t="inlineStr">
        <is>
          <t>CTC RB/2A THB 2,610 net per night + 1 CEXB at THB 435 net per night **COL VCH***
- 1 CHD age 5 Yrs old 
- Green Season Escape - 42%</t>
        </is>
      </c>
      <c r="Q95" s="23" t="n"/>
      <c r="R95" s="23" t="n"/>
      <c r="S95" s="23" t="n"/>
      <c r="T95" s="23" t="n"/>
      <c r="U95" s="23" t="n"/>
      <c r="V95" s="24" t="n"/>
    </row>
    <row r="96" ht="114" customHeight="1">
      <c r="A96" s="95" t="inlineStr">
        <is>
          <t>Ms. Della Laurencia Suryahudaya</t>
        </is>
      </c>
      <c r="B96" s="24" t="n"/>
      <c r="C96" s="7" t="inlineStr">
        <is>
          <t>-</t>
        </is>
      </c>
      <c r="D96" s="39" t="inlineStr">
        <is>
          <t>2313
Expedia</t>
        </is>
      </c>
      <c r="E96" s="24" t="n"/>
      <c r="F96" s="39" t="inlineStr">
        <is>
          <t>-</t>
        </is>
      </c>
      <c r="G96" s="24" t="n"/>
      <c r="H96" s="8" t="inlineStr">
        <is>
          <t>2</t>
        </is>
      </c>
      <c r="I96" s="9" t="inlineStr">
        <is>
          <t>25/07/26</t>
        </is>
      </c>
      <c r="J96" s="9" t="inlineStr">
        <is>
          <t>27/07/26</t>
        </is>
      </c>
      <c r="K96" s="8" t="inlineStr">
        <is>
          <t>-</t>
        </is>
      </c>
      <c r="L96" s="52" t="inlineStr">
        <is>
          <t>15.00</t>
        </is>
      </c>
      <c r="M96" s="24" t="n"/>
      <c r="N96" s="53" t="inlineStr">
        <is>
          <t>OWN</t>
        </is>
      </c>
      <c r="O96" s="24" t="n"/>
      <c r="P96" s="62" t="inlineStr">
        <is>
          <t>PAID RB/2A THB 2,576+++ per night
- 17.5% comm kickback THB 1,070.22 net
Hotel Collect Booking, 2 Twin Beds, Non-Smoking, &amp;amp;amp; this room will check-in along with KAEWTATIP TIPSUDA, Hotel Collect Booking  Collect Payment From Guest.</t>
        </is>
      </c>
      <c r="Q96" s="23" t="n"/>
      <c r="R96" s="23" t="n"/>
      <c r="S96" s="23" t="n"/>
      <c r="T96" s="23" t="n"/>
      <c r="U96" s="23" t="n"/>
      <c r="V96" s="24" t="n"/>
    </row>
    <row r="97" ht="114" customHeight="1">
      <c r="A97" s="95" t="inlineStr">
        <is>
          <t>Mrs. Shirley Carfati</t>
        </is>
      </c>
      <c r="B97" s="24" t="n"/>
      <c r="C97" s="7" t="inlineStr">
        <is>
          <t>-</t>
        </is>
      </c>
      <c r="D97" s="39" t="inlineStr">
        <is>
          <t>2314</t>
        </is>
      </c>
      <c r="E97" s="24" t="n"/>
      <c r="F97" s="39" t="inlineStr">
        <is>
          <t>VIPG
SILVER</t>
        </is>
      </c>
      <c r="G97" s="24" t="n"/>
      <c r="H97" s="8" t="inlineStr">
        <is>
          <t>2+1</t>
        </is>
      </c>
      <c r="I97" s="9" t="inlineStr">
        <is>
          <t>25/07/26</t>
        </is>
      </c>
      <c r="J97" s="9" t="inlineStr">
        <is>
          <t>28/07/26</t>
        </is>
      </c>
      <c r="K97" s="8" t="inlineStr">
        <is>
          <t>-</t>
        </is>
      </c>
      <c r="L97" s="52" t="inlineStr">
        <is>
          <t>15.00</t>
        </is>
      </c>
      <c r="M97" s="24" t="n"/>
      <c r="N97" s="53" t="inlineStr">
        <is>
          <t>OWN</t>
        </is>
      </c>
      <c r="O97" s="24" t="n"/>
      <c r="P97" s="62" t="inlineStr">
        <is>
          <t>PAID (PG) RB/2A1C THB 4,053.25+++ per night  -Pty 2 rooms, chd age 10 yrs old  Direct Booking Benefits: • 20% savings on dining (excluding In-Room Dining, minibar &amp; alcoholic beverages) • 20% savings on spa treatment at AvaniSpa (excluding Coco Breeze Salas) • 20% savings on laundry service</t>
        </is>
      </c>
      <c r="Q97" s="23" t="n"/>
      <c r="R97" s="23" t="n"/>
      <c r="S97" s="23" t="n"/>
      <c r="T97" s="23" t="n"/>
      <c r="U97" s="23" t="n"/>
      <c r="V97" s="24" t="n"/>
    </row>
    <row r="98" ht="114" customHeight="1">
      <c r="A98" s="95" t="inlineStr">
        <is>
          <t>Mrs. Sunanta Immaneerat</t>
        </is>
      </c>
      <c r="B98" s="24" t="n"/>
      <c r="C98" s="7" t="inlineStr">
        <is>
          <t>-</t>
        </is>
      </c>
      <c r="D98" s="39" t="inlineStr">
        <is>
          <t>2405</t>
        </is>
      </c>
      <c r="E98" s="24" t="n"/>
      <c r="F98" s="39" t="inlineStr">
        <is>
          <t>-</t>
        </is>
      </c>
      <c r="G98" s="24" t="n"/>
      <c r="H98" s="8" t="inlineStr">
        <is>
          <t>2</t>
        </is>
      </c>
      <c r="I98" s="9" t="inlineStr">
        <is>
          <t>25/07/26</t>
        </is>
      </c>
      <c r="J98" s="9" t="inlineStr">
        <is>
          <t>26/07/26</t>
        </is>
      </c>
      <c r="K98" s="8" t="inlineStr">
        <is>
          <t>-</t>
        </is>
      </c>
      <c r="L98" s="52" t="inlineStr">
        <is>
          <t>15.00</t>
        </is>
      </c>
      <c r="M98" s="24" t="n"/>
      <c r="N98" s="53" t="inlineStr">
        <is>
          <t>OWN</t>
        </is>
      </c>
      <c r="O98" s="24" t="n"/>
      <c r="P98" s="62" t="inlineStr">
        <is>
          <t>PAID (Bank TRSF) RB/2A THB 2,900 net per night 
-Line Name: Amp
STAY &amp; BENEFITS: Bonus Credit Escape
- Daily Breakfast
- THB 500 resort credit per night **FO Cost allocation to 81108**
- No minimum length of stay required
- Purchase your voucher today and choose your stay dates later
- 20% savings on food and beverages
- 20% savings on selected treatments at AvaniSpa</t>
        </is>
      </c>
      <c r="Q98" s="23" t="n"/>
      <c r="R98" s="23" t="n"/>
      <c r="S98" s="23" t="n"/>
      <c r="T98" s="23" t="n"/>
      <c r="U98" s="23" t="n"/>
      <c r="V98" s="24" t="n"/>
    </row>
    <row r="99" ht="114" customHeight="1">
      <c r="A99" s="95" t="inlineStr">
        <is>
          <t>Ms. Albina Isayeva</t>
        </is>
      </c>
      <c r="B99" s="24" t="n"/>
      <c r="C99" s="7" t="inlineStr">
        <is>
          <t>-</t>
        </is>
      </c>
      <c r="D99" s="39" t="inlineStr">
        <is>
          <t>2407
Miki Travel</t>
        </is>
      </c>
      <c r="E99" s="24" t="n"/>
      <c r="F99" s="39" t="inlineStr">
        <is>
          <t>-</t>
        </is>
      </c>
      <c r="G99" s="24" t="n"/>
      <c r="H99" s="8" t="inlineStr">
        <is>
          <t>2</t>
        </is>
      </c>
      <c r="I99" s="9" t="inlineStr">
        <is>
          <t>25/07/26</t>
        </is>
      </c>
      <c r="J99" s="9" t="inlineStr">
        <is>
          <t>26/07/26</t>
        </is>
      </c>
      <c r="K99" s="8" t="inlineStr">
        <is>
          <t>-</t>
        </is>
      </c>
      <c r="L99" s="52" t="inlineStr">
        <is>
          <t>15.00</t>
        </is>
      </c>
      <c r="M99" s="24" t="n"/>
      <c r="N99" s="53" t="inlineStr">
        <is>
          <t>OWN</t>
        </is>
      </c>
      <c r="O99" s="24" t="n"/>
      <c r="P99" s="62" t="inlineStr">
        <is>
          <t>COA(see trace)RB/2A THB 3,497.47 net per night
- 20% comm prepaid at  699.50 THB</t>
        </is>
      </c>
      <c r="Q99" s="23" t="n"/>
      <c r="R99" s="23" t="n"/>
      <c r="S99" s="23" t="n"/>
      <c r="T99" s="23" t="n"/>
      <c r="U99" s="23" t="n"/>
      <c r="V99" s="24" t="n"/>
    </row>
    <row r="100" ht="114" customHeight="1">
      <c r="A100" s="95" t="inlineStr">
        <is>
          <t>Miss. Tinada Hongmungkorn</t>
        </is>
      </c>
      <c r="B100" s="24" t="n"/>
      <c r="C100" s="7" t="inlineStr">
        <is>
          <t>-</t>
        </is>
      </c>
      <c r="D100" s="39" t="inlineStr">
        <is>
          <t>2408</t>
        </is>
      </c>
      <c r="E100" s="24" t="n"/>
      <c r="F100" s="39" t="inlineStr">
        <is>
          <t>VIPG
SILVER</t>
        </is>
      </c>
      <c r="G100" s="24" t="n"/>
      <c r="H100" s="8" t="inlineStr">
        <is>
          <t>2</t>
        </is>
      </c>
      <c r="I100" s="9" t="inlineStr">
        <is>
          <t>25/07/26</t>
        </is>
      </c>
      <c r="J100" s="9" t="inlineStr">
        <is>
          <t>27/07/26</t>
        </is>
      </c>
      <c r="K100" s="8" t="inlineStr">
        <is>
          <t>-</t>
        </is>
      </c>
      <c r="L100" s="52" t="inlineStr">
        <is>
          <t>15.00</t>
        </is>
      </c>
      <c r="M100" s="24" t="n"/>
      <c r="N100" s="53" t="inlineStr">
        <is>
          <t>OWN</t>
        </is>
      </c>
      <c r="O100" s="24" t="n"/>
      <c r="P100" s="62" t="inlineStr">
        <is>
          <t>PAID RB/2A THB 2,700 net per night
DISCOVERY – THAILAND RESIDENTS RATE
- Accommodation
- Daily breakfast
- 20% off dining
- 20% off selected treatments at AvaniSpa
- THB 500 dining per stay for stays of two nights or more**Cost deduct to transaction #81108**
- Proof of Thai residency must be presented at check-in</t>
        </is>
      </c>
      <c r="Q100" s="23" t="n"/>
      <c r="R100" s="23" t="n"/>
      <c r="S100" s="23" t="n"/>
      <c r="T100" s="23" t="n"/>
      <c r="U100" s="23" t="n"/>
      <c r="V100" s="24" t="n"/>
    </row>
    <row r="101" ht="114" customHeight="1">
      <c r="A101" s="95" t="inlineStr">
        <is>
          <t>Mr. Nanaphat Guntatun</t>
        </is>
      </c>
      <c r="B101" s="24" t="n"/>
      <c r="C101" s="7" t="inlineStr">
        <is>
          <t>-</t>
        </is>
      </c>
      <c r="D101" s="39" t="inlineStr">
        <is>
          <t>2506
Booking.com</t>
        </is>
      </c>
      <c r="E101" s="24" t="n"/>
      <c r="F101" s="39" t="inlineStr">
        <is>
          <t>-</t>
        </is>
      </c>
      <c r="G101" s="24" t="n"/>
      <c r="H101" s="8" t="inlineStr">
        <is>
          <t>2</t>
        </is>
      </c>
      <c r="I101" s="9" t="inlineStr">
        <is>
          <t>25/07/26</t>
        </is>
      </c>
      <c r="J101" s="9" t="inlineStr">
        <is>
          <t>26/07/26</t>
        </is>
      </c>
      <c r="K101" s="8" t="inlineStr">
        <is>
          <t>-</t>
        </is>
      </c>
      <c r="L101" s="52" t="inlineStr">
        <is>
          <t>15.00</t>
        </is>
      </c>
      <c r="M101" s="24" t="n"/>
      <c r="N101" s="53" t="inlineStr">
        <is>
          <t>OWN</t>
        </is>
      </c>
      <c r="O101" s="24" t="n"/>
      <c r="P101" s="62" t="inlineStr">
        <is>
          <t>COA (See Trace) RB/2A THB 2,946.49+++per night 
- 18% COMM Kickback at THB 624.24 net 
- Pty 2 rooms
You have received a virtual credit card for this reservation.You may charge it as of 2026-07-22. Approximate time of arrival: between 15:00 and 16:00 ขอห้องพักชั้น Ground Floor, booker_is_genius, smoking preference: Non-Smoking</t>
        </is>
      </c>
      <c r="Q101" s="23" t="n"/>
      <c r="R101" s="23" t="n"/>
      <c r="S101" s="23" t="n"/>
      <c r="T101" s="23" t="n"/>
      <c r="U101" s="23" t="n"/>
      <c r="V101" s="24" t="n"/>
    </row>
    <row r="102" ht="114" customHeight="1">
      <c r="A102" s="95" t="inlineStr">
        <is>
          <t>Miss. Naruemon Pimsen</t>
        </is>
      </c>
      <c r="B102" s="24" t="n"/>
      <c r="C102" s="7" t="inlineStr">
        <is>
          <t>-</t>
        </is>
      </c>
      <c r="D102" s="39" t="inlineStr">
        <is>
          <t>2510</t>
        </is>
      </c>
      <c r="E102" s="24" t="n"/>
      <c r="F102" s="39" t="inlineStr">
        <is>
          <t>-</t>
        </is>
      </c>
      <c r="G102" s="24" t="n"/>
      <c r="H102" s="8" t="inlineStr">
        <is>
          <t>2</t>
        </is>
      </c>
      <c r="I102" s="9" t="inlineStr">
        <is>
          <t>25/07/26</t>
        </is>
      </c>
      <c r="J102" s="9" t="inlineStr">
        <is>
          <t>26/07/26</t>
        </is>
      </c>
      <c r="K102" s="8" t="inlineStr">
        <is>
          <t>-</t>
        </is>
      </c>
      <c r="L102" s="52" t="inlineStr">
        <is>
          <t>15.00</t>
        </is>
      </c>
      <c r="M102" s="24" t="n"/>
      <c r="N102" s="53" t="inlineStr">
        <is>
          <t>OWN</t>
        </is>
      </c>
      <c r="O102" s="24" t="n"/>
      <c r="P102" s="62" t="inlineStr">
        <is>
          <t>PAID RB/2A THB 1,890+++ per night
- RQ king bed
- Guest is Resolutions Support Admin at Minor Vacations Phuket Office
MINOR HOTELS TEAM MEMBER
- Special rates with daily breakfast
- Up to 50% off food &amp; beverages including alcohol* in hotel-operated outlets when booked in advance, subject to availability
- Up to 50% off spa treatments (may vary depending on item, subject to availability)
- A valid employee ID card or a certificate of employment must be presented at check-in, otherwise the Flexi plus Breakfast rate will apply
- A maximum of two rooms per stay may be requested, unless the hotel allows otherwise</t>
        </is>
      </c>
      <c r="Q102" s="23" t="n"/>
      <c r="R102" s="23" t="n"/>
      <c r="S102" s="23" t="n"/>
      <c r="T102" s="23" t="n"/>
      <c r="U102" s="23" t="n"/>
      <c r="V102" s="24" t="n"/>
    </row>
    <row r="103" ht="114" customHeight="1">
      <c r="A103" s="95" t="inlineStr">
        <is>
          <t>Mr. Watcharamon Kitkusolsab</t>
        </is>
      </c>
      <c r="B103" s="24" t="n"/>
      <c r="C103" s="7" t="inlineStr">
        <is>
          <t>-</t>
        </is>
      </c>
      <c r="D103" s="39" t="inlineStr">
        <is>
          <t>2512
DNATA</t>
        </is>
      </c>
      <c r="E103" s="24" t="n"/>
      <c r="F103" s="39" t="inlineStr">
        <is>
          <t>-</t>
        </is>
      </c>
      <c r="G103" s="24" t="n"/>
      <c r="H103" s="8" t="inlineStr">
        <is>
          <t>2</t>
        </is>
      </c>
      <c r="I103" s="9" t="inlineStr">
        <is>
          <t>25/07/26</t>
        </is>
      </c>
      <c r="J103" s="9" t="inlineStr">
        <is>
          <t>27/07/26</t>
        </is>
      </c>
      <c r="K103" s="8" t="inlineStr">
        <is>
          <t>-</t>
        </is>
      </c>
      <c r="L103" s="52" t="inlineStr">
        <is>
          <t>15.00</t>
        </is>
      </c>
      <c r="M103" s="24" t="n"/>
      <c r="N103" s="53" t="inlineStr">
        <is>
          <t>OWN</t>
        </is>
      </c>
      <c r="O103" s="24" t="n"/>
      <c r="P103" s="62" t="inlineStr">
        <is>
          <t>CTC RB/2A THB 2,475 net per night **COLL VCH**
- Pro. Exclusive Green Season Escape - 45%</t>
        </is>
      </c>
      <c r="Q103" s="23" t="n"/>
      <c r="R103" s="23" t="n"/>
      <c r="S103" s="23" t="n"/>
      <c r="T103" s="23" t="n"/>
      <c r="U103" s="23" t="n"/>
      <c r="V103" s="24" t="n"/>
    </row>
    <row r="104" ht="114" customHeight="1">
      <c r="A104" s="95" t="inlineStr">
        <is>
          <t>Mr. Tharit Hanggasee</t>
        </is>
      </c>
      <c r="B104" s="24" t="n"/>
      <c r="C104" s="7" t="inlineStr">
        <is>
          <t>-</t>
        </is>
      </c>
      <c r="D104" s="39" t="inlineStr">
        <is>
          <t>2602</t>
        </is>
      </c>
      <c r="E104" s="24" t="n"/>
      <c r="F104" s="39" t="inlineStr">
        <is>
          <t>VIPG
SILVER</t>
        </is>
      </c>
      <c r="G104" s="24" t="n"/>
      <c r="H104" s="8" t="inlineStr">
        <is>
          <t>2</t>
        </is>
      </c>
      <c r="I104" s="9" t="inlineStr">
        <is>
          <t>25/07/26</t>
        </is>
      </c>
      <c r="J104" s="9" t="inlineStr">
        <is>
          <t>28/07/26</t>
        </is>
      </c>
      <c r="K104" s="8" t="inlineStr">
        <is>
          <t>-</t>
        </is>
      </c>
      <c r="L104" s="52" t="inlineStr">
        <is>
          <t>15.00</t>
        </is>
      </c>
      <c r="M104" s="24" t="n"/>
      <c r="N104" s="53" t="inlineStr">
        <is>
          <t>OWN</t>
        </is>
      </c>
      <c r="O104" s="24" t="n"/>
      <c r="P104" s="62" t="inlineStr">
        <is>
          <t>PAID RO/2A THB 1,755+++ per night 
-15% comm kickback THB 789.75 net 
-เตียงเดี่ยว,ไม่สูบบุหรี่  
DISCOVERY – ROOM ONLY ESCAPE 
-Accommodation – room only 
-Kids under 4 years stay for free when using existing bed  
Stays of 1-4 nights 
• 20% savings on dining (excluding In-Room Dining, minibar &amp; alcoholic beverages) 
• 20% savings on spa treatment at AvaniSpa (excluding Coco Breeze Salas) 
• 20% savings on laundry service</t>
        </is>
      </c>
      <c r="Q104" s="23" t="n"/>
      <c r="R104" s="23" t="n"/>
      <c r="S104" s="23" t="n"/>
      <c r="T104" s="23" t="n"/>
      <c r="U104" s="23" t="n"/>
      <c r="V104" s="24" t="n"/>
    </row>
    <row r="105" ht="114" customHeight="1">
      <c r="A105" s="95" t="inlineStr">
        <is>
          <t>Ms. Panutda Wongchaigosoh</t>
        </is>
      </c>
      <c r="B105" s="24" t="n"/>
      <c r="C105" s="7" t="inlineStr">
        <is>
          <t>-</t>
        </is>
      </c>
      <c r="D105" s="39" t="inlineStr">
        <is>
          <t>2603</t>
        </is>
      </c>
      <c r="E105" s="24" t="n"/>
      <c r="F105" s="39" t="inlineStr">
        <is>
          <t>-</t>
        </is>
      </c>
      <c r="G105" s="24" t="n"/>
      <c r="H105" s="8" t="inlineStr">
        <is>
          <t>2</t>
        </is>
      </c>
      <c r="I105" s="9" t="inlineStr">
        <is>
          <t>25/07/26</t>
        </is>
      </c>
      <c r="J105" s="9" t="inlineStr">
        <is>
          <t>27/07/26</t>
        </is>
      </c>
      <c r="K105" s="8" t="inlineStr">
        <is>
          <t>-</t>
        </is>
      </c>
      <c r="L105" s="52" t="inlineStr">
        <is>
          <t>15.00</t>
        </is>
      </c>
      <c r="M105" s="24" t="n"/>
      <c r="N105" s="53" t="inlineStr">
        <is>
          <t>OWN</t>
        </is>
      </c>
      <c r="O105" s="24" t="n"/>
      <c r="P105" s="62" t="inlineStr">
        <is>
          <t>PAID (PG) RB/2A THB 2,900 net per night
STAY &amp; BENEFITS 
-Accommodation
-Daily breakfast for 2 persons
-20% off dining
-20% off selected treatments at AvaniSpa
-Proof of Thai residency must be presented at check-in
-THB 500 resort credit per room for every night of your stay</t>
        </is>
      </c>
      <c r="Q105" s="23" t="n"/>
      <c r="R105" s="23" t="n"/>
      <c r="S105" s="23" t="n"/>
      <c r="T105" s="23" t="n"/>
      <c r="U105" s="23" t="n"/>
      <c r="V105" s="24" t="n"/>
    </row>
    <row r="106" ht="114" customHeight="1">
      <c r="A106" s="95" t="inlineStr">
        <is>
          <t>Mr. Yap Chee Meng</t>
        </is>
      </c>
      <c r="B106" s="24" t="n"/>
      <c r="C106" s="7" t="inlineStr">
        <is>
          <t>-</t>
        </is>
      </c>
      <c r="D106" s="39" t="inlineStr">
        <is>
          <t>2606</t>
        </is>
      </c>
      <c r="E106" s="24" t="n"/>
      <c r="F106" s="39" t="inlineStr">
        <is>
          <t>VIPG
SILVER</t>
        </is>
      </c>
      <c r="G106" s="24" t="n"/>
      <c r="H106" s="8" t="inlineStr">
        <is>
          <t>2</t>
        </is>
      </c>
      <c r="I106" s="9" t="inlineStr">
        <is>
          <t>25/07/26</t>
        </is>
      </c>
      <c r="J106" s="9" t="inlineStr">
        <is>
          <t>27/07/26</t>
        </is>
      </c>
      <c r="K106" s="8" t="inlineStr">
        <is>
          <t>-</t>
        </is>
      </c>
      <c r="L106" s="52" t="inlineStr">
        <is>
          <t>15.00</t>
        </is>
      </c>
      <c r="M106" s="24" t="n"/>
      <c r="N106" s="53" t="inlineStr">
        <is>
          <t>OWN</t>
        </is>
      </c>
      <c r="O106" s="24" t="n"/>
      <c r="P106" s="62" t="inlineStr">
        <is>
          <t>PAID RO/2A THB 2,106.15+++per night (collect payment THB 5,000 net upon arrival)
Paid ABF THB350/day*2day Total THB700
Consecutive booking (pls assign same room)
-1st booking on 23-25 Jul 26 with #850808367
-2nd booking on 25-27 Jul 26 with #100850960217
Book direct benefits:
-20% savings on dining (excluding In-Room Dining, minibar &amp; alcoholic beverages)
-20% savings on spa treatment at AvaniSpa (excluding Coco Breeze Salas)
-20% savings on laundry service</t>
        </is>
      </c>
      <c r="Q106" s="23" t="n"/>
      <c r="R106" s="23" t="n"/>
      <c r="S106" s="23" t="n"/>
      <c r="T106" s="23" t="n"/>
      <c r="U106" s="23" t="n"/>
      <c r="V106" s="24" t="n"/>
    </row>
    <row r="107" ht="114" customHeight="1">
      <c r="A107" s="95" t="inlineStr">
        <is>
          <t>Ms. Pailin Graham</t>
        </is>
      </c>
      <c r="B107" s="24" t="n"/>
      <c r="C107" s="7" t="inlineStr">
        <is>
          <t>-</t>
        </is>
      </c>
      <c r="D107" s="39" t="inlineStr">
        <is>
          <t>2607</t>
        </is>
      </c>
      <c r="E107" s="24" t="n"/>
      <c r="F107" s="39" t="inlineStr">
        <is>
          <t>-</t>
        </is>
      </c>
      <c r="G107" s="24" t="n"/>
      <c r="H107" s="8" t="inlineStr">
        <is>
          <t>2</t>
        </is>
      </c>
      <c r="I107" s="9" t="inlineStr">
        <is>
          <t>25/07/26</t>
        </is>
      </c>
      <c r="J107" s="9" t="inlineStr">
        <is>
          <t>27/07/26</t>
        </is>
      </c>
      <c r="K107" s="8" t="inlineStr">
        <is>
          <t>-</t>
        </is>
      </c>
      <c r="L107" s="52" t="inlineStr">
        <is>
          <t>15.00</t>
        </is>
      </c>
      <c r="M107" s="24" t="n"/>
      <c r="N107" s="53" t="inlineStr">
        <is>
          <t>OWN</t>
        </is>
      </c>
      <c r="O107" s="24" t="n"/>
      <c r="P107" s="62" t="inlineStr">
        <is>
          <t>PAID RB/2A THB 2,700 net per night
- Party 2 rms.
- Lead booking by P'June
THAILAND RESIDENTS RATE:
- Accommodation
- Daily breakfast
- 20% off dining
- 20% off selected treatments at AvaniSpa</t>
        </is>
      </c>
      <c r="Q107" s="23" t="n"/>
      <c r="R107" s="23" t="n"/>
      <c r="S107" s="23" t="n"/>
      <c r="T107" s="23" t="n"/>
      <c r="U107" s="23" t="n"/>
      <c r="V107" s="24" t="n"/>
    </row>
    <row r="108" ht="114" customHeight="1">
      <c r="A108" s="95" t="inlineStr">
        <is>
          <t>Ms. Pailin Graham</t>
        </is>
      </c>
      <c r="B108" s="24" t="n"/>
      <c r="C108" s="7" t="inlineStr">
        <is>
          <t>-</t>
        </is>
      </c>
      <c r="D108" s="39" t="inlineStr">
        <is>
          <t>2608</t>
        </is>
      </c>
      <c r="E108" s="24" t="n"/>
      <c r="F108" s="39" t="inlineStr">
        <is>
          <t>-</t>
        </is>
      </c>
      <c r="G108" s="24" t="n"/>
      <c r="H108" s="8" t="inlineStr">
        <is>
          <t>2</t>
        </is>
      </c>
      <c r="I108" s="9" t="inlineStr">
        <is>
          <t>25/07/26</t>
        </is>
      </c>
      <c r="J108" s="9" t="inlineStr">
        <is>
          <t>27/07/26</t>
        </is>
      </c>
      <c r="K108" s="8" t="inlineStr">
        <is>
          <t>-</t>
        </is>
      </c>
      <c r="L108" s="52" t="inlineStr">
        <is>
          <t>15.00</t>
        </is>
      </c>
      <c r="M108" s="24" t="n"/>
      <c r="N108" s="53" t="inlineStr">
        <is>
          <t>OWN</t>
        </is>
      </c>
      <c r="O108" s="24" t="n"/>
      <c r="P108" s="62" t="inlineStr">
        <is>
          <t>PAID RB/2A THB 2,700 net per night
- Party 2 rms.
- Lead booking by P'June
THAILAND RESIDENTS RATE:
- Accommodation
- Daily breakfast
- 20% off dining
- 20% off selected treatments at AvaniSpa</t>
        </is>
      </c>
      <c r="Q108" s="23" t="n"/>
      <c r="R108" s="23" t="n"/>
      <c r="S108" s="23" t="n"/>
      <c r="T108" s="23" t="n"/>
      <c r="U108" s="23" t="n"/>
      <c r="V108" s="24" t="n"/>
    </row>
    <row r="109" ht="114" customHeight="1">
      <c r="A109" s="95" t="inlineStr">
        <is>
          <t>Mr. Krisadakorn Pengkoom</t>
        </is>
      </c>
      <c r="B109" s="24" t="n"/>
      <c r="C109" s="7" t="inlineStr">
        <is>
          <t>-</t>
        </is>
      </c>
      <c r="D109" s="39" t="inlineStr">
        <is>
          <t>3101</t>
        </is>
      </c>
      <c r="E109" s="24" t="n"/>
      <c r="F109" s="39" t="inlineStr">
        <is>
          <t>VIP2
TITANIUM</t>
        </is>
      </c>
      <c r="G109" s="24" t="n"/>
      <c r="H109" s="8" t="inlineStr">
        <is>
          <t>3</t>
        </is>
      </c>
      <c r="I109" s="9" t="inlineStr">
        <is>
          <t>25/07/26</t>
        </is>
      </c>
      <c r="J109" s="9" t="inlineStr">
        <is>
          <t>28/07/26</t>
        </is>
      </c>
      <c r="K109" s="8" t="inlineStr">
        <is>
          <t>-</t>
        </is>
      </c>
      <c r="L109" s="52" t="inlineStr">
        <is>
          <t>12.00</t>
        </is>
      </c>
      <c r="M109" s="24" t="n"/>
      <c r="N109" s="53" t="inlineStr">
        <is>
          <t>OWN</t>
        </is>
      </c>
      <c r="O109" s="24" t="n"/>
      <c r="P109" s="62" t="inlineStr">
        <is>
          <t>PAID (PG) RB/3A THB 3,691.94+++ per night 
-RQ: Room UPG , EC/I at 12.00 hrs &amp; LC/O at 14.00-16.00 hrs.(subject to avai) as per GHA benefit
ABOUT YOUR BOOK DIRECT BENEFITS:
Stays of 1-4 nights
• 20% savings on dining (excluding In-Room Dining, minibar &amp; alcoholic beverages)
• 20% savings on spa treatment at AvaniSpa (excluding Coco Breeze Salas)
• 20% savings on laundry service</t>
        </is>
      </c>
      <c r="Q109" s="23" t="n"/>
      <c r="R109" s="23" t="n"/>
      <c r="S109" s="23" t="n"/>
      <c r="T109" s="23" t="n"/>
      <c r="U109" s="23" t="n"/>
      <c r="V109" s="24" t="n"/>
    </row>
    <row r="110" ht="114" customHeight="1">
      <c r="A110" s="95" t="inlineStr">
        <is>
          <t>Ms. Jeerana Joknoi</t>
        </is>
      </c>
      <c r="B110" s="24" t="n"/>
      <c r="C110" s="7" t="inlineStr">
        <is>
          <t>-</t>
        </is>
      </c>
      <c r="D110" s="39" t="inlineStr">
        <is>
          <t>3108</t>
        </is>
      </c>
      <c r="E110" s="24" t="n"/>
      <c r="F110" s="39" t="inlineStr">
        <is>
          <t>VIPG
SILVER</t>
        </is>
      </c>
      <c r="G110" s="24" t="n"/>
      <c r="H110" s="8" t="inlineStr">
        <is>
          <t>2+1</t>
        </is>
      </c>
      <c r="I110" s="9" t="inlineStr">
        <is>
          <t>25/07/26</t>
        </is>
      </c>
      <c r="J110" s="9" t="inlineStr">
        <is>
          <t>26/07/26</t>
        </is>
      </c>
      <c r="K110" s="8" t="inlineStr">
        <is>
          <t>-</t>
        </is>
      </c>
      <c r="L110" s="52" t="inlineStr">
        <is>
          <t>15.00</t>
        </is>
      </c>
      <c r="M110" s="24" t="n"/>
      <c r="N110" s="53" t="inlineStr">
        <is>
          <t>OWN</t>
        </is>
      </c>
      <c r="O110" s="24" t="n"/>
      <c r="P110" s="62" t="inlineStr">
        <is>
          <t>PAID (Bank Transfer) RB/2A THB 3,285.59+++per night + 1 CEXB at THB 750 net per night (Total 4,650 net)
- 1 CHD age 6 Yrs old 
- Guarantee upgrade to Deluxe Pool Access Room
- Lead booking from Khun Aun Sales
- Benefit: 2 Special mocktail at The Beach Bar (55THB / glass) Charge to Sales</t>
        </is>
      </c>
      <c r="Q110" s="23" t="n"/>
      <c r="R110" s="23" t="n"/>
      <c r="S110" s="23" t="n"/>
      <c r="T110" s="23" t="n"/>
      <c r="U110" s="23" t="n"/>
      <c r="V110" s="24" t="n"/>
    </row>
    <row r="111" ht="114" customHeight="1">
      <c r="A111" s="95" t="inlineStr">
        <is>
          <t>Ms. Dafna Shait</t>
        </is>
      </c>
      <c r="B111" s="24" t="n"/>
      <c r="C111" s="7" t="inlineStr">
        <is>
          <t>-</t>
        </is>
      </c>
      <c r="D111" s="39" t="inlineStr">
        <is>
          <t>3109</t>
        </is>
      </c>
      <c r="E111" s="24" t="n"/>
      <c r="F111" s="39" t="inlineStr">
        <is>
          <t>VIPS
PLATINUM</t>
        </is>
      </c>
      <c r="G111" s="24" t="n"/>
      <c r="H111" s="8" t="inlineStr">
        <is>
          <t>2</t>
        </is>
      </c>
      <c r="I111" s="9" t="inlineStr">
        <is>
          <t>25/07/26</t>
        </is>
      </c>
      <c r="J111" s="9" t="inlineStr">
        <is>
          <t>29/07/26</t>
        </is>
      </c>
      <c r="K111" s="8" t="inlineStr">
        <is>
          <t>-</t>
        </is>
      </c>
      <c r="L111" s="52" t="inlineStr">
        <is>
          <t>15.00</t>
        </is>
      </c>
      <c r="M111" s="24" t="n"/>
      <c r="N111" s="53" t="inlineStr">
        <is>
          <t>OWN</t>
        </is>
      </c>
      <c r="O111" s="24" t="n"/>
      <c r="P111" s="62" t="inlineStr">
        <is>
          <t>POA RB/2A THB 3,969.00+++ per night 
- This 4th time for visit 
- Total amount THB 18,811.12 net 
- Redeem with D$ at THB 12,042.65 net 
- PAID (PG) THB 6,768.47 net 
ABOUT YOUR BOOK DIRECT BENEFITS 
Stays of 1-4 nights
• 20% savings on dining (excluding In-Room Dining, minibar &amp; alcoholic beverages)
• 20% savings on spa treatment at AvaniSpa (excluding Coco Breeze Salas)
• 20% savings on laundry service</t>
        </is>
      </c>
      <c r="Q111" s="23" t="n"/>
      <c r="R111" s="23" t="n"/>
      <c r="S111" s="23" t="n"/>
      <c r="T111" s="23" t="n"/>
      <c r="U111" s="23" t="n"/>
      <c r="V111" s="24" t="n"/>
    </row>
    <row r="112" ht="114" customHeight="1">
      <c r="A112" s="95" t="inlineStr">
        <is>
          <t>Ms. Pawinee Norasetgamol</t>
        </is>
      </c>
      <c r="B112" s="24" t="n"/>
      <c r="C112" s="7" t="inlineStr">
        <is>
          <t>-</t>
        </is>
      </c>
      <c r="D112" s="39" t="inlineStr">
        <is>
          <t>3111</t>
        </is>
      </c>
      <c r="E112" s="24" t="n"/>
      <c r="F112" s="39" t="inlineStr">
        <is>
          <t>VIP2
TITANIUM</t>
        </is>
      </c>
      <c r="G112" s="24" t="n"/>
      <c r="H112" s="8" t="inlineStr">
        <is>
          <t>2</t>
        </is>
      </c>
      <c r="I112" s="9" t="inlineStr">
        <is>
          <t>25/07/26</t>
        </is>
      </c>
      <c r="J112" s="9" t="inlineStr">
        <is>
          <t>27/07/26</t>
        </is>
      </c>
      <c r="K112" s="8" t="inlineStr">
        <is>
          <t>-</t>
        </is>
      </c>
      <c r="L112" s="52" t="inlineStr">
        <is>
          <t>17.00</t>
        </is>
      </c>
      <c r="M112" s="24" t="n"/>
      <c r="N112" s="53" t="inlineStr">
        <is>
          <t>OWN</t>
        </is>
      </c>
      <c r="O112" s="24" t="n"/>
      <c r="P112" s="62" t="inlineStr">
        <is>
          <t>POA RB/2A at THB. 1,710+++ per night (settle payment on arrival at THB. 4,059.54 net) - COMP UPG to Deluxe Corner Room  - Rate by Khun Pattiya, REV. - Guest is Senior Director, Revenue Management, Commercial systems and Customer Contact | MINOR  MINOR HOTELS TEAM MEMBER :  • Special rates with daily breakfast  • Up to 50% off food &amp; beverages including alcohol* in hotel-operated outlets  when booked in advance, subject to availability  • Up to 50% off spa treatments (may vary depending on item, subject to  availability)  • A valid employee ID card or a certificate of employment must be presented at  check-in, otherwise the Flexi plus Breakfast rate will apply  • A maximum of two rooms per stay may be requested, unless the hotel allows  otherwise</t>
        </is>
      </c>
      <c r="Q112" s="23" t="n"/>
      <c r="R112" s="23" t="n"/>
      <c r="S112" s="23" t="n"/>
      <c r="T112" s="23" t="n"/>
      <c r="U112" s="23" t="n"/>
      <c r="V112" s="24" t="n"/>
    </row>
    <row r="113" ht="114" customHeight="1">
      <c r="A113" s="95" t="inlineStr">
        <is>
          <t>Mr. Eyal Cohen</t>
        </is>
      </c>
      <c r="B113" s="24" t="n"/>
      <c r="C113" s="7" t="inlineStr">
        <is>
          <t>-</t>
        </is>
      </c>
      <c r="D113" s="39" t="inlineStr">
        <is>
          <t>3202
Rak Journeys</t>
        </is>
      </c>
      <c r="E113" s="24" t="n"/>
      <c r="F113" s="39" t="inlineStr">
        <is>
          <t>-</t>
        </is>
      </c>
      <c r="G113" s="24" t="n"/>
      <c r="H113" s="8" t="inlineStr">
        <is>
          <t>3</t>
        </is>
      </c>
      <c r="I113" s="9" t="inlineStr">
        <is>
          <t>25/07/26</t>
        </is>
      </c>
      <c r="J113" s="9" t="inlineStr">
        <is>
          <t>28/07/26</t>
        </is>
      </c>
      <c r="K113" s="8" t="inlineStr">
        <is>
          <t>-</t>
        </is>
      </c>
      <c r="L113" s="52" t="inlineStr">
        <is>
          <t>15.00</t>
        </is>
      </c>
      <c r="M113" s="24" t="n"/>
      <c r="N113" s="53" t="inlineStr">
        <is>
          <t>OWN</t>
        </is>
      </c>
      <c r="O113" s="24" t="n"/>
      <c r="P113" s="62" t="inlineStr">
        <is>
          <t>PAID (Bank TRSF) RB/3A THB 4,200.00 net per night 
- Green season Promotion 
- Pty 2 rooms</t>
        </is>
      </c>
      <c r="Q113" s="23" t="n"/>
      <c r="R113" s="23" t="n"/>
      <c r="S113" s="23" t="n"/>
      <c r="T113" s="23" t="n"/>
      <c r="U113" s="23" t="n"/>
      <c r="V113" s="24" t="n"/>
    </row>
    <row r="114" ht="114" customHeight="1">
      <c r="A114" s="95" t="inlineStr">
        <is>
          <t>Mr. Eyal Cohen</t>
        </is>
      </c>
      <c r="B114" s="24" t="n"/>
      <c r="C114" s="7" t="inlineStr">
        <is>
          <t>-</t>
        </is>
      </c>
      <c r="D114" s="39" t="inlineStr">
        <is>
          <t>3203
Rak Journeys</t>
        </is>
      </c>
      <c r="E114" s="24" t="n"/>
      <c r="F114" s="39" t="inlineStr">
        <is>
          <t>-</t>
        </is>
      </c>
      <c r="G114" s="24" t="n"/>
      <c r="H114" s="8" t="inlineStr">
        <is>
          <t>2+1</t>
        </is>
      </c>
      <c r="I114" s="9" t="inlineStr">
        <is>
          <t>25/07/26</t>
        </is>
      </c>
      <c r="J114" s="9" t="inlineStr">
        <is>
          <t>28/07/26</t>
        </is>
      </c>
      <c r="K114" s="8" t="inlineStr">
        <is>
          <t>-</t>
        </is>
      </c>
      <c r="L114" s="52" t="inlineStr">
        <is>
          <t>15.00</t>
        </is>
      </c>
      <c r="M114" s="24" t="n"/>
      <c r="N114" s="53" t="inlineStr">
        <is>
          <t>OWN</t>
        </is>
      </c>
      <c r="O114" s="24" t="n"/>
      <c r="P114" s="62" t="inlineStr">
        <is>
          <t>PAID (Bank TRSF) RB/2A THB 2,700 net per night 
- FOC 1 CHD age 3 Yrs old 
- Green season Promotion 
- Pty 2 rooms</t>
        </is>
      </c>
      <c r="Q114" s="23" t="n"/>
      <c r="R114" s="23" t="n"/>
      <c r="S114" s="23" t="n"/>
      <c r="T114" s="23" t="n"/>
      <c r="U114" s="23" t="n"/>
      <c r="V114" s="24" t="n"/>
    </row>
    <row r="115" ht="114" customHeight="1">
      <c r="A115" s="95" t="inlineStr">
        <is>
          <t>Ms. Poppy Spencer</t>
        </is>
      </c>
      <c r="B115" s="24" t="n"/>
      <c r="C115" s="7" t="inlineStr">
        <is>
          <t>-</t>
        </is>
      </c>
      <c r="D115" s="39" t="inlineStr">
        <is>
          <t>3204
Hotelbeds</t>
        </is>
      </c>
      <c r="E115" s="24" t="n"/>
      <c r="F115" s="39" t="inlineStr">
        <is>
          <t>-</t>
        </is>
      </c>
      <c r="G115" s="24" t="n"/>
      <c r="H115" s="8" t="inlineStr">
        <is>
          <t>2</t>
        </is>
      </c>
      <c r="I115" s="9" t="inlineStr">
        <is>
          <t>25/07/26</t>
        </is>
      </c>
      <c r="J115" s="9" t="inlineStr">
        <is>
          <t>31/07/26</t>
        </is>
      </c>
      <c r="K115" s="8" t="inlineStr">
        <is>
          <t>-</t>
        </is>
      </c>
      <c r="L115" s="52" t="inlineStr">
        <is>
          <t>15.00</t>
        </is>
      </c>
      <c r="M115" s="24" t="n"/>
      <c r="N115" s="53" t="inlineStr">
        <is>
          <t>OWN</t>
        </is>
      </c>
      <c r="O115" s="24" t="n"/>
      <c r="P115" s="62" t="inlineStr">
        <is>
          <t>COD (see trace) RB/2A THB 3,247.63 net per night
- 20% comm prepaid at 3,897.17 THB
- party 2 rooms
- Strong RQ twin bed</t>
        </is>
      </c>
      <c r="Q115" s="23" t="n"/>
      <c r="R115" s="23" t="n"/>
      <c r="S115" s="23" t="n"/>
      <c r="T115" s="23" t="n"/>
      <c r="U115" s="23" t="n"/>
      <c r="V115" s="24" t="n"/>
    </row>
    <row r="116" ht="114" customHeight="1">
      <c r="A116" s="95" t="inlineStr">
        <is>
          <t>Mr. Louise Spencer</t>
        </is>
      </c>
      <c r="B116" s="24" t="n"/>
      <c r="C116" s="7" t="inlineStr">
        <is>
          <t>-</t>
        </is>
      </c>
      <c r="D116" s="39" t="inlineStr">
        <is>
          <t>3205
Hotelbeds</t>
        </is>
      </c>
      <c r="E116" s="24" t="n"/>
      <c r="F116" s="39" t="inlineStr">
        <is>
          <t>-</t>
        </is>
      </c>
      <c r="G116" s="24" t="n"/>
      <c r="H116" s="8" t="inlineStr">
        <is>
          <t>2</t>
        </is>
      </c>
      <c r="I116" s="9" t="inlineStr">
        <is>
          <t>25/07/26</t>
        </is>
      </c>
      <c r="J116" s="9" t="inlineStr">
        <is>
          <t>31/07/26</t>
        </is>
      </c>
      <c r="K116" s="8" t="inlineStr">
        <is>
          <t>-</t>
        </is>
      </c>
      <c r="L116" s="52" t="inlineStr">
        <is>
          <t>15.00</t>
        </is>
      </c>
      <c r="M116" s="24" t="n"/>
      <c r="N116" s="53" t="inlineStr">
        <is>
          <t>OWN</t>
        </is>
      </c>
      <c r="O116" s="24" t="n"/>
      <c r="P116" s="62" t="inlineStr">
        <is>
          <t>COD (see trace) RB/2A THB 3,247.63 net per night
- 20% comm prepaid at 3,897.17 THB
- Party 2 rooms</t>
        </is>
      </c>
      <c r="Q116" s="23" t="n"/>
      <c r="R116" s="23" t="n"/>
      <c r="S116" s="23" t="n"/>
      <c r="T116" s="23" t="n"/>
      <c r="U116" s="23" t="n"/>
      <c r="V116" s="24" t="n"/>
    </row>
    <row r="117" ht="114" customHeight="1">
      <c r="A117" s="95" t="inlineStr">
        <is>
          <t>Ms. Amonrat Ajsamart</t>
        </is>
      </c>
      <c r="B117" s="24" t="n"/>
      <c r="C117" s="7" t="inlineStr">
        <is>
          <t>-</t>
        </is>
      </c>
      <c r="D117" s="39" t="inlineStr">
        <is>
          <t>3208</t>
        </is>
      </c>
      <c r="E117" s="24" t="n"/>
      <c r="F117" s="39" t="inlineStr">
        <is>
          <t>VIPS
SILVER</t>
        </is>
      </c>
      <c r="G117" s="24" t="n"/>
      <c r="H117" s="8" t="inlineStr">
        <is>
          <t>2</t>
        </is>
      </c>
      <c r="I117" s="9" t="inlineStr">
        <is>
          <t>25/07/26</t>
        </is>
      </c>
      <c r="J117" s="9" t="inlineStr">
        <is>
          <t>28/07/26</t>
        </is>
      </c>
      <c r="K117" s="8" t="inlineStr">
        <is>
          <t>-</t>
        </is>
      </c>
      <c r="L117" s="52" t="inlineStr">
        <is>
          <t>15.00</t>
        </is>
      </c>
      <c r="M117" s="24" t="n"/>
      <c r="N117" s="53" t="inlineStr">
        <is>
          <t>OWN</t>
        </is>
      </c>
      <c r="O117" s="24" t="n"/>
      <c r="P117" s="62" t="inlineStr">
        <is>
          <t>PAID (PG) RB/2A THB 1,935+++ (25/07) + THB 2,250+++ (26-27/07) per night
-She is Complex Director of Sales - Leisure from Anantara Riverside Bangkok Resort
-Req Twin Bed
MINOR HOTELS TEAM MEMBER
-Special rates with daily breakfast
-Up to 50% off food &amp; beverages including alcohol* in hotel-operated outlets when booked in advance, subject to availability
-Up to 50% off spa treatments (may vary depending on item, subject to availability)
-A valid employee ID card or a certificate of employment must be presented at check-in, otherwise the Flexi plus Breakfast rate will apply
-A maximum of two rooms per stay may be requested, unless the hotel allows otherwise</t>
        </is>
      </c>
      <c r="Q117" s="23" t="n"/>
      <c r="R117" s="23" t="n"/>
      <c r="S117" s="23" t="n"/>
      <c r="T117" s="23" t="n"/>
      <c r="U117" s="23" t="n"/>
      <c r="V117" s="24" t="n"/>
    </row>
    <row r="118" ht="114" customHeight="1">
      <c r="A118" s="95" t="inlineStr">
        <is>
          <t>Ms. Chayapas Thanasombat</t>
        </is>
      </c>
      <c r="B118" s="24" t="n"/>
      <c r="C118" s="7" t="inlineStr">
        <is>
          <t>-</t>
        </is>
      </c>
      <c r="D118" s="39" t="inlineStr">
        <is>
          <t>3209
Booking.com</t>
        </is>
      </c>
      <c r="E118" s="24" t="n"/>
      <c r="F118" s="39" t="inlineStr">
        <is>
          <t>-</t>
        </is>
      </c>
      <c r="G118" s="24" t="n"/>
      <c r="H118" s="8" t="inlineStr">
        <is>
          <t>2</t>
        </is>
      </c>
      <c r="I118" s="9" t="inlineStr">
        <is>
          <t>25/07/26</t>
        </is>
      </c>
      <c r="J118" s="9" t="inlineStr">
        <is>
          <t>27/07/26</t>
        </is>
      </c>
      <c r="K118" s="8" t="inlineStr">
        <is>
          <t>-</t>
        </is>
      </c>
      <c r="L118" s="52" t="inlineStr">
        <is>
          <t>15.00</t>
        </is>
      </c>
      <c r="M118" s="24" t="n"/>
      <c r="N118" s="53" t="inlineStr">
        <is>
          <t>OWN</t>
        </is>
      </c>
      <c r="O118" s="24" t="n"/>
      <c r="P118" s="62" t="inlineStr">
        <is>
          <t>COA (See Trace) RB/2A THB 2,946.49+++per night (25/07/2026) + THB 3,507.90+++per night (26/07/2026)
- 18% COMM Kickback at THB 1,367.43 net
LargeBed, NonSmoke, smoking preference: Non-Smoking, You have received a virtual credit card for this reservation.You may charge it as of 2026-07-22. LargeBed, NonSmoke</t>
        </is>
      </c>
      <c r="Q118" s="23" t="n"/>
      <c r="R118" s="23" t="n"/>
      <c r="S118" s="23" t="n"/>
      <c r="T118" s="23" t="n"/>
      <c r="U118" s="23" t="n"/>
      <c r="V118" s="24" t="n"/>
    </row>
    <row r="119" ht="114" customHeight="1">
      <c r="A119" s="95" t="inlineStr">
        <is>
          <t>Mr. Axl Hallam</t>
        </is>
      </c>
      <c r="B119" s="24" t="n"/>
      <c r="C119" s="7" t="inlineStr">
        <is>
          <t>-</t>
        </is>
      </c>
      <c r="D119" s="39" t="inlineStr">
        <is>
          <t>3210</t>
        </is>
      </c>
      <c r="E119" s="24" t="n"/>
      <c r="F119" s="39" t="inlineStr">
        <is>
          <t>-</t>
        </is>
      </c>
      <c r="G119" s="24" t="n"/>
      <c r="H119" s="8" t="inlineStr">
        <is>
          <t>2</t>
        </is>
      </c>
      <c r="I119" s="9" t="inlineStr">
        <is>
          <t>25/07/26</t>
        </is>
      </c>
      <c r="J119" s="9" t="inlineStr">
        <is>
          <t>28/07/26</t>
        </is>
      </c>
      <c r="K119" s="8" t="inlineStr">
        <is>
          <t>-</t>
        </is>
      </c>
      <c r="L119" s="52" t="inlineStr">
        <is>
          <t>15.00</t>
        </is>
      </c>
      <c r="M119" s="24" t="n"/>
      <c r="N119" s="53" t="inlineStr">
        <is>
          <t>OWN</t>
        </is>
      </c>
      <c r="O119" s="24" t="n"/>
      <c r="P119" s="62" t="inlineStr">
        <is>
          <t>POA RB/2A THB 2,274.64+++per night (THB 2700)
Minor Friend and Family Rate
- Daily Breakfast</t>
        </is>
      </c>
      <c r="Q119" s="23" t="n"/>
      <c r="R119" s="23" t="n"/>
      <c r="S119" s="23" t="n"/>
      <c r="T119" s="23" t="n"/>
      <c r="U119" s="23" t="n"/>
      <c r="V119" s="24" t="n"/>
    </row>
    <row r="120" ht="114" customHeight="1">
      <c r="A120" s="95" t="inlineStr">
        <is>
          <t>Ms. Waratchaya Wongchaisuriya</t>
        </is>
      </c>
      <c r="B120" s="24" t="n"/>
      <c r="C120" s="7" t="inlineStr">
        <is>
          <t>-</t>
        </is>
      </c>
      <c r="D120" s="39" t="inlineStr">
        <is>
          <t>3306</t>
        </is>
      </c>
      <c r="E120" s="24" t="n"/>
      <c r="F120" s="39" t="inlineStr">
        <is>
          <t>VIPG
SILVER</t>
        </is>
      </c>
      <c r="G120" s="24" t="n"/>
      <c r="H120" s="8" t="inlineStr">
        <is>
          <t>2</t>
        </is>
      </c>
      <c r="I120" s="9" t="inlineStr">
        <is>
          <t>25/07/26</t>
        </is>
      </c>
      <c r="J120" s="9" t="inlineStr">
        <is>
          <t>28/07/26</t>
        </is>
      </c>
      <c r="K120" s="8" t="inlineStr">
        <is>
          <t>-</t>
        </is>
      </c>
      <c r="L120" s="52" t="inlineStr">
        <is>
          <t>15.00</t>
        </is>
      </c>
      <c r="M120" s="24" t="n"/>
      <c r="N120" s="53" t="inlineStr">
        <is>
          <t>OWN</t>
        </is>
      </c>
      <c r="O120" s="24" t="n"/>
      <c r="P120" s="62" t="inlineStr">
        <is>
          <t>PAID(PG) RB/2A THB 2,500 net 
- Position: Senior Executive-Product Owner Minor (MF-PRODUCT OWNER) 
- Party 2 rooms with twin bed and connect bed to one bed 
- Rq. Closed with K. Nichakarn’s room  - HBD K.Waratchaya on 26 July ( Rq. by call / Kai-Mook 16.06.26 )  
Hello 365 Days Review  -Exclusive Benefits
-Daily breakfast for 2 persons 
-Children under 4 stay free (sharing existing bed) 
-20% discount on food &amp; beverage (excluding alcohol, in-room dinning and minibar) 
-20% discount on treatment at AvaniSpa (excluding ongoing promotions)
Value Added: Minor Hotels Team Member
- 50% discount on food and alcohol beverages (Except In room Dining) 
- 50% discount on spa treatment (except promotion package) 
- Valid employee ID card is required upon check-in</t>
        </is>
      </c>
      <c r="Q120" s="23" t="n"/>
      <c r="R120" s="23" t="n"/>
      <c r="S120" s="23" t="n"/>
      <c r="T120" s="23" t="n"/>
      <c r="U120" s="23" t="n"/>
      <c r="V120" s="24" t="n"/>
    </row>
    <row r="121" ht="114" customHeight="1">
      <c r="A121" s="95" t="inlineStr">
        <is>
          <t>Ms. Waratchaya Wongchaisuriya</t>
        </is>
      </c>
      <c r="B121" s="24" t="n"/>
      <c r="C121" s="7" t="inlineStr">
        <is>
          <t>-</t>
        </is>
      </c>
      <c r="D121" s="39" t="inlineStr">
        <is>
          <t>3308</t>
        </is>
      </c>
      <c r="E121" s="24" t="n"/>
      <c r="F121" s="39" t="inlineStr">
        <is>
          <t>VIPG
SILVER</t>
        </is>
      </c>
      <c r="G121" s="24" t="n"/>
      <c r="H121" s="8" t="inlineStr">
        <is>
          <t>2</t>
        </is>
      </c>
      <c r="I121" s="9" t="inlineStr">
        <is>
          <t>25/07/26</t>
        </is>
      </c>
      <c r="J121" s="9" t="inlineStr">
        <is>
          <t>28/07/26</t>
        </is>
      </c>
      <c r="K121" s="8" t="inlineStr">
        <is>
          <t>-</t>
        </is>
      </c>
      <c r="L121" s="52" t="inlineStr">
        <is>
          <t>15.00</t>
        </is>
      </c>
      <c r="M121" s="24" t="n"/>
      <c r="N121" s="53" t="inlineStr">
        <is>
          <t>OWN</t>
        </is>
      </c>
      <c r="O121" s="24" t="n"/>
      <c r="P121" s="62" t="inlineStr">
        <is>
          <t>PAID (PG) RB/2A THB 2,500 net 
- Position: Senior Executive-Product Owner Minor (MF-PRODUCT OWNER) 
- Party 2 rooms with twin bed and connect bed to one bed 
- RQ. Closed with K. Nichakarn’s room   
Hello 365 Days Review: 
-Exclusive Benefits-Daily breakfast for 2 persons 
-Children under 4 stay free (sharing existing bed) 
-20% discount on food &amp; beverage (excluding alcohol, in-room dinning and minibar) 
-20% discount on treatment at AvaniSpa (excluding ongoing promotions)
Value Added: Minor Hotels Team Member
- 50% discount on food and alcohol beverages (Except In room Dining) 
- 50% discount on spa treatment (except promotion package) 
- Valid employee ID card is required upon check-in</t>
        </is>
      </c>
      <c r="Q121" s="23" t="n"/>
      <c r="R121" s="23" t="n"/>
      <c r="S121" s="23" t="n"/>
      <c r="T121" s="23" t="n"/>
      <c r="U121" s="23" t="n"/>
      <c r="V121" s="24" t="n"/>
    </row>
    <row r="122" ht="114" customHeight="1">
      <c r="A122" s="95" t="inlineStr">
        <is>
          <t>Ms. Nichakarn Wongsakul</t>
        </is>
      </c>
      <c r="B122" s="24" t="n"/>
      <c r="C122" s="7" t="inlineStr">
        <is>
          <t>-</t>
        </is>
      </c>
      <c r="D122" s="39" t="inlineStr">
        <is>
          <t>3310</t>
        </is>
      </c>
      <c r="E122" s="24" t="n"/>
      <c r="F122" s="39" t="inlineStr">
        <is>
          <t>-</t>
        </is>
      </c>
      <c r="G122" s="24" t="n"/>
      <c r="H122" s="8" t="inlineStr">
        <is>
          <t>2</t>
        </is>
      </c>
      <c r="I122" s="9" t="inlineStr">
        <is>
          <t>25/07/26</t>
        </is>
      </c>
      <c r="J122" s="9" t="inlineStr">
        <is>
          <t>28/07/26</t>
        </is>
      </c>
      <c r="K122" s="8" t="inlineStr">
        <is>
          <t>-</t>
        </is>
      </c>
      <c r="L122" s="52" t="inlineStr">
        <is>
          <t>15.00</t>
        </is>
      </c>
      <c r="M122" s="24" t="n"/>
      <c r="N122" s="53" t="inlineStr">
        <is>
          <t>OWN</t>
        </is>
      </c>
      <c r="O122" s="24" t="n"/>
      <c r="P122" s="62" t="inlineStr">
        <is>
          <t>PAID(PG) RB/2A THB 2,500 net
Hello 365 Days Review 
-Exclusive Benefits-Daily breakfast for 2 persons
-Children under 4 stay free (sharing existing bed)
-20% discount on food &amp; beverage (excluding alcohol, in-room dinning and minibar)
-20% discount on treatment at AvaniSpa (excluding ongoing promotions)</t>
        </is>
      </c>
      <c r="Q122" s="23" t="n"/>
      <c r="R122" s="23" t="n"/>
      <c r="S122" s="23" t="n"/>
      <c r="T122" s="23" t="n"/>
      <c r="U122" s="23" t="n"/>
      <c r="V122" s="24" t="n"/>
    </row>
    <row r="123" ht="114" customHeight="1">
      <c r="A123" s="95" t="inlineStr">
        <is>
          <t>Mr. Vichai Jienjitlert</t>
        </is>
      </c>
      <c r="B123" s="24" t="n"/>
      <c r="C123" s="7" t="inlineStr">
        <is>
          <t>-</t>
        </is>
      </c>
      <c r="D123" s="39" t="inlineStr">
        <is>
          <t>3404</t>
        </is>
      </c>
      <c r="E123" s="24" t="n"/>
      <c r="F123" s="39" t="inlineStr">
        <is>
          <t>-</t>
        </is>
      </c>
      <c r="G123" s="24" t="n"/>
      <c r="H123" s="8" t="inlineStr">
        <is>
          <t>2</t>
        </is>
      </c>
      <c r="I123" s="9" t="inlineStr">
        <is>
          <t>25/07/26</t>
        </is>
      </c>
      <c r="J123" s="9" t="inlineStr">
        <is>
          <t>26/07/26</t>
        </is>
      </c>
      <c r="K123" s="8" t="inlineStr">
        <is>
          <t>-</t>
        </is>
      </c>
      <c r="L123" s="52" t="inlineStr">
        <is>
          <t>15.00</t>
        </is>
      </c>
      <c r="M123" s="24" t="n"/>
      <c r="N123" s="53" t="inlineStr">
        <is>
          <t>OWN</t>
        </is>
      </c>
      <c r="O123" s="24" t="n"/>
      <c r="P123" s="62" t="inlineStr">
        <is>
          <t>PAID (Credit Card /Visa-card 2750) RB/2A THB 2,750 net per night
- FOC up to Deluxe Conner
- Guest booked 2 nights package and 1 night package both Deluxe and Two Bedroom
Consecutive 
- 1st call periods on 23-24/07/2026 #843995972
- 2nd call periods on 25/07/2026 #843996033
77th Discovery Thailand 05-08 March 2026
- Rate includes daily breakfast
- Early Check - in 10 AM and Late Check - out 3 PM subject to availability
- 1 Child (0 - 11 years) stay free in existing bed with ABF
- Thai ID/ Passport/ or Work Permit must be required to present at time of check – in
- 20% Discount on Spa, Food, and Non-Alcoholic Beverages.</t>
        </is>
      </c>
      <c r="Q123" s="23" t="n"/>
      <c r="R123" s="23" t="n"/>
      <c r="S123" s="23" t="n"/>
      <c r="T123" s="23" t="n"/>
      <c r="U123" s="23" t="n"/>
      <c r="V123" s="24" t="n"/>
    </row>
    <row r="124" ht="114" customHeight="1">
      <c r="A124" s="95" t="inlineStr">
        <is>
          <t>Ms. Thanchanok Nuanla-ong</t>
        </is>
      </c>
      <c r="B124" s="24" t="n"/>
      <c r="C124" s="7" t="inlineStr">
        <is>
          <t>-</t>
        </is>
      </c>
      <c r="D124" s="39" t="inlineStr">
        <is>
          <t>3409</t>
        </is>
      </c>
      <c r="E124" s="24" t="n"/>
      <c r="F124" s="39" t="inlineStr">
        <is>
          <t>-</t>
        </is>
      </c>
      <c r="G124" s="24" t="n"/>
      <c r="H124" s="8" t="inlineStr">
        <is>
          <t>2+1</t>
        </is>
      </c>
      <c r="I124" s="9" t="inlineStr">
        <is>
          <t>25/07/26</t>
        </is>
      </c>
      <c r="J124" s="9" t="inlineStr">
        <is>
          <t>26/07/26</t>
        </is>
      </c>
      <c r="K124" s="8" t="inlineStr">
        <is>
          <t>-</t>
        </is>
      </c>
      <c r="L124" s="52" t="inlineStr">
        <is>
          <t>15.00</t>
        </is>
      </c>
      <c r="M124" s="24" t="n"/>
      <c r="N124" s="53" t="inlineStr">
        <is>
          <t>OWN</t>
        </is>
      </c>
      <c r="O124" s="24" t="n"/>
      <c r="P124" s="62" t="inlineStr">
        <is>
          <t>COMP RB/2A  "COMP FORM ATTD"  Pls COL VCH
-FOC 1 CHD age 1 Yrs 
-Cost charge to Sale and Marketing-Hotel review page Bachpain Journey
-VKHL1199/2025-Valid 31 Aug 2026
Consecutive bookings:
-On 25-26 July 2026 (GF) #848389004
-On 26-27 July 2026 (Direct Booking)</t>
        </is>
      </c>
      <c r="Q124" s="23" t="n"/>
      <c r="R124" s="23" t="n"/>
      <c r="S124" s="23" t="n"/>
      <c r="T124" s="23" t="n"/>
      <c r="U124" s="23" t="n"/>
      <c r="V124" s="24" t="n"/>
    </row>
    <row r="125" ht="114" customHeight="1">
      <c r="A125" s="95" t="inlineStr">
        <is>
          <t>Mr. Chatchai Santiskulpong</t>
        </is>
      </c>
      <c r="B125" s="24" t="n"/>
      <c r="C125" s="7" t="inlineStr">
        <is>
          <t>-</t>
        </is>
      </c>
      <c r="D125" s="39" t="inlineStr">
        <is>
          <t>3411</t>
        </is>
      </c>
      <c r="E125" s="24" t="n"/>
      <c r="F125" s="39" t="inlineStr">
        <is>
          <t>-</t>
        </is>
      </c>
      <c r="G125" s="24" t="n"/>
      <c r="H125" s="8" t="inlineStr">
        <is>
          <t>2+1</t>
        </is>
      </c>
      <c r="I125" s="9" t="inlineStr">
        <is>
          <t>25/07/26</t>
        </is>
      </c>
      <c r="J125" s="9" t="inlineStr">
        <is>
          <t>27/07/26</t>
        </is>
      </c>
      <c r="K125" s="8" t="inlineStr">
        <is>
          <t>-</t>
        </is>
      </c>
      <c r="L125" s="52" t="inlineStr">
        <is>
          <t>15.00</t>
        </is>
      </c>
      <c r="M125" s="24" t="n"/>
      <c r="N125" s="53" t="inlineStr">
        <is>
          <t>OWN</t>
        </is>
      </c>
      <c r="O125" s="24" t="n"/>
      <c r="P125" s="62" t="inlineStr">
        <is>
          <t>PAID (PG) RB/2A THB 2,900 net per night + 1x CBF THB 375 net per person per day
-1 CHD: 9 yrs.old
STAY &amp; BENEFITS: Bonus Credit Escape
- Daily Breakfast
- THB 500 resort credit per night **FO Cost allocation to 81108**
- No minimum length of stay required
- Purchase your voucher today and choose your stay dates later
- 20% savings on food and beverages
- 20% savings on selected treatments at AvaniSpa</t>
        </is>
      </c>
      <c r="Q125" s="23" t="n"/>
      <c r="R125" s="23" t="n"/>
      <c r="S125" s="23" t="n"/>
      <c r="T125" s="23" t="n"/>
      <c r="U125" s="23" t="n"/>
      <c r="V125" s="24" t="n"/>
    </row>
    <row r="126" ht="114" customHeight="1">
      <c r="A126" s="95" t="inlineStr">
        <is>
          <t>Mrs. Napatsakorn Saetun</t>
        </is>
      </c>
      <c r="B126" s="24" t="n"/>
      <c r="C126" s="7" t="inlineStr">
        <is>
          <t>-</t>
        </is>
      </c>
      <c r="D126" s="39" t="inlineStr">
        <is>
          <t>3501</t>
        </is>
      </c>
      <c r="E126" s="24" t="n"/>
      <c r="F126" s="39" t="inlineStr">
        <is>
          <t>VIPS
PLATINUM</t>
        </is>
      </c>
      <c r="G126" s="24" t="n"/>
      <c r="H126" s="8" t="inlineStr">
        <is>
          <t>2</t>
        </is>
      </c>
      <c r="I126" s="9" t="inlineStr">
        <is>
          <t>25/07/26</t>
        </is>
      </c>
      <c r="J126" s="9" t="inlineStr">
        <is>
          <t>27/07/26</t>
        </is>
      </c>
      <c r="K126" s="8" t="inlineStr">
        <is>
          <t>-</t>
        </is>
      </c>
      <c r="L126" s="52" t="inlineStr">
        <is>
          <t>15.00</t>
        </is>
      </c>
      <c r="M126" s="24" t="n"/>
      <c r="N126" s="53" t="inlineStr">
        <is>
          <t>OWN</t>
        </is>
      </c>
      <c r="O126" s="24" t="n"/>
      <c r="P126" s="62" t="inlineStr">
        <is>
          <t>PAID (PG) RB/2A THB 2,750 net per night
- Confirmed stay period 24-26/07/26 at Front desk by P' Apple //KN
- Repeat Guest -12th Visit 
Consecutive bookings (same room):
1.) 843923125: 24-26/07/26
2.) 843923608: 26-27/07/26
77th Discovery Thailand 05-08 March 2026
- Rate includes daily breakfast
- Free One-time meal at Burgur &amp; Wing (food only) *Already breakdown from room rate at THB 150 net/pax*
- Early Check - in 10 AM and Late Check - out 3 PM
- 1 Child (0 - 11 years) stay free in existing bed with ABF
- 20% Discount on Spa, Food, and Non-Alcoholic Beverages.
- Thai ID/ Passport/ or Work Permit must be required to present at time of check – in</t>
        </is>
      </c>
      <c r="Q126" s="23" t="n"/>
      <c r="R126" s="23" t="n"/>
      <c r="S126" s="23" t="n"/>
      <c r="T126" s="23" t="n"/>
      <c r="U126" s="23" t="n"/>
      <c r="V126" s="24" t="n"/>
    </row>
    <row r="127" ht="114" customHeight="1">
      <c r="A127" s="95" t="inlineStr">
        <is>
          <t>Ms. Kotchapan Anansetsiri</t>
        </is>
      </c>
      <c r="B127" s="24" t="n"/>
      <c r="C127" s="7" t="inlineStr">
        <is>
          <t>-</t>
        </is>
      </c>
      <c r="D127" s="39" t="inlineStr">
        <is>
          <t>3511</t>
        </is>
      </c>
      <c r="E127" s="24" t="n"/>
      <c r="F127" s="39" t="inlineStr">
        <is>
          <t>-</t>
        </is>
      </c>
      <c r="G127" s="24" t="n"/>
      <c r="H127" s="8" t="inlineStr">
        <is>
          <t>1</t>
        </is>
      </c>
      <c r="I127" s="9" t="inlineStr">
        <is>
          <t>25/07/26</t>
        </is>
      </c>
      <c r="J127" s="9" t="inlineStr">
        <is>
          <t>26/07/26</t>
        </is>
      </c>
      <c r="K127" s="8" t="inlineStr">
        <is>
          <t>-</t>
        </is>
      </c>
      <c r="L127" s="52" t="inlineStr">
        <is>
          <t>15.00</t>
        </is>
      </c>
      <c r="M127" s="24" t="n"/>
      <c r="N127" s="53" t="inlineStr">
        <is>
          <t>OWN</t>
        </is>
      </c>
      <c r="O127" s="24" t="n"/>
      <c r="P127" s="62" t="inlineStr">
        <is>
          <t>PAID RB/1A THB 2,700 net per night 
- Booking Trial stay 
- Lead from Khun Namfon
- No agent profiled</t>
        </is>
      </c>
      <c r="Q127" s="23" t="n"/>
      <c r="R127" s="23" t="n"/>
      <c r="S127" s="23" t="n"/>
      <c r="T127" s="23" t="n"/>
      <c r="U127" s="23" t="n"/>
      <c r="V127" s="24" t="n"/>
    </row>
    <row r="128" ht="114" customHeight="1">
      <c r="A128" s="95" t="inlineStr">
        <is>
          <t>Mr. Surajit Klinmeang</t>
        </is>
      </c>
      <c r="B128" s="24" t="n"/>
      <c r="C128" s="7" t="inlineStr">
        <is>
          <t>-</t>
        </is>
      </c>
      <c r="D128" s="39" t="inlineStr">
        <is>
          <t>3512</t>
        </is>
      </c>
      <c r="E128" s="24" t="n"/>
      <c r="F128" s="39" t="inlineStr">
        <is>
          <t>-</t>
        </is>
      </c>
      <c r="G128" s="24" t="n"/>
      <c r="H128" s="8" t="inlineStr">
        <is>
          <t>2</t>
        </is>
      </c>
      <c r="I128" s="9" t="inlineStr">
        <is>
          <t>25/07/26</t>
        </is>
      </c>
      <c r="J128" s="9" t="inlineStr">
        <is>
          <t>26/07/26</t>
        </is>
      </c>
      <c r="K128" s="8" t="inlineStr">
        <is>
          <t>-</t>
        </is>
      </c>
      <c r="L128" s="52" t="inlineStr">
        <is>
          <t>14.00</t>
        </is>
      </c>
      <c r="M128" s="24" t="n"/>
      <c r="N128" s="53" t="inlineStr">
        <is>
          <t>OWN</t>
        </is>
      </c>
      <c r="O128" s="24" t="n"/>
      <c r="P128" s="62" t="inlineStr">
        <is>
          <t>PAID (credit voucher) RB/2A THB 4,212+++per night (total THB 5,000 net) 
- Voucher no. VKHL P084/2025 of SFS Aviation Co., Ltd.
**Guest RQ. that check-in dates keep confidential and not be disclosed to any third party.**
Booking include:
-One night accommodation in a Deluxe room include breakfast for 2 persons
-One-time dinner (food only) for 2 persons (FO please deduct to transaction #81108 at 450 THB per person)
-Please note that the one-time dinner can be arranged at either:  Beach House (set menu) or •Elements Restaurant (join buffet)</t>
        </is>
      </c>
      <c r="Q128" s="23" t="n"/>
      <c r="R128" s="23" t="n"/>
      <c r="S128" s="23" t="n"/>
      <c r="T128" s="23" t="n"/>
      <c r="U128" s="23" t="n"/>
      <c r="V128" s="24" t="n"/>
    </row>
    <row r="129" ht="114" customHeight="1">
      <c r="A129" s="95" t="inlineStr">
        <is>
          <t>Ms. Nitikul Saelo</t>
        </is>
      </c>
      <c r="B129" s="24" t="n"/>
      <c r="C129" s="7" t="inlineStr">
        <is>
          <t>-</t>
        </is>
      </c>
      <c r="D129" s="39" t="inlineStr">
        <is>
          <t>3602</t>
        </is>
      </c>
      <c r="E129" s="24" t="n"/>
      <c r="F129" s="39" t="inlineStr">
        <is>
          <t>-</t>
        </is>
      </c>
      <c r="G129" s="24" t="n"/>
      <c r="H129" s="8" t="inlineStr">
        <is>
          <t>2</t>
        </is>
      </c>
      <c r="I129" s="9" t="inlineStr">
        <is>
          <t>25/07/26</t>
        </is>
      </c>
      <c r="J129" s="9" t="inlineStr">
        <is>
          <t>27/07/26</t>
        </is>
      </c>
      <c r="K129" s="8" t="inlineStr">
        <is>
          <t>-</t>
        </is>
      </c>
      <c r="L129" s="52" t="inlineStr">
        <is>
          <t>15.00</t>
        </is>
      </c>
      <c r="M129" s="24" t="n"/>
      <c r="N129" s="53" t="inlineStr">
        <is>
          <t>OWN</t>
        </is>
      </c>
      <c r="O129" s="24" t="n"/>
      <c r="P129" s="62" t="inlineStr">
        <is>
          <t>PAID (PG) RB/2A THB 2,900 net per night  
-Party 2 rooms
STAY &amp; BENEFITS: Bonus Credit Escape
- Daily Breakfast
- THB 500 resort credit per night **FO Cost allocation to 81108**
- No minimum length of stay required
- 20% savings on food and beverages
- 20% savings on selected treatments at AvaniSpa
-Proof of Thai residency must be presented at check-in</t>
        </is>
      </c>
      <c r="Q129" s="23" t="n"/>
      <c r="R129" s="23" t="n"/>
      <c r="S129" s="23" t="n"/>
      <c r="T129" s="23" t="n"/>
      <c r="U129" s="23" t="n"/>
      <c r="V129" s="24" t="n"/>
    </row>
    <row r="130" ht="114" customHeight="1">
      <c r="A130" s="95" t="inlineStr">
        <is>
          <t>Ms. Nitikul Saelo</t>
        </is>
      </c>
      <c r="B130" s="24" t="n"/>
      <c r="C130" s="7" t="inlineStr">
        <is>
          <t>-</t>
        </is>
      </c>
      <c r="D130" s="39" t="inlineStr">
        <is>
          <t>3603</t>
        </is>
      </c>
      <c r="E130" s="24" t="n"/>
      <c r="F130" s="39" t="inlineStr">
        <is>
          <t>-</t>
        </is>
      </c>
      <c r="G130" s="24" t="n"/>
      <c r="H130" s="8" t="inlineStr">
        <is>
          <t>2</t>
        </is>
      </c>
      <c r="I130" s="9" t="inlineStr">
        <is>
          <t>25/07/26</t>
        </is>
      </c>
      <c r="J130" s="9" t="inlineStr">
        <is>
          <t>27/07/26</t>
        </is>
      </c>
      <c r="K130" s="8" t="inlineStr">
        <is>
          <t>-</t>
        </is>
      </c>
      <c r="L130" s="52" t="inlineStr">
        <is>
          <t>15.00</t>
        </is>
      </c>
      <c r="M130" s="24" t="n"/>
      <c r="N130" s="53" t="inlineStr">
        <is>
          <t>OWN</t>
        </is>
      </c>
      <c r="O130" s="24" t="n"/>
      <c r="P130" s="62" t="inlineStr">
        <is>
          <t>PAID (PG) RB/2A THB 2,900 net per night  
-Party 2 rooms
STAY &amp; BENEFITS: Bonus Credit Escape
- Daily Breakfast
- THB 500 resort credit per night **FO Cost allocation to 81108**
- No minimum length of stay required
- 20% savings on food and beverages
- 20% savings on selected treatments at AvaniSpa
-Proof of Thai residency must be presented at check-in</t>
        </is>
      </c>
      <c r="Q130" s="23" t="n"/>
      <c r="R130" s="23" t="n"/>
      <c r="S130" s="23" t="n"/>
      <c r="T130" s="23" t="n"/>
      <c r="U130" s="23" t="n"/>
      <c r="V130" s="24" t="n"/>
    </row>
    <row r="131" ht="99" customFormat="1" customHeight="1" s="2">
      <c r="A131" s="104" t="inlineStr">
        <is>
          <t>VIP DEPARTURE</t>
        </is>
      </c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4" t="n"/>
    </row>
    <row r="132" ht="96" customHeight="1">
      <c r="A132" s="49" t="inlineStr">
        <is>
          <t xml:space="preserve"> Name</t>
        </is>
      </c>
      <c r="B132" s="24" t="n"/>
      <c r="C132" s="49" t="inlineStr">
        <is>
          <t>Country</t>
        </is>
      </c>
      <c r="D132" s="49" t="inlineStr">
        <is>
          <t>Room No.</t>
        </is>
      </c>
      <c r="E132" s="24" t="n"/>
      <c r="F132" s="49" t="inlineStr">
        <is>
          <t>VIP</t>
        </is>
      </c>
      <c r="G132" s="24" t="n"/>
      <c r="H132" s="49" t="inlineStr">
        <is>
          <t>Pax</t>
        </is>
      </c>
      <c r="I132" s="49" t="inlineStr">
        <is>
          <t xml:space="preserve">ARR </t>
        </is>
      </c>
      <c r="J132" s="6" t="inlineStr">
        <is>
          <t xml:space="preserve">DEP </t>
        </is>
      </c>
      <c r="K132" s="6" t="inlineStr">
        <is>
          <t>Flight</t>
        </is>
      </c>
      <c r="L132" s="49" t="inlineStr">
        <is>
          <t>ETD</t>
        </is>
      </c>
      <c r="M132" s="24" t="n"/>
      <c r="N132" s="49" t="inlineStr">
        <is>
          <t>TRSF</t>
        </is>
      </c>
      <c r="O132" s="24" t="n"/>
      <c r="P132" s="49" t="inlineStr">
        <is>
          <t>Remark</t>
        </is>
      </c>
      <c r="Q132" s="23" t="n"/>
      <c r="R132" s="23" t="n"/>
      <c r="S132" s="23" t="n"/>
      <c r="T132" s="23" t="n"/>
      <c r="U132" s="23" t="n"/>
      <c r="V132" s="24" t="n"/>
    </row>
    <row r="133" ht="114" customHeight="1">
      <c r="A133" s="95" t="inlineStr">
        <is>
          <t>Mr. Edmund Min Hai Tan</t>
        </is>
      </c>
      <c r="B133" s="24" t="n"/>
      <c r="C133" s="7" t="inlineStr">
        <is>
          <t>-</t>
        </is>
      </c>
      <c r="D133" s="39" t="inlineStr">
        <is>
          <t>0001</t>
        </is>
      </c>
      <c r="E133" s="24" t="n"/>
      <c r="F133" s="39" t="inlineStr">
        <is>
          <t>VIP1</t>
        </is>
      </c>
      <c r="G133" s="24" t="n"/>
      <c r="H133" s="8" t="inlineStr">
        <is>
          <t>4</t>
        </is>
      </c>
      <c r="I133" s="9" t="inlineStr">
        <is>
          <t>24/07/26</t>
        </is>
      </c>
      <c r="J133" s="9" t="inlineStr">
        <is>
          <t>25/07/26</t>
        </is>
      </c>
      <c r="K133" s="8" t="inlineStr">
        <is>
          <t>-</t>
        </is>
      </c>
      <c r="L133" s="52" t="inlineStr">
        <is>
          <t>12.00</t>
        </is>
      </c>
      <c r="M133" s="24" t="n"/>
      <c r="N133" s="53" t="inlineStr">
        <is>
          <t>OWN</t>
        </is>
      </c>
      <c r="O133" s="24" t="n"/>
      <c r="P133" s="62" t="inlineStr">
        <is>
          <t>PAID RB//4A THB 32,500.00 net per night
- Guest is VP, Head of Finance and Corporate Affairs, Accounting
- Reservation lead from Khun Pattiya DOR</t>
        </is>
      </c>
      <c r="Q133" s="23" t="n"/>
      <c r="R133" s="23" t="n"/>
      <c r="S133" s="23" t="n"/>
      <c r="T133" s="23" t="n"/>
      <c r="U133" s="23" t="n"/>
      <c r="V133" s="24" t="n"/>
    </row>
    <row r="134" ht="114" customHeight="1">
      <c r="A134" s="95" t="inlineStr">
        <is>
          <t>Mr. Matthias Poeschel</t>
        </is>
      </c>
      <c r="B134" s="24" t="n"/>
      <c r="C134" s="7" t="inlineStr">
        <is>
          <t>-</t>
        </is>
      </c>
      <c r="D134" s="39" t="inlineStr">
        <is>
          <t>0012
Go Vacation</t>
        </is>
      </c>
      <c r="E134" s="24" t="n"/>
      <c r="F134" s="39" t="inlineStr">
        <is>
          <t>VIP2
SILVER</t>
        </is>
      </c>
      <c r="G134" s="24" t="n"/>
      <c r="H134" s="8" t="inlineStr">
        <is>
          <t>3+1</t>
        </is>
      </c>
      <c r="I134" s="9" t="inlineStr">
        <is>
          <t>13/07/26</t>
        </is>
      </c>
      <c r="J134" s="9" t="inlineStr">
        <is>
          <t>25/07/26</t>
        </is>
      </c>
      <c r="K134" s="8" t="inlineStr">
        <is>
          <t>-</t>
        </is>
      </c>
      <c r="L134" s="52" t="inlineStr">
        <is>
          <t>14.00</t>
        </is>
      </c>
      <c r="M134" s="24" t="n"/>
      <c r="N134" s="53" t="inlineStr">
        <is>
          <t>OWN</t>
        </is>
      </c>
      <c r="O134" s="24" t="n"/>
      <c r="P134" s="62" t="inlineStr">
        <is>
          <t>CTC RB/3A1C THB 9,576 net per night **COL VCH**
- Guest will bring their own wheelchair
- 1CHD age 4 Yrs 
- Pro. Tropical Bliss Summer:16,800-43%
- Mr. Karl Richard is sitting in a wheelchair</t>
        </is>
      </c>
      <c r="Q134" s="23" t="n"/>
      <c r="R134" s="23" t="n"/>
      <c r="S134" s="23" t="n"/>
      <c r="T134" s="23" t="n"/>
      <c r="U134" s="23" t="n"/>
      <c r="V134" s="24" t="n"/>
    </row>
    <row r="135" ht="114" customHeight="1">
      <c r="A135" s="95" t="inlineStr">
        <is>
          <t>Mr. Oren Rozic</t>
        </is>
      </c>
      <c r="B135" s="24" t="n"/>
      <c r="C135" s="7" t="inlineStr">
        <is>
          <t>-</t>
        </is>
      </c>
      <c r="D135" s="39" t="inlineStr">
        <is>
          <t>0035
Booking.com</t>
        </is>
      </c>
      <c r="E135" s="24" t="n"/>
      <c r="F135" s="39" t="inlineStr">
        <is>
          <t>VIPG
SILVER</t>
        </is>
      </c>
      <c r="G135" s="24" t="n"/>
      <c r="H135" s="8" t="inlineStr">
        <is>
          <t>3+2</t>
        </is>
      </c>
      <c r="I135" s="9" t="inlineStr">
        <is>
          <t>22/07/26</t>
        </is>
      </c>
      <c r="J135" s="9" t="inlineStr">
        <is>
          <t>25/07/26</t>
        </is>
      </c>
      <c r="K135" s="8" t="inlineStr">
        <is>
          <t>-</t>
        </is>
      </c>
      <c r="L135" s="52" t="inlineStr">
        <is>
          <t>12.00</t>
        </is>
      </c>
      <c r="M135" s="24" t="n"/>
      <c r="N135" s="53" t="inlineStr">
        <is>
          <t>OWN</t>
        </is>
      </c>
      <c r="O135" s="24" t="n"/>
      <c r="P135" s="62" t="inlineStr">
        <is>
          <t>COA (see trace) RB/3A2C THB 15,406.71+++per night on 22/07/26 + THB 15,443.51+++per night on 23/07/26 + THB 15,379.11+++per night on 24/07/26
-2 CHD: 8,10 yrs.old
-18% comm. kickback at THB 9,794.15 net</t>
        </is>
      </c>
      <c r="Q135" s="23" t="n"/>
      <c r="R135" s="23" t="n"/>
      <c r="S135" s="23" t="n"/>
      <c r="T135" s="23" t="n"/>
      <c r="U135" s="23" t="n"/>
      <c r="V135" s="24" t="n"/>
    </row>
    <row r="136" ht="114" customHeight="1">
      <c r="A136" s="95" t="inlineStr">
        <is>
          <t>Mrs. Sirach Kheosopa</t>
        </is>
      </c>
      <c r="B136" s="24" t="n"/>
      <c r="C136" s="7" t="inlineStr">
        <is>
          <t>-</t>
        </is>
      </c>
      <c r="D136" s="39" t="inlineStr">
        <is>
          <t>0036</t>
        </is>
      </c>
      <c r="E136" s="24" t="n"/>
      <c r="F136" s="39" t="inlineStr">
        <is>
          <t>VIPS
SILVER</t>
        </is>
      </c>
      <c r="G136" s="24" t="n"/>
      <c r="H136" s="8" t="inlineStr">
        <is>
          <t>4</t>
        </is>
      </c>
      <c r="I136" s="9" t="inlineStr">
        <is>
          <t>24/07/26</t>
        </is>
      </c>
      <c r="J136" s="9" t="inlineStr">
        <is>
          <t>25/07/26</t>
        </is>
      </c>
      <c r="K136" s="8" t="inlineStr">
        <is>
          <t>-</t>
        </is>
      </c>
      <c r="L136" s="52" t="inlineStr">
        <is>
          <t>12.00</t>
        </is>
      </c>
      <c r="M136" s="24" t="n"/>
      <c r="N136" s="53" t="inlineStr">
        <is>
          <t>OWN</t>
        </is>
      </c>
      <c r="O136" s="24" t="n"/>
      <c r="P136" s="62" t="inlineStr">
        <is>
          <t>COMP RB/4A + 4 x FB with Beverages (Non-Alcoholic) + R/T TRSF + IVD + SPA **COMP FORM ATTD** 
- Cost charge to Marketing
- Blogger will arrive and depart by their own car
- Company: “Chill Chill on the way” &amp; “Tiew Journey”
- Note: Lifestyle blogger, coming 2 pages but stay same room, twin bed</t>
        </is>
      </c>
      <c r="Q136" s="23" t="n"/>
      <c r="R136" s="23" t="n"/>
      <c r="S136" s="23" t="n"/>
      <c r="T136" s="23" t="n"/>
      <c r="U136" s="23" t="n"/>
      <c r="V136" s="24" t="n"/>
    </row>
    <row r="137" ht="114" customHeight="1">
      <c r="A137" s="95" t="inlineStr">
        <is>
          <t>Mr. Edgar Mihailov</t>
        </is>
      </c>
      <c r="B137" s="24" t="n"/>
      <c r="C137" s="7" t="inlineStr">
        <is>
          <t>-</t>
        </is>
      </c>
      <c r="D137" s="39" t="inlineStr">
        <is>
          <t>0038
BTC</t>
        </is>
      </c>
      <c r="E137" s="24" t="n"/>
      <c r="F137" s="39" t="inlineStr">
        <is>
          <t>-</t>
        </is>
      </c>
      <c r="G137" s="24" t="n"/>
      <c r="H137" s="8" t="inlineStr">
        <is>
          <t>4+1</t>
        </is>
      </c>
      <c r="I137" s="9" t="inlineStr">
        <is>
          <t>22/07/26</t>
        </is>
      </c>
      <c r="J137" s="9" t="inlineStr">
        <is>
          <t>25/07/26</t>
        </is>
      </c>
      <c r="K137" s="8" t="inlineStr">
        <is>
          <t>-</t>
        </is>
      </c>
      <c r="L137" s="52" t="inlineStr">
        <is>
          <t>12.00</t>
        </is>
      </c>
      <c r="M137" s="24" t="n"/>
      <c r="N137" s="53" t="inlineStr">
        <is>
          <t>OWN</t>
        </is>
      </c>
      <c r="O137" s="24" t="n"/>
      <c r="P137" s="62" t="inlineStr">
        <is>
          <t>PAID RB/4A THB 11,760 net per night + 1 CEXB 525 net per night
-1 CHD age 10 Yrs old</t>
        </is>
      </c>
      <c r="Q137" s="23" t="n"/>
      <c r="R137" s="23" t="n"/>
      <c r="S137" s="23" t="n"/>
      <c r="T137" s="23" t="n"/>
      <c r="U137" s="23" t="n"/>
      <c r="V137" s="24" t="n"/>
    </row>
    <row r="138" ht="114" customHeight="1">
      <c r="A138" s="95" t="inlineStr">
        <is>
          <t>Mrs. Alicera Vaewsorn</t>
        </is>
      </c>
      <c r="B138" s="24" t="n"/>
      <c r="C138" s="7" t="inlineStr">
        <is>
          <t>-</t>
        </is>
      </c>
      <c r="D138" s="39" t="inlineStr">
        <is>
          <t>0061</t>
        </is>
      </c>
      <c r="E138" s="24" t="n"/>
      <c r="F138" s="39" t="inlineStr">
        <is>
          <t>VIPG
SILVER</t>
        </is>
      </c>
      <c r="G138" s="24" t="n"/>
      <c r="H138" s="8" t="inlineStr">
        <is>
          <t>2+2</t>
        </is>
      </c>
      <c r="I138" s="9" t="inlineStr">
        <is>
          <t>20/07/26</t>
        </is>
      </c>
      <c r="J138" s="9" t="inlineStr">
        <is>
          <t>25/07/26</t>
        </is>
      </c>
      <c r="K138" s="8" t="inlineStr">
        <is>
          <t>-</t>
        </is>
      </c>
      <c r="L138" s="52" t="inlineStr">
        <is>
          <t>12.00</t>
        </is>
      </c>
      <c r="M138" s="24" t="n"/>
      <c r="N138" s="53" t="inlineStr">
        <is>
          <t>OWN</t>
        </is>
      </c>
      <c r="O138" s="24" t="n"/>
      <c r="P138" s="62" t="inlineStr">
        <is>
          <t>PAID(PG) RB/2A2C THB 10,422+++ per night 
- Guest paid but booking not interface, manual key -8% geo pricing
- 2 CHD; 4,7 yrs.
- Party 5 RMS.
ABOUT YOUR BOOK DIRECT BENEFITS **Cost deduct to transaction #81108**
• Receive THB 1,500 resort credit per stay* 
• Complimentary sunset cocktail for 4 persons per room per stay (*Cost breakdown at THB 65 net per glass) 
• Complimentary voucher for 1 scoop of ice cream per child at Scoop It per stay (*Cost breakdown THB 50 net/scoop) 
• Complimentary voucher for 1 pizza at Mi Scusi per stay (*Cost breakdown THB 170 net/pizza) 
• 20% savings on spa treatment at AvaniSpa</t>
        </is>
      </c>
      <c r="Q138" s="23" t="n"/>
      <c r="R138" s="23" t="n"/>
      <c r="S138" s="23" t="n"/>
      <c r="T138" s="23" t="n"/>
      <c r="U138" s="23" t="n"/>
      <c r="V138" s="24" t="n"/>
    </row>
    <row r="139" ht="114" customHeight="1">
      <c r="A139" s="95" t="inlineStr">
        <is>
          <t>Mr. Rongrong Zou</t>
        </is>
      </c>
      <c r="B139" s="24" t="n"/>
      <c r="C139" s="7" t="inlineStr">
        <is>
          <t>-</t>
        </is>
      </c>
      <c r="D139" s="39" t="inlineStr">
        <is>
          <t>0062</t>
        </is>
      </c>
      <c r="E139" s="24" t="n"/>
      <c r="F139" s="39" t="inlineStr">
        <is>
          <t>VIPO
DIAMOND</t>
        </is>
      </c>
      <c r="G139" s="24" t="n"/>
      <c r="H139" s="8" t="inlineStr">
        <is>
          <t>2</t>
        </is>
      </c>
      <c r="I139" s="9" t="inlineStr">
        <is>
          <t>22/07/26</t>
        </is>
      </c>
      <c r="J139" s="9" t="inlineStr">
        <is>
          <t>25/07/26</t>
        </is>
      </c>
      <c r="K139" s="8" t="inlineStr">
        <is>
          <t>-</t>
        </is>
      </c>
      <c r="L139" s="52" t="inlineStr">
        <is>
          <t>12.00</t>
        </is>
      </c>
      <c r="M139" s="24" t="n"/>
      <c r="N139" s="53" t="inlineStr">
        <is>
          <t>OWN</t>
        </is>
      </c>
      <c r="O139" s="24" t="n"/>
      <c r="P139" s="62" t="inlineStr">
        <is>
          <t>CTC RO/2A **Billing to AVC**
“Diamond” Club Benefits 
- 15% discount F&amp;B (including alcohol) and Spa Treatment (Excluding Products) 
- 15% discount on Best Available Rate on Rental (not Club Point) Bookings (Subject to blackout date) 
- Daily Housekeeping and Room Service - VIP amenities 
- Complimentary Early Check-In 12:00 hrs. (Subject to availability) 
- Complimentary Late Check-Out 14:00 hrs. (Subject to availability) 
- In Room or Fast Track Check-In</t>
        </is>
      </c>
      <c r="Q139" s="23" t="n"/>
      <c r="R139" s="23" t="n"/>
      <c r="S139" s="23" t="n"/>
      <c r="T139" s="23" t="n"/>
      <c r="U139" s="23" t="n"/>
      <c r="V139" s="24" t="n"/>
    </row>
    <row r="140" ht="114" customHeight="1">
      <c r="A140" s="95" t="inlineStr">
        <is>
          <t>Mr. Korawich Wiwattananon</t>
        </is>
      </c>
      <c r="B140" s="24" t="n"/>
      <c r="C140" s="7" t="inlineStr">
        <is>
          <t>-</t>
        </is>
      </c>
      <c r="D140" s="39" t="inlineStr">
        <is>
          <t>0065
MI Squared</t>
        </is>
      </c>
      <c r="E140" s="24" t="n"/>
      <c r="F140" s="39" t="inlineStr">
        <is>
          <t>-</t>
        </is>
      </c>
      <c r="G140" s="24" t="n"/>
      <c r="H140" s="8" t="inlineStr">
        <is>
          <t>6</t>
        </is>
      </c>
      <c r="I140" s="9" t="inlineStr">
        <is>
          <t>23/07/26</t>
        </is>
      </c>
      <c r="J140" s="9" t="inlineStr">
        <is>
          <t>25/07/26</t>
        </is>
      </c>
      <c r="K140" s="8" t="inlineStr">
        <is>
          <t>-</t>
        </is>
      </c>
      <c r="L140" s="52" t="inlineStr">
        <is>
          <t>12.00</t>
        </is>
      </c>
      <c r="M140" s="24" t="n"/>
      <c r="N140" s="53" t="inlineStr">
        <is>
          <t>OWN</t>
        </is>
      </c>
      <c r="O140" s="24" t="n"/>
      <c r="P140" s="62" t="inlineStr">
        <is>
          <t>CTC RO/6A + 2 x ABF @ 570 THB net per nt per pax **Billing to MI Squared Limited**</t>
        </is>
      </c>
      <c r="Q140" s="23" t="n"/>
      <c r="R140" s="23" t="n"/>
      <c r="S140" s="23" t="n"/>
      <c r="T140" s="23" t="n"/>
      <c r="U140" s="23" t="n"/>
      <c r="V140" s="24" t="n"/>
    </row>
    <row r="141" ht="114" customHeight="1">
      <c r="A141" s="95" t="inlineStr">
        <is>
          <t>Mrs. Lin Li</t>
        </is>
      </c>
      <c r="B141" s="24" t="n"/>
      <c r="C141" s="7" t="inlineStr">
        <is>
          <t>-</t>
        </is>
      </c>
      <c r="D141" s="39" t="inlineStr">
        <is>
          <t>0068</t>
        </is>
      </c>
      <c r="E141" s="24" t="n"/>
      <c r="F141" s="39" t="inlineStr">
        <is>
          <t>VIPO
JADE</t>
        </is>
      </c>
      <c r="G141" s="24" t="n"/>
      <c r="H141" s="8" t="inlineStr">
        <is>
          <t>4+1</t>
        </is>
      </c>
      <c r="I141" s="9" t="inlineStr">
        <is>
          <t>21/07/26</t>
        </is>
      </c>
      <c r="J141" s="9" t="inlineStr">
        <is>
          <t>25/07/26</t>
        </is>
      </c>
      <c r="K141" s="8" t="inlineStr">
        <is>
          <t>-</t>
        </is>
      </c>
      <c r="L141" s="52" t="inlineStr">
        <is>
          <t>12.00</t>
        </is>
      </c>
      <c r="M141" s="24" t="n"/>
      <c r="N141" s="53" t="inlineStr">
        <is>
          <t>OWN</t>
        </is>
      </c>
      <c r="O141" s="24" t="n"/>
      <c r="P141" s="62" t="inlineStr">
        <is>
          <t>CTC RO/4A1C + 4 x ABF at THB 570 net/pax/nt + 1 x CBF at THB 285 net/child/nt + 4 x HB ADT (3-course) at THB 950 net/adult/nt + 1 x HB CHD (3-course) at THB 475 net/child/nt **Billing to AVC**  - 1 child (ages 10)  “Jade/Ruby” Club Benefits  - 15% discount F&amp;B (including alcohol) and Spa Treatment (Excluding Products)  - 15% discount on Best Available Rate on Rental (not Club Point) Bookings (Subject to blackout date)  - Daily Housekeeping and Room Service  - Welcome drink</t>
        </is>
      </c>
      <c r="Q141" s="23" t="n"/>
      <c r="R141" s="23" t="n"/>
      <c r="S141" s="23" t="n"/>
      <c r="T141" s="23" t="n"/>
      <c r="U141" s="23" t="n"/>
      <c r="V141" s="24" t="n"/>
    </row>
    <row r="142" ht="114" customHeight="1">
      <c r="A142" s="95" t="inlineStr">
        <is>
          <t>Mrs. Xinting Xing</t>
        </is>
      </c>
      <c r="B142" s="24" t="n"/>
      <c r="C142" s="7" t="inlineStr">
        <is>
          <t>-</t>
        </is>
      </c>
      <c r="D142" s="39" t="inlineStr">
        <is>
          <t>0071
MI Squared</t>
        </is>
      </c>
      <c r="E142" s="24" t="n"/>
      <c r="F142" s="39" t="inlineStr">
        <is>
          <t>-</t>
        </is>
      </c>
      <c r="G142" s="24" t="n"/>
      <c r="H142" s="8" t="inlineStr">
        <is>
          <t>2</t>
        </is>
      </c>
      <c r="I142" s="9" t="inlineStr">
        <is>
          <t>22/07/26</t>
        </is>
      </c>
      <c r="J142" s="9" t="inlineStr">
        <is>
          <t>25/07/26</t>
        </is>
      </c>
      <c r="K142" s="8" t="inlineStr">
        <is>
          <t>-</t>
        </is>
      </c>
      <c r="L142" s="52" t="inlineStr">
        <is>
          <t>02.54</t>
        </is>
      </c>
      <c r="M142" s="24" t="n"/>
      <c r="N142" s="53" t="inlineStr">
        <is>
          <t>OWN</t>
        </is>
      </c>
      <c r="O142" s="24" t="n"/>
      <c r="P142" s="62" t="inlineStr">
        <is>
          <t>CTC RO/3A1C + 3 x ABF at THB 570 net/pax/nt +1 CBF atTHB 285 net per person **Billing to MI Squared Limited** 
- 1 child (9 years old)</t>
        </is>
      </c>
      <c r="Q142" s="23" t="n"/>
      <c r="R142" s="23" t="n"/>
      <c r="S142" s="23" t="n"/>
      <c r="T142" s="23" t="n"/>
      <c r="U142" s="23" t="n"/>
      <c r="V142" s="24" t="n"/>
    </row>
    <row r="143" ht="114" customHeight="1">
      <c r="A143" s="95" t="inlineStr">
        <is>
          <t>Mr. Wei Ren Yao</t>
        </is>
      </c>
      <c r="B143" s="24" t="n"/>
      <c r="C143" s="7" t="inlineStr">
        <is>
          <t>-</t>
        </is>
      </c>
      <c r="D143" s="39" t="inlineStr">
        <is>
          <t>0073</t>
        </is>
      </c>
      <c r="E143" s="24" t="n"/>
      <c r="F143" s="39" t="inlineStr">
        <is>
          <t>VIPO
DIAMOND</t>
        </is>
      </c>
      <c r="G143" s="24" t="n"/>
      <c r="H143" s="8" t="inlineStr">
        <is>
          <t>4</t>
        </is>
      </c>
      <c r="I143" s="9" t="inlineStr">
        <is>
          <t>20/07/26</t>
        </is>
      </c>
      <c r="J143" s="9" t="inlineStr">
        <is>
          <t>25/07/26</t>
        </is>
      </c>
      <c r="K143" s="8" t="inlineStr">
        <is>
          <t>-</t>
        </is>
      </c>
      <c r="L143" s="52" t="inlineStr">
        <is>
          <t>12.00</t>
        </is>
      </c>
      <c r="M143" s="24" t="n"/>
      <c r="N143" s="53" t="inlineStr">
        <is>
          <t>OWN</t>
        </is>
      </c>
      <c r="O143" s="24" t="n"/>
      <c r="P143" s="62" t="inlineStr">
        <is>
          <t>CTC RO/4A + One-way AP TRSF by Toyota Commuter at THB 2,000 net/van**Billing to AVC**  
- Pty 2 room (not duplicate)
- Guest will use one-way TRSF for airport drop off 
As requested, please find below the name(s) of the guest(s) who will be staying in the Two Bedroom Deluxe Pool Suite:
1.  CHI, HSIN-YI
2. WENG, TZU-CHING
3. CHI, NIAN-JIE
4. CHI, JOSH
“Diamond” Club Benefits 
- 15% discount F&amp;B (including alcohol) and Spa Treatment (Excluding Products) 
- 15% discount on Best Available Rate on Rental (not Club Point) Bookings (Subject to blackout date) 
- Daily Housekeeping and Room Service - VIP amenities 
- Complimentary Early Check-In 12:00 hrs. (Subject to availability) 
- Complimentary Late Check-Out 14:00 hrs. (Subject to availability) 
- In Room or Fast Track Check-In</t>
        </is>
      </c>
      <c r="Q143" s="23" t="n"/>
      <c r="R143" s="23" t="n"/>
      <c r="S143" s="23" t="n"/>
      <c r="T143" s="23" t="n"/>
      <c r="U143" s="23" t="n"/>
      <c r="V143" s="24" t="n"/>
    </row>
    <row r="144" ht="114" customHeight="1">
      <c r="A144" s="95" t="inlineStr">
        <is>
          <t>Mr. Zhiqing Wang</t>
        </is>
      </c>
      <c r="B144" s="24" t="n"/>
      <c r="C144" s="7" t="inlineStr">
        <is>
          <t>-</t>
        </is>
      </c>
      <c r="D144" s="39" t="inlineStr">
        <is>
          <t>0075</t>
        </is>
      </c>
      <c r="E144" s="24" t="n"/>
      <c r="F144" s="39" t="inlineStr">
        <is>
          <t>VIPO
PLATINUM</t>
        </is>
      </c>
      <c r="G144" s="24" t="n"/>
      <c r="H144" s="8" t="inlineStr">
        <is>
          <t>4</t>
        </is>
      </c>
      <c r="I144" s="9" t="inlineStr">
        <is>
          <t>24/07/26</t>
        </is>
      </c>
      <c r="J144" s="9" t="inlineStr">
        <is>
          <t>25/07/26</t>
        </is>
      </c>
      <c r="K144" s="8" t="inlineStr">
        <is>
          <t>-</t>
        </is>
      </c>
      <c r="L144" s="52" t="inlineStr">
        <is>
          <t>12.00</t>
        </is>
      </c>
      <c r="M144" s="24" t="n"/>
      <c r="N144" s="53" t="inlineStr">
        <is>
          <t>OWN</t>
        </is>
      </c>
      <c r="O144" s="24" t="n"/>
      <c r="P144" s="62" t="inlineStr">
        <is>
          <t>CTC RO/4A + 4 x ABF at THB 570 net/pax/nt **Billing to AVC**
Noted: 1st booking on 22-24/7/2026
             2nd booking 24-25/7/2026
“Elite Platinum” Club Benefits 
- 15% discount F&amp;B (including alcohol) and Spa Treatment (Excluding Products) 
- 15% discount on Best Available Rate on Rental (not Club Point) Bookings (Subject to blackout date)
- Daily Housekeeping and Room Service 
- Welcome drink 
- VIP amenities 
- In Room or Fast Track Check-In 
- Personal Welcome and Farewell from GM (or designate) 
- Complimentary Early Check-In 11:00 hrs. (Subject to availability) 
- Complimentary Late Check-Out 15:00 hrs. (Subject to availability) 
- Complimentary Internet Service 
- Complimentary Local Calls 
- Complimentary Local Newspaper</t>
        </is>
      </c>
      <c r="Q144" s="23" t="n"/>
      <c r="R144" s="23" t="n"/>
      <c r="S144" s="23" t="n"/>
      <c r="T144" s="23" t="n"/>
      <c r="U144" s="23" t="n"/>
      <c r="V144" s="24" t="n"/>
    </row>
    <row r="145" ht="114" customHeight="1">
      <c r="A145" s="95" t="inlineStr">
        <is>
          <t>Mrs. Shunhua Xiao</t>
        </is>
      </c>
      <c r="B145" s="24" t="n"/>
      <c r="C145" s="7" t="inlineStr">
        <is>
          <t>-</t>
        </is>
      </c>
      <c r="D145" s="39" t="inlineStr">
        <is>
          <t>0076</t>
        </is>
      </c>
      <c r="E145" s="24" t="n"/>
      <c r="F145" s="39" t="inlineStr">
        <is>
          <t>VIPO
JADE</t>
        </is>
      </c>
      <c r="G145" s="24" t="n"/>
      <c r="H145" s="8" t="inlineStr">
        <is>
          <t>2</t>
        </is>
      </c>
      <c r="I145" s="9" t="inlineStr">
        <is>
          <t>21/07/26</t>
        </is>
      </c>
      <c r="J145" s="9" t="inlineStr">
        <is>
          <t>25/07/26</t>
        </is>
      </c>
      <c r="K145" s="8" t="inlineStr">
        <is>
          <t>-</t>
        </is>
      </c>
      <c r="L145" s="52" t="inlineStr">
        <is>
          <t>12.00</t>
        </is>
      </c>
      <c r="M145" s="24" t="n"/>
      <c r="N145" s="53" t="inlineStr">
        <is>
          <t>OWN</t>
        </is>
      </c>
      <c r="O145" s="24" t="n"/>
      <c r="P145" s="62" t="inlineStr">
        <is>
          <t>CTC RO/2A + 2 x ABF at THB 570 net/pax/nt **Billing to AVC**
“Jade/Ruby” Club Benefits 
- 15% discount F&amp;B (including alcohol) and Spa Treatment (Excluding Products) 
- 15% discount on Best Available Rate on Rental (not Club Point) Bookings (Subject to blackout date) 
- Daily Housekeeping and Room Service 
- Welcome drink</t>
        </is>
      </c>
      <c r="Q145" s="23" t="n"/>
      <c r="R145" s="23" t="n"/>
      <c r="S145" s="23" t="n"/>
      <c r="T145" s="23" t="n"/>
      <c r="U145" s="23" t="n"/>
      <c r="V145" s="24" t="n"/>
    </row>
    <row r="146" ht="114" customHeight="1">
      <c r="A146" s="95" t="inlineStr">
        <is>
          <t>Mrs. Jiegi Duan</t>
        </is>
      </c>
      <c r="B146" s="24" t="n"/>
      <c r="C146" s="7" t="inlineStr">
        <is>
          <t>-</t>
        </is>
      </c>
      <c r="D146" s="39" t="inlineStr">
        <is>
          <t>0077</t>
        </is>
      </c>
      <c r="E146" s="24" t="n"/>
      <c r="F146" s="39" t="inlineStr">
        <is>
          <t>VIPO
JADE</t>
        </is>
      </c>
      <c r="G146" s="24" t="n"/>
      <c r="H146" s="8" t="inlineStr">
        <is>
          <t>2+2</t>
        </is>
      </c>
      <c r="I146" s="9" t="inlineStr">
        <is>
          <t>22/07/26</t>
        </is>
      </c>
      <c r="J146" s="9" t="inlineStr">
        <is>
          <t>25/07/26</t>
        </is>
      </c>
      <c r="K146" s="8" t="inlineStr">
        <is>
          <t>-</t>
        </is>
      </c>
      <c r="L146" s="52" t="inlineStr">
        <is>
          <t>12.00</t>
        </is>
      </c>
      <c r="M146" s="24" t="n"/>
      <c r="N146" s="53" t="inlineStr">
        <is>
          <t>OWN</t>
        </is>
      </c>
      <c r="O146" s="24" t="n"/>
      <c r="P146" s="62" t="inlineStr">
        <is>
          <t>CTC RO/2A2C + 2 ABF at THB 570 net per person per nt  +2 CBF atTHB 285 net per person**Billing to AVC** 
-3+3 Club Resort Promo - Complimentary 1 Way Airport Transfer (arrange by AVC) 
-2 children (ages 11, 11) 
 “Jade/Ruby” Club Benefits 
- 15% discount F&amp;B (including alcohol) and Spa Treatment (Excluding Products) 
- 15% discount on Best Available Rate on Rental (not Club Point) Bookings (Subject to blackout date) 
- Daily Housekeeping and Room Service 
- Welcome drink</t>
        </is>
      </c>
      <c r="Q146" s="23" t="n"/>
      <c r="R146" s="23" t="n"/>
      <c r="S146" s="23" t="n"/>
      <c r="T146" s="23" t="n"/>
      <c r="U146" s="23" t="n"/>
      <c r="V146" s="24" t="n"/>
    </row>
    <row r="147" ht="114" customHeight="1">
      <c r="A147" s="95" t="inlineStr">
        <is>
          <t>Mrs. Pitsinee Krengratsamee</t>
        </is>
      </c>
      <c r="B147" s="24" t="n"/>
      <c r="C147" s="7" t="inlineStr">
        <is>
          <t>-</t>
        </is>
      </c>
      <c r="D147" s="39" t="inlineStr">
        <is>
          <t>1202
Travelbullz</t>
        </is>
      </c>
      <c r="E147" s="24" t="n"/>
      <c r="F147" s="39" t="inlineStr">
        <is>
          <t>VIPG
SILVER</t>
        </is>
      </c>
      <c r="G147" s="24" t="n"/>
      <c r="H147" s="8" t="inlineStr">
        <is>
          <t>2</t>
        </is>
      </c>
      <c r="I147" s="9" t="inlineStr">
        <is>
          <t>24/07/26</t>
        </is>
      </c>
      <c r="J147" s="9" t="inlineStr">
        <is>
          <t>25/07/26</t>
        </is>
      </c>
      <c r="K147" s="8" t="inlineStr">
        <is>
          <t>-</t>
        </is>
      </c>
      <c r="L147" s="52" t="inlineStr">
        <is>
          <t>12.00</t>
        </is>
      </c>
      <c r="M147" s="24" t="n"/>
      <c r="N147" s="53" t="inlineStr">
        <is>
          <t>OWN</t>
        </is>
      </c>
      <c r="O147" s="24" t="n"/>
      <c r="P147" s="62" t="inlineStr">
        <is>
          <t>COA (see trace) RB/2A THB 3,280.64 net per night
-20% comm prepaid THB 656.13 net</t>
        </is>
      </c>
      <c r="Q147" s="23" t="n"/>
      <c r="R147" s="23" t="n"/>
      <c r="S147" s="23" t="n"/>
      <c r="T147" s="23" t="n"/>
      <c r="U147" s="23" t="n"/>
      <c r="V147" s="24" t="n"/>
    </row>
    <row r="148" ht="114" customHeight="1">
      <c r="A148" s="95" t="inlineStr">
        <is>
          <t>Ms. Assem Turebekova</t>
        </is>
      </c>
      <c r="B148" s="24" t="n"/>
      <c r="C148" s="7" t="inlineStr">
        <is>
          <t>-</t>
        </is>
      </c>
      <c r="D148" s="39" t="inlineStr">
        <is>
          <t>1303
Booking.com</t>
        </is>
      </c>
      <c r="E148" s="24" t="n"/>
      <c r="F148" s="39" t="inlineStr">
        <is>
          <t>-</t>
        </is>
      </c>
      <c r="G148" s="24" t="n"/>
      <c r="H148" s="8" t="inlineStr">
        <is>
          <t>2</t>
        </is>
      </c>
      <c r="I148" s="9" t="inlineStr">
        <is>
          <t>24/07/26</t>
        </is>
      </c>
      <c r="J148" s="9" t="inlineStr">
        <is>
          <t>25/07/26</t>
        </is>
      </c>
      <c r="K148" s="8" t="inlineStr">
        <is>
          <t>-</t>
        </is>
      </c>
      <c r="L148" s="52" t="inlineStr">
        <is>
          <t>12.00</t>
        </is>
      </c>
      <c r="M148" s="24" t="n"/>
      <c r="N148" s="53" t="inlineStr">
        <is>
          <t>OWN</t>
        </is>
      </c>
      <c r="O148" s="24" t="n"/>
      <c r="P148" s="62" t="inlineStr">
        <is>
          <t>COA (see trace) RB/2A THB 2,946.48+++ per night
- 18% comm kickback at 624.24 THB
You have received a virtual credit card for this reservation.You may charge it as of 2026-07-23., booker_is_genius, smoking preference: Non-Smoking</t>
        </is>
      </c>
      <c r="Q148" s="23" t="n"/>
      <c r="R148" s="23" t="n"/>
      <c r="S148" s="23" t="n"/>
      <c r="T148" s="23" t="n"/>
      <c r="U148" s="23" t="n"/>
      <c r="V148" s="24" t="n"/>
    </row>
    <row r="149" ht="114" customHeight="1">
      <c r="A149" s="95" t="inlineStr">
        <is>
          <t>Mrs. Sawadee Yaemkanchoo</t>
        </is>
      </c>
      <c r="B149" s="24" t="n"/>
      <c r="C149" s="7" t="inlineStr">
        <is>
          <t>-</t>
        </is>
      </c>
      <c r="D149" s="39" t="inlineStr">
        <is>
          <t>1304</t>
        </is>
      </c>
      <c r="E149" s="24" t="n"/>
      <c r="F149" s="39" t="inlineStr">
        <is>
          <t>VIPG
SILVER</t>
        </is>
      </c>
      <c r="G149" s="24" t="n"/>
      <c r="H149" s="8" t="inlineStr">
        <is>
          <t>2</t>
        </is>
      </c>
      <c r="I149" s="9" t="inlineStr">
        <is>
          <t>20/07/26</t>
        </is>
      </c>
      <c r="J149" s="9" t="inlineStr">
        <is>
          <t>25/07/26</t>
        </is>
      </c>
      <c r="K149" s="8" t="inlineStr">
        <is>
          <t>-</t>
        </is>
      </c>
      <c r="L149" s="52" t="inlineStr">
        <is>
          <t>12.00</t>
        </is>
      </c>
      <c r="M149" s="24" t="n"/>
      <c r="N149" s="53" t="inlineStr">
        <is>
          <t>OWN</t>
        </is>
      </c>
      <c r="O149" s="24" t="n"/>
      <c r="P149" s="62" t="inlineStr">
        <is>
          <t>PAID (PG) RB/2A THB 2,390 net per night
- Line name: Noodee
- Strongly request quiet room + away from elevator
Tiew Thai Deal:
• Accommodation in Deluxe Room
• Daily breakfast for 2 persons
• 20% savings on food and beverages
• 20% savings on selected treatments at AvaniSpa
• Complimentary 2 mocktails per night for bookings made via LINE Official Account **Cost deduct to transaction #81108 at THB 55 net/glass/day**</t>
        </is>
      </c>
      <c r="Q149" s="23" t="n"/>
      <c r="R149" s="23" t="n"/>
      <c r="S149" s="23" t="n"/>
      <c r="T149" s="23" t="n"/>
      <c r="U149" s="23" t="n"/>
      <c r="V149" s="24" t="n"/>
    </row>
    <row r="150" ht="114" customHeight="1">
      <c r="A150" s="95" t="inlineStr">
        <is>
          <t>Mrs. Yoo Seung Lee</t>
        </is>
      </c>
      <c r="B150" s="24" t="n"/>
      <c r="C150" s="7" t="inlineStr">
        <is>
          <t>-</t>
        </is>
      </c>
      <c r="D150" s="39" t="inlineStr">
        <is>
          <t>1510</t>
        </is>
      </c>
      <c r="E150" s="24" t="n"/>
      <c r="F150" s="39" t="inlineStr">
        <is>
          <t>VIPO
JADE</t>
        </is>
      </c>
      <c r="G150" s="24" t="n"/>
      <c r="H150" s="8" t="inlineStr">
        <is>
          <t>1+1</t>
        </is>
      </c>
      <c r="I150" s="9" t="inlineStr">
        <is>
          <t>23/07/26</t>
        </is>
      </c>
      <c r="J150" s="9" t="inlineStr">
        <is>
          <t>25/07/26</t>
        </is>
      </c>
      <c r="K150" s="8" t="inlineStr">
        <is>
          <t>-</t>
        </is>
      </c>
      <c r="L150" s="52" t="inlineStr">
        <is>
          <t>12.00</t>
        </is>
      </c>
      <c r="M150" s="24" t="n"/>
      <c r="N150" s="53" t="inlineStr">
        <is>
          <t>OWN</t>
        </is>
      </c>
      <c r="O150" s="24" t="n"/>
      <c r="P150" s="62" t="inlineStr">
        <is>
          <t>CTC RO/1A1C + 1 ABF at THB 570 net per person per nt  +1 CBF at THB 285 net per person + one way Airport Transfer Toyota Commuter at THB 2,000 per way **Billing to AVC**   -1 child (ages 11)    1st 23-25/7/2026 2nd 25-29/7/2026    “Jade/Ruby” Club Benefits - 15% discount F&amp;B (including alcohol) and Spa Treatment (Excluding Products) - 15% discount on Best Available Rate on Rental (not Club Point) Bookings (Subject to blackout date) - Daily Housekeeping and Room Service - Welcome drink</t>
        </is>
      </c>
      <c r="Q150" s="23" t="n"/>
      <c r="R150" s="23" t="n"/>
      <c r="S150" s="23" t="n"/>
      <c r="T150" s="23" t="n"/>
      <c r="U150" s="23" t="n"/>
      <c r="V150" s="24" t="n"/>
    </row>
    <row r="151" ht="114" customHeight="1">
      <c r="A151" s="95" t="inlineStr">
        <is>
          <t>Mr. Rongrong Zou</t>
        </is>
      </c>
      <c r="B151" s="24" t="n"/>
      <c r="C151" s="7" t="inlineStr">
        <is>
          <t>-</t>
        </is>
      </c>
      <c r="D151" s="39" t="inlineStr">
        <is>
          <t>1513</t>
        </is>
      </c>
      <c r="E151" s="24" t="n"/>
      <c r="F151" s="39" t="inlineStr">
        <is>
          <t>VIPO
DIAMOND</t>
        </is>
      </c>
      <c r="G151" s="24" t="n"/>
      <c r="H151" s="8" t="inlineStr">
        <is>
          <t>2</t>
        </is>
      </c>
      <c r="I151" s="9" t="inlineStr">
        <is>
          <t>20/07/26</t>
        </is>
      </c>
      <c r="J151" s="9" t="inlineStr">
        <is>
          <t>25/07/26</t>
        </is>
      </c>
      <c r="K151" s="8" t="inlineStr">
        <is>
          <t>-</t>
        </is>
      </c>
      <c r="L151" s="52" t="inlineStr">
        <is>
          <t>12.00</t>
        </is>
      </c>
      <c r="M151" s="24" t="n"/>
      <c r="N151" s="53" t="inlineStr">
        <is>
          <t>OWN</t>
        </is>
      </c>
      <c r="O151" s="24" t="n"/>
      <c r="P151" s="62" t="inlineStr">
        <is>
          <t>CTC RO/2A **Billing to AVC**
“Diamond” Club Benefits 
- 15% discount F&amp;B (including alcohol) and Spa Treatment (Excluding Products) 
- 15% discount on Best Available Rate on Rental (not Club Point) Bookings (Subject to blackout date) 
- Daily Housekeeping and Room Service - VIP amenities 
- Complimentary Early Check-In 12:00 hrs. (Subject to availability) 
- Complimentary Late Check-Out 14:00 hrs. (Subject to availability) 
- In Room or Fast Track Check-In</t>
        </is>
      </c>
      <c r="Q151" s="23" t="n"/>
      <c r="R151" s="23" t="n"/>
      <c r="S151" s="23" t="n"/>
      <c r="T151" s="23" t="n"/>
      <c r="U151" s="23" t="n"/>
      <c r="V151" s="24" t="n"/>
    </row>
    <row r="152" ht="114" customHeight="1">
      <c r="A152" s="95" t="inlineStr">
        <is>
          <t>Mr. Chatchai Vaewsorn</t>
        </is>
      </c>
      <c r="B152" s="24" t="n"/>
      <c r="C152" s="7" t="inlineStr">
        <is>
          <t>-</t>
        </is>
      </c>
      <c r="D152" s="39" t="inlineStr">
        <is>
          <t>1524</t>
        </is>
      </c>
      <c r="E152" s="24" t="n"/>
      <c r="F152" s="39" t="inlineStr">
        <is>
          <t>VIPG
SILVER</t>
        </is>
      </c>
      <c r="G152" s="24" t="n"/>
      <c r="H152" s="8" t="inlineStr">
        <is>
          <t>2</t>
        </is>
      </c>
      <c r="I152" s="9" t="inlineStr">
        <is>
          <t>20/07/26</t>
        </is>
      </c>
      <c r="J152" s="9" t="inlineStr">
        <is>
          <t>25/07/26</t>
        </is>
      </c>
      <c r="K152" s="8" t="inlineStr">
        <is>
          <t>-</t>
        </is>
      </c>
      <c r="L152" s="52" t="inlineStr">
        <is>
          <t>12.00</t>
        </is>
      </c>
      <c r="M152" s="24" t="n"/>
      <c r="N152" s="53" t="inlineStr">
        <is>
          <t>OWN</t>
        </is>
      </c>
      <c r="O152" s="24" t="n"/>
      <c r="P152" s="62" t="inlineStr">
        <is>
          <t>PAID (PG) RB/2A THB 2,754+++ per night  DISCOVERY - FLASH SALE -Accommodation -Daily breakfast  Applicable Room Categories: Deluxe Corner ** FO pls breakdown from room rate, cost deduct to transaction #81108  • Receive THB 1,000 resort credit per stay* • Complimentary sunset cocktail for 2 persons per room per stay ****(cost breakdown THB 65 net/glass/pax) • 20% savings on spa treatment at AvaniSpa (excluding Coco Breeze Salas)</t>
        </is>
      </c>
      <c r="Q152" s="23" t="n"/>
      <c r="R152" s="23" t="n"/>
      <c r="S152" s="23" t="n"/>
      <c r="T152" s="23" t="n"/>
      <c r="U152" s="23" t="n"/>
      <c r="V152" s="24" t="n"/>
    </row>
    <row r="153" ht="114" customHeight="1">
      <c r="A153" s="95" t="inlineStr">
        <is>
          <t>Mr. Edmund Min Hai Tan</t>
        </is>
      </c>
      <c r="B153" s="24" t="n"/>
      <c r="C153" s="7" t="inlineStr">
        <is>
          <t>-</t>
        </is>
      </c>
      <c r="D153" s="39" t="inlineStr">
        <is>
          <t>1621</t>
        </is>
      </c>
      <c r="E153" s="24" t="n"/>
      <c r="F153" s="39" t="inlineStr">
        <is>
          <t>VIP1</t>
        </is>
      </c>
      <c r="G153" s="24" t="n"/>
      <c r="H153" s="8" t="inlineStr">
        <is>
          <t>1</t>
        </is>
      </c>
      <c r="I153" s="9" t="inlineStr">
        <is>
          <t>24/07/26</t>
        </is>
      </c>
      <c r="J153" s="9" t="inlineStr">
        <is>
          <t>25/07/26</t>
        </is>
      </c>
      <c r="K153" s="8" t="inlineStr">
        <is>
          <t>-</t>
        </is>
      </c>
      <c r="L153" s="52" t="inlineStr">
        <is>
          <t>12.00</t>
        </is>
      </c>
      <c r="M153" s="24" t="n"/>
      <c r="N153" s="53" t="inlineStr">
        <is>
          <t>OWN</t>
        </is>
      </c>
      <c r="O153" s="24" t="n"/>
      <c r="P153" s="62" t="inlineStr">
        <is>
          <t>POA RB/1A THB 2,000 net per night (Collect payment upon arrival)
- Guest is driver of Mr. Edmund Min Hai Tan
- Mr Mr Edmund Min Hai Tan is VP, Head of Finance and Corporate Affairs, Accounting
- Reservation lead from Khun Pattiya DOR</t>
        </is>
      </c>
      <c r="Q153" s="23" t="n"/>
      <c r="R153" s="23" t="n"/>
      <c r="S153" s="23" t="n"/>
      <c r="T153" s="23" t="n"/>
      <c r="U153" s="23" t="n"/>
      <c r="V153" s="24" t="n"/>
    </row>
    <row r="154" ht="114" customHeight="1">
      <c r="A154" s="95" t="inlineStr">
        <is>
          <t>Mrs. Siriluk Rakangthong</t>
        </is>
      </c>
      <c r="B154" s="24" t="n"/>
      <c r="C154" s="7" t="inlineStr">
        <is>
          <t>-</t>
        </is>
      </c>
      <c r="D154" s="39" t="inlineStr">
        <is>
          <t>2103
Booking.com</t>
        </is>
      </c>
      <c r="E154" s="24" t="n"/>
      <c r="F154" s="39" t="inlineStr">
        <is>
          <t>VIPG
SILVER</t>
        </is>
      </c>
      <c r="G154" s="24" t="n"/>
      <c r="H154" s="8" t="inlineStr">
        <is>
          <t>2</t>
        </is>
      </c>
      <c r="I154" s="9" t="inlineStr">
        <is>
          <t>24/07/26</t>
        </is>
      </c>
      <c r="J154" s="9" t="inlineStr">
        <is>
          <t>25/07/26</t>
        </is>
      </c>
      <c r="K154" s="8" t="inlineStr">
        <is>
          <t>-</t>
        </is>
      </c>
      <c r="L154" s="52" t="inlineStr">
        <is>
          <t>12.00</t>
        </is>
      </c>
      <c r="M154" s="24" t="n"/>
      <c r="N154" s="53" t="inlineStr">
        <is>
          <t>OWN</t>
        </is>
      </c>
      <c r="O154" s="24" t="n"/>
      <c r="P154" s="62" t="inlineStr">
        <is>
          <t>COA (see trace) RB/2A THB 5,613.22+++ per night
-18% comm kickback THB 1,189.21 net</t>
        </is>
      </c>
      <c r="Q154" s="23" t="n"/>
      <c r="R154" s="23" t="n"/>
      <c r="S154" s="23" t="n"/>
      <c r="T154" s="23" t="n"/>
      <c r="U154" s="23" t="n"/>
      <c r="V154" s="24" t="n"/>
    </row>
    <row r="155" ht="114" customHeight="1">
      <c r="A155" s="95" t="inlineStr">
        <is>
          <t>Mrs. Elena Suslina</t>
        </is>
      </c>
      <c r="B155" s="24" t="n"/>
      <c r="C155" s="7" t="inlineStr">
        <is>
          <t>-</t>
        </is>
      </c>
      <c r="D155" s="39" t="inlineStr">
        <is>
          <t>2110
BG Asia</t>
        </is>
      </c>
      <c r="E155" s="24" t="n"/>
      <c r="F155" s="39" t="inlineStr">
        <is>
          <t>VIPS
SILVER</t>
        </is>
      </c>
      <c r="G155" s="24" t="n"/>
      <c r="H155" s="8" t="inlineStr">
        <is>
          <t>3</t>
        </is>
      </c>
      <c r="I155" s="9" t="inlineStr">
        <is>
          <t>14/07/26</t>
        </is>
      </c>
      <c r="J155" s="9" t="inlineStr">
        <is>
          <t>25/07/26</t>
        </is>
      </c>
      <c r="K155" s="8" t="inlineStr">
        <is>
          <t>-</t>
        </is>
      </c>
      <c r="L155" s="52" t="inlineStr">
        <is>
          <t>12.00</t>
        </is>
      </c>
      <c r="M155" s="24" t="n"/>
      <c r="N155" s="53" t="inlineStr">
        <is>
          <t>OWN</t>
        </is>
      </c>
      <c r="O155" s="24" t="n"/>
      <c r="P155" s="62" t="inlineStr">
        <is>
          <t>PAID RB/3A THB 5,400 net per night + 3 HB (3 course) at THB 950 net per night 
- Pro. Green Season Escape: 3,900 + EXB 1,500
Consecutives booking
#850178951 on 14-25 July 2026 in 1H4XK
#850181964 on 25-27 July 2026 in 1H2XK</t>
        </is>
      </c>
      <c r="Q155" s="23" t="n"/>
      <c r="R155" s="23" t="n"/>
      <c r="S155" s="23" t="n"/>
      <c r="T155" s="23" t="n"/>
      <c r="U155" s="23" t="n"/>
      <c r="V155" s="24" t="n"/>
    </row>
    <row r="156" ht="114" customHeight="1">
      <c r="A156" s="95" t="inlineStr">
        <is>
          <t>Ms. Chatsuda Atduangdee</t>
        </is>
      </c>
      <c r="B156" s="24" t="n"/>
      <c r="C156" s="7" t="inlineStr">
        <is>
          <t>-</t>
        </is>
      </c>
      <c r="D156" s="39" t="inlineStr">
        <is>
          <t>2202</t>
        </is>
      </c>
      <c r="E156" s="24" t="n"/>
      <c r="F156" s="39" t="inlineStr">
        <is>
          <t>-</t>
        </is>
      </c>
      <c r="G156" s="24" t="n"/>
      <c r="H156" s="8" t="inlineStr">
        <is>
          <t>2</t>
        </is>
      </c>
      <c r="I156" s="9" t="inlineStr">
        <is>
          <t>24/07/26</t>
        </is>
      </c>
      <c r="J156" s="9" t="inlineStr">
        <is>
          <t>25/07/26</t>
        </is>
      </c>
      <c r="K156" s="8" t="inlineStr">
        <is>
          <t>-</t>
        </is>
      </c>
      <c r="L156" s="52" t="inlineStr">
        <is>
          <t>12.00</t>
        </is>
      </c>
      <c r="M156" s="24" t="n"/>
      <c r="N156" s="53" t="inlineStr">
        <is>
          <t>OWN</t>
        </is>
      </c>
      <c r="O156" s="24" t="n"/>
      <c r="P156" s="62" t="inlineStr">
        <is>
          <t>MASTER RB
20 % discount on Food and beverage (Include alcohol) for the consumption outside the agreement.</t>
        </is>
      </c>
      <c r="Q156" s="23" t="n"/>
      <c r="R156" s="23" t="n"/>
      <c r="S156" s="23" t="n"/>
      <c r="T156" s="23" t="n"/>
      <c r="U156" s="23" t="n"/>
      <c r="V156" s="24" t="n"/>
    </row>
    <row r="157" ht="114" customHeight="1">
      <c r="A157" s="95" t="inlineStr">
        <is>
          <t>Ms. Mantana Boonsri</t>
        </is>
      </c>
      <c r="B157" s="24" t="n"/>
      <c r="C157" s="7" t="inlineStr">
        <is>
          <t>-</t>
        </is>
      </c>
      <c r="D157" s="39" t="inlineStr">
        <is>
          <t>2204</t>
        </is>
      </c>
      <c r="E157" s="24" t="n"/>
      <c r="F157" s="39" t="inlineStr">
        <is>
          <t>VIPG
SILVER</t>
        </is>
      </c>
      <c r="G157" s="24" t="n"/>
      <c r="H157" s="8" t="inlineStr">
        <is>
          <t>2</t>
        </is>
      </c>
      <c r="I157" s="9" t="inlineStr">
        <is>
          <t>24/07/26</t>
        </is>
      </c>
      <c r="J157" s="9" t="inlineStr">
        <is>
          <t>25/07/26</t>
        </is>
      </c>
      <c r="K157" s="8" t="inlineStr">
        <is>
          <t>-</t>
        </is>
      </c>
      <c r="L157" s="52" t="inlineStr">
        <is>
          <t>12.00</t>
        </is>
      </c>
      <c r="M157" s="24" t="n"/>
      <c r="N157" s="53" t="inlineStr">
        <is>
          <t>OWN</t>
        </is>
      </c>
      <c r="O157" s="24" t="n"/>
      <c r="P157" s="62" t="inlineStr">
        <is>
          <t>MASTER RB  20 % discount on Food and beverage (Include alcohol) for the consumption outside the agreement.</t>
        </is>
      </c>
      <c r="Q157" s="23" t="n"/>
      <c r="R157" s="23" t="n"/>
      <c r="S157" s="23" t="n"/>
      <c r="T157" s="23" t="n"/>
      <c r="U157" s="23" t="n"/>
      <c r="V157" s="24" t="n"/>
    </row>
    <row r="158" ht="114" customHeight="1">
      <c r="A158" s="95" t="inlineStr">
        <is>
          <t>Mr. Ekawut Chinnakarn</t>
        </is>
      </c>
      <c r="B158" s="24" t="n"/>
      <c r="C158" s="7" t="inlineStr">
        <is>
          <t>-</t>
        </is>
      </c>
      <c r="D158" s="39" t="inlineStr">
        <is>
          <t>2207</t>
        </is>
      </c>
      <c r="E158" s="24" t="n"/>
      <c r="F158" s="39" t="inlineStr">
        <is>
          <t>-</t>
        </is>
      </c>
      <c r="G158" s="24" t="n"/>
      <c r="H158" s="8" t="inlineStr">
        <is>
          <t>2</t>
        </is>
      </c>
      <c r="I158" s="9" t="inlineStr">
        <is>
          <t>24/07/26</t>
        </is>
      </c>
      <c r="J158" s="9" t="inlineStr">
        <is>
          <t>25/07/26</t>
        </is>
      </c>
      <c r="K158" s="8" t="inlineStr">
        <is>
          <t>-</t>
        </is>
      </c>
      <c r="L158" s="52" t="inlineStr">
        <is>
          <t>12.00</t>
        </is>
      </c>
      <c r="M158" s="24" t="n"/>
      <c r="N158" s="53" t="inlineStr">
        <is>
          <t>OWN</t>
        </is>
      </c>
      <c r="O158" s="24" t="n"/>
      <c r="P158" s="62" t="inlineStr">
        <is>
          <t>MASTER RB
20% discount on Food and beverage (Include alcohol) for the consumption outside the agreement.</t>
        </is>
      </c>
      <c r="Q158" s="23" t="n"/>
      <c r="R158" s="23" t="n"/>
      <c r="S158" s="23" t="n"/>
      <c r="T158" s="23" t="n"/>
      <c r="U158" s="23" t="n"/>
      <c r="V158" s="24" t="n"/>
    </row>
    <row r="159" ht="114" customHeight="1">
      <c r="A159" s="95" t="inlineStr">
        <is>
          <t>Ms. Piyaporn Chinyin</t>
        </is>
      </c>
      <c r="B159" s="24" t="n"/>
      <c r="C159" s="7" t="inlineStr">
        <is>
          <t>-</t>
        </is>
      </c>
      <c r="D159" s="39" t="inlineStr">
        <is>
          <t>2209</t>
        </is>
      </c>
      <c r="E159" s="24" t="n"/>
      <c r="F159" s="39" t="inlineStr">
        <is>
          <t>-</t>
        </is>
      </c>
      <c r="G159" s="24" t="n"/>
      <c r="H159" s="8" t="inlineStr">
        <is>
          <t>2</t>
        </is>
      </c>
      <c r="I159" s="9" t="inlineStr">
        <is>
          <t>24/07/26</t>
        </is>
      </c>
      <c r="J159" s="9" t="inlineStr">
        <is>
          <t>25/07/26</t>
        </is>
      </c>
      <c r="K159" s="8" t="inlineStr">
        <is>
          <t>-</t>
        </is>
      </c>
      <c r="L159" s="52" t="inlineStr">
        <is>
          <t>12.00</t>
        </is>
      </c>
      <c r="M159" s="24" t="n"/>
      <c r="N159" s="53" t="inlineStr">
        <is>
          <t>OWN</t>
        </is>
      </c>
      <c r="O159" s="24" t="n"/>
      <c r="P159" s="62" t="inlineStr">
        <is>
          <t>MASTER RB
20% discount on Food and beverage (Include alcohol) for the consumption outside the agreement.</t>
        </is>
      </c>
      <c r="Q159" s="23" t="n"/>
      <c r="R159" s="23" t="n"/>
      <c r="S159" s="23" t="n"/>
      <c r="T159" s="23" t="n"/>
      <c r="U159" s="23" t="n"/>
      <c r="V159" s="24" t="n"/>
    </row>
    <row r="160" ht="114" customHeight="1">
      <c r="A160" s="95" t="inlineStr">
        <is>
          <t>Mr. Chatchai Chordokrak</t>
        </is>
      </c>
      <c r="B160" s="24" t="n"/>
      <c r="C160" s="7" t="inlineStr">
        <is>
          <t>-</t>
        </is>
      </c>
      <c r="D160" s="39" t="inlineStr">
        <is>
          <t>2211</t>
        </is>
      </c>
      <c r="E160" s="24" t="n"/>
      <c r="F160" s="39" t="inlineStr">
        <is>
          <t>-</t>
        </is>
      </c>
      <c r="G160" s="24" t="n"/>
      <c r="H160" s="8" t="inlineStr">
        <is>
          <t>2</t>
        </is>
      </c>
      <c r="I160" s="9" t="inlineStr">
        <is>
          <t>24/07/26</t>
        </is>
      </c>
      <c r="J160" s="9" t="inlineStr">
        <is>
          <t>25/07/26</t>
        </is>
      </c>
      <c r="K160" s="8" t="inlineStr">
        <is>
          <t>-</t>
        </is>
      </c>
      <c r="L160" s="52" t="inlineStr">
        <is>
          <t>12.00</t>
        </is>
      </c>
      <c r="M160" s="24" t="n"/>
      <c r="N160" s="53" t="inlineStr">
        <is>
          <t>OWN</t>
        </is>
      </c>
      <c r="O160" s="24" t="n"/>
      <c r="P160" s="62" t="inlineStr">
        <is>
          <t>MASTER RB
20% discount on Food and beverage (Include alcohol) for the consumption outside the agreement.</t>
        </is>
      </c>
      <c r="Q160" s="23" t="n"/>
      <c r="R160" s="23" t="n"/>
      <c r="S160" s="23" t="n"/>
      <c r="T160" s="23" t="n"/>
      <c r="U160" s="23" t="n"/>
      <c r="V160" s="24" t="n"/>
    </row>
    <row r="161" ht="114" customHeight="1">
      <c r="A161" s="95" t="inlineStr">
        <is>
          <t>Ms. Tarika Dangnak</t>
        </is>
      </c>
      <c r="B161" s="24" t="n"/>
      <c r="C161" s="7" t="inlineStr">
        <is>
          <t>-</t>
        </is>
      </c>
      <c r="D161" s="39" t="inlineStr">
        <is>
          <t>2213</t>
        </is>
      </c>
      <c r="E161" s="24" t="n"/>
      <c r="F161" s="39" t="inlineStr">
        <is>
          <t>-</t>
        </is>
      </c>
      <c r="G161" s="24" t="n"/>
      <c r="H161" s="8" t="inlineStr">
        <is>
          <t>2</t>
        </is>
      </c>
      <c r="I161" s="9" t="inlineStr">
        <is>
          <t>24/07/26</t>
        </is>
      </c>
      <c r="J161" s="9" t="inlineStr">
        <is>
          <t>25/07/26</t>
        </is>
      </c>
      <c r="K161" s="8" t="inlineStr">
        <is>
          <t>-</t>
        </is>
      </c>
      <c r="L161" s="52" t="inlineStr">
        <is>
          <t>12.00</t>
        </is>
      </c>
      <c r="M161" s="24" t="n"/>
      <c r="N161" s="53" t="inlineStr">
        <is>
          <t>OWN</t>
        </is>
      </c>
      <c r="O161" s="24" t="n"/>
      <c r="P161" s="62" t="inlineStr">
        <is>
          <t>MASTER RB
20% discount on Food and beverage (Include alcohol) for the consumption outside the agreement.</t>
        </is>
      </c>
      <c r="Q161" s="23" t="n"/>
      <c r="R161" s="23" t="n"/>
      <c r="S161" s="23" t="n"/>
      <c r="T161" s="23" t="n"/>
      <c r="U161" s="23" t="n"/>
      <c r="V161" s="24" t="n"/>
    </row>
    <row r="162" ht="114" customHeight="1">
      <c r="A162" s="95" t="inlineStr">
        <is>
          <t>Mrs. Dana Farhi Yariv Farhi</t>
        </is>
      </c>
      <c r="B162" s="24" t="n"/>
      <c r="C162" s="7" t="inlineStr">
        <is>
          <t>-</t>
        </is>
      </c>
      <c r="D162" s="39" t="inlineStr">
        <is>
          <t>2301</t>
        </is>
      </c>
      <c r="E162" s="24" t="n"/>
      <c r="F162" s="39" t="inlineStr">
        <is>
          <t>-</t>
        </is>
      </c>
      <c r="G162" s="24" t="n"/>
      <c r="H162" s="8" t="inlineStr">
        <is>
          <t>2+1</t>
        </is>
      </c>
      <c r="I162" s="9" t="inlineStr">
        <is>
          <t>22/07/26</t>
        </is>
      </c>
      <c r="J162" s="9" t="inlineStr">
        <is>
          <t>25/07/26</t>
        </is>
      </c>
      <c r="K162" s="8" t="inlineStr">
        <is>
          <t>-</t>
        </is>
      </c>
      <c r="L162" s="52" t="inlineStr">
        <is>
          <t>12.00</t>
        </is>
      </c>
      <c r="M162" s="24" t="n"/>
      <c r="N162" s="53" t="inlineStr">
        <is>
          <t>OWN</t>
        </is>
      </c>
      <c r="O162" s="24" t="n"/>
      <c r="P162" s="62" t="inlineStr">
        <is>
          <t>PAID RB2A2C 3,803.97 net per night on 22-23/07 and POA 3,803.97 net per night on 23-25/07</t>
        </is>
      </c>
      <c r="Q162" s="23" t="n"/>
      <c r="R162" s="23" t="n"/>
      <c r="S162" s="23" t="n"/>
      <c r="T162" s="23" t="n"/>
      <c r="U162" s="23" t="n"/>
      <c r="V162" s="24" t="n"/>
    </row>
    <row r="163" ht="114" customHeight="1">
      <c r="A163" s="95" t="inlineStr">
        <is>
          <t>Ms. Aisha Darapong</t>
        </is>
      </c>
      <c r="B163" s="24" t="n"/>
      <c r="C163" s="7" t="inlineStr">
        <is>
          <t>-</t>
        </is>
      </c>
      <c r="D163" s="39" t="inlineStr">
        <is>
          <t>2302</t>
        </is>
      </c>
      <c r="E163" s="24" t="n"/>
      <c r="F163" s="39" t="inlineStr">
        <is>
          <t>-</t>
        </is>
      </c>
      <c r="G163" s="24" t="n"/>
      <c r="H163" s="8" t="inlineStr">
        <is>
          <t>2</t>
        </is>
      </c>
      <c r="I163" s="9" t="inlineStr">
        <is>
          <t>24/07/26</t>
        </is>
      </c>
      <c r="J163" s="9" t="inlineStr">
        <is>
          <t>25/07/26</t>
        </is>
      </c>
      <c r="K163" s="8" t="inlineStr">
        <is>
          <t>-</t>
        </is>
      </c>
      <c r="L163" s="52" t="inlineStr">
        <is>
          <t>12.00</t>
        </is>
      </c>
      <c r="M163" s="24" t="n"/>
      <c r="N163" s="53" t="inlineStr">
        <is>
          <t>OWN</t>
        </is>
      </c>
      <c r="O163" s="24" t="n"/>
      <c r="P163" s="62" t="inlineStr">
        <is>
          <t>MASTER RB
20% discount on Food and beverage (Include alcohol) for the consumption outside the agreement.</t>
        </is>
      </c>
      <c r="Q163" s="23" t="n"/>
      <c r="R163" s="23" t="n"/>
      <c r="S163" s="23" t="n"/>
      <c r="T163" s="23" t="n"/>
      <c r="U163" s="23" t="n"/>
      <c r="V163" s="24" t="n"/>
    </row>
    <row r="164" ht="114" customHeight="1">
      <c r="A164" s="95" t="inlineStr">
        <is>
          <t>Ms. Sawika Detphichai</t>
        </is>
      </c>
      <c r="B164" s="24" t="n"/>
      <c r="C164" s="7" t="inlineStr">
        <is>
          <t>-</t>
        </is>
      </c>
      <c r="D164" s="39" t="inlineStr">
        <is>
          <t>2304</t>
        </is>
      </c>
      <c r="E164" s="24" t="n"/>
      <c r="F164" s="39" t="inlineStr">
        <is>
          <t>-</t>
        </is>
      </c>
      <c r="G164" s="24" t="n"/>
      <c r="H164" s="8" t="inlineStr">
        <is>
          <t>2</t>
        </is>
      </c>
      <c r="I164" s="9" t="inlineStr">
        <is>
          <t>24/07/26</t>
        </is>
      </c>
      <c r="J164" s="9" t="inlineStr">
        <is>
          <t>25/07/26</t>
        </is>
      </c>
      <c r="K164" s="8" t="inlineStr">
        <is>
          <t>-</t>
        </is>
      </c>
      <c r="L164" s="52" t="inlineStr">
        <is>
          <t>12.00</t>
        </is>
      </c>
      <c r="M164" s="24" t="n"/>
      <c r="N164" s="53" t="inlineStr">
        <is>
          <t>OWN</t>
        </is>
      </c>
      <c r="O164" s="24" t="n"/>
      <c r="P164" s="62" t="inlineStr">
        <is>
          <t>MASTER RB
20% discount on Food and beverage (Include alcohol) for the consumption outside the agreement.</t>
        </is>
      </c>
      <c r="Q164" s="23" t="n"/>
      <c r="R164" s="23" t="n"/>
      <c r="S164" s="23" t="n"/>
      <c r="T164" s="23" t="n"/>
      <c r="U164" s="23" t="n"/>
      <c r="V164" s="24" t="n"/>
    </row>
    <row r="165" ht="114" customHeight="1">
      <c r="A165" s="95" t="inlineStr">
        <is>
          <t>Ms. Araya Homhuon</t>
        </is>
      </c>
      <c r="B165" s="24" t="n"/>
      <c r="C165" s="7" t="inlineStr">
        <is>
          <t>-</t>
        </is>
      </c>
      <c r="D165" s="39" t="inlineStr">
        <is>
          <t>2307</t>
        </is>
      </c>
      <c r="E165" s="24" t="n"/>
      <c r="F165" s="39" t="inlineStr">
        <is>
          <t>-</t>
        </is>
      </c>
      <c r="G165" s="24" t="n"/>
      <c r="H165" s="8" t="inlineStr">
        <is>
          <t>2</t>
        </is>
      </c>
      <c r="I165" s="9" t="inlineStr">
        <is>
          <t>24/07/26</t>
        </is>
      </c>
      <c r="J165" s="9" t="inlineStr">
        <is>
          <t>25/07/26</t>
        </is>
      </c>
      <c r="K165" s="8" t="inlineStr">
        <is>
          <t>-</t>
        </is>
      </c>
      <c r="L165" s="52" t="inlineStr">
        <is>
          <t>12.00</t>
        </is>
      </c>
      <c r="M165" s="24" t="n"/>
      <c r="N165" s="53" t="inlineStr">
        <is>
          <t>OWN</t>
        </is>
      </c>
      <c r="O165" s="24" t="n"/>
      <c r="P165" s="62" t="inlineStr">
        <is>
          <t>MASTER RB
20% discount on Food and beverage (Include alcohol) for the consumption outside the agreement.</t>
        </is>
      </c>
      <c r="Q165" s="23" t="n"/>
      <c r="R165" s="23" t="n"/>
      <c r="S165" s="23" t="n"/>
      <c r="T165" s="23" t="n"/>
      <c r="U165" s="23" t="n"/>
      <c r="V165" s="24" t="n"/>
    </row>
    <row r="166" ht="114" customHeight="1">
      <c r="A166" s="95" t="inlineStr">
        <is>
          <t>Ms. Napitchaya Intaraksa</t>
        </is>
      </c>
      <c r="B166" s="24" t="n"/>
      <c r="C166" s="7" t="inlineStr">
        <is>
          <t>-</t>
        </is>
      </c>
      <c r="D166" s="39" t="inlineStr">
        <is>
          <t>2309</t>
        </is>
      </c>
      <c r="E166" s="24" t="n"/>
      <c r="F166" s="39" t="inlineStr">
        <is>
          <t>-</t>
        </is>
      </c>
      <c r="G166" s="24" t="n"/>
      <c r="H166" s="8" t="inlineStr">
        <is>
          <t>2</t>
        </is>
      </c>
      <c r="I166" s="9" t="inlineStr">
        <is>
          <t>24/07/26</t>
        </is>
      </c>
      <c r="J166" s="9" t="inlineStr">
        <is>
          <t>25/07/26</t>
        </is>
      </c>
      <c r="K166" s="8" t="inlineStr">
        <is>
          <t>-</t>
        </is>
      </c>
      <c r="L166" s="52" t="inlineStr">
        <is>
          <t>12.00</t>
        </is>
      </c>
      <c r="M166" s="24" t="n"/>
      <c r="N166" s="53" t="inlineStr">
        <is>
          <t>OWN</t>
        </is>
      </c>
      <c r="O166" s="24" t="n"/>
      <c r="P166" s="62" t="inlineStr">
        <is>
          <t>MASTER RB
20% discount on Food and beverage (Include alcohol) for the consumption outside the agreement.</t>
        </is>
      </c>
      <c r="Q166" s="23" t="n"/>
      <c r="R166" s="23" t="n"/>
      <c r="S166" s="23" t="n"/>
      <c r="T166" s="23" t="n"/>
      <c r="U166" s="23" t="n"/>
      <c r="V166" s="24" t="n"/>
    </row>
    <row r="167" ht="114" customHeight="1">
      <c r="A167" s="95" t="inlineStr">
        <is>
          <t>Ms. Chuleekan Jenchai</t>
        </is>
      </c>
      <c r="B167" s="24" t="n"/>
      <c r="C167" s="7" t="inlineStr">
        <is>
          <t>-</t>
        </is>
      </c>
      <c r="D167" s="39" t="inlineStr">
        <is>
          <t>2311</t>
        </is>
      </c>
      <c r="E167" s="24" t="n"/>
      <c r="F167" s="39" t="inlineStr">
        <is>
          <t>-</t>
        </is>
      </c>
      <c r="G167" s="24" t="n"/>
      <c r="H167" s="8" t="inlineStr">
        <is>
          <t>2</t>
        </is>
      </c>
      <c r="I167" s="9" t="inlineStr">
        <is>
          <t>24/07/26</t>
        </is>
      </c>
      <c r="J167" s="9" t="inlineStr">
        <is>
          <t>25/07/26</t>
        </is>
      </c>
      <c r="K167" s="8" t="inlineStr">
        <is>
          <t>-</t>
        </is>
      </c>
      <c r="L167" s="52" t="inlineStr">
        <is>
          <t>12.00</t>
        </is>
      </c>
      <c r="M167" s="24" t="n"/>
      <c r="N167" s="53" t="inlineStr">
        <is>
          <t>OWN</t>
        </is>
      </c>
      <c r="O167" s="24" t="n"/>
      <c r="P167" s="62" t="inlineStr">
        <is>
          <t>MASTER RB
20% discount on Food and beverage (Include alcohol) for the consumption outside the agreement.</t>
        </is>
      </c>
      <c r="Q167" s="23" t="n"/>
      <c r="R167" s="23" t="n"/>
      <c r="S167" s="23" t="n"/>
      <c r="T167" s="23" t="n"/>
      <c r="U167" s="23" t="n"/>
      <c r="V167" s="24" t="n"/>
    </row>
    <row r="168" ht="114" customHeight="1">
      <c r="A168" s="95" t="inlineStr">
        <is>
          <t>Ms. Witchayapat Jitniyom</t>
        </is>
      </c>
      <c r="B168" s="24" t="n"/>
      <c r="C168" s="7" t="inlineStr">
        <is>
          <t>-</t>
        </is>
      </c>
      <c r="D168" s="39" t="inlineStr">
        <is>
          <t>2313</t>
        </is>
      </c>
      <c r="E168" s="24" t="n"/>
      <c r="F168" s="39" t="inlineStr">
        <is>
          <t>-</t>
        </is>
      </c>
      <c r="G168" s="24" t="n"/>
      <c r="H168" s="8" t="inlineStr">
        <is>
          <t>2</t>
        </is>
      </c>
      <c r="I168" s="9" t="inlineStr">
        <is>
          <t>24/07/26</t>
        </is>
      </c>
      <c r="J168" s="9" t="inlineStr">
        <is>
          <t>25/07/26</t>
        </is>
      </c>
      <c r="K168" s="8" t="inlineStr">
        <is>
          <t>-</t>
        </is>
      </c>
      <c r="L168" s="52" t="inlineStr">
        <is>
          <t>12.00</t>
        </is>
      </c>
      <c r="M168" s="24" t="n"/>
      <c r="N168" s="53" t="inlineStr">
        <is>
          <t>OWN</t>
        </is>
      </c>
      <c r="O168" s="24" t="n"/>
      <c r="P168" s="62" t="inlineStr">
        <is>
          <t>MASTER RB
20% discount on Food and beverage (Include alcohol) for the consumption outside the agreement.</t>
        </is>
      </c>
      <c r="Q168" s="23" t="n"/>
      <c r="R168" s="23" t="n"/>
      <c r="S168" s="23" t="n"/>
      <c r="T168" s="23" t="n"/>
      <c r="U168" s="23" t="n"/>
      <c r="V168" s="24" t="n"/>
    </row>
    <row r="169" ht="114" customHeight="1">
      <c r="A169" s="95" t="inlineStr">
        <is>
          <t>Ms. Pilailuk Katkaew</t>
        </is>
      </c>
      <c r="B169" s="24" t="n"/>
      <c r="C169" s="7" t="inlineStr">
        <is>
          <t>-</t>
        </is>
      </c>
      <c r="D169" s="39" t="inlineStr">
        <is>
          <t>2402</t>
        </is>
      </c>
      <c r="E169" s="24" t="n"/>
      <c r="F169" s="39" t="inlineStr">
        <is>
          <t>-</t>
        </is>
      </c>
      <c r="G169" s="24" t="n"/>
      <c r="H169" s="8" t="inlineStr">
        <is>
          <t>2</t>
        </is>
      </c>
      <c r="I169" s="9" t="inlineStr">
        <is>
          <t>24/07/26</t>
        </is>
      </c>
      <c r="J169" s="9" t="inlineStr">
        <is>
          <t>25/07/26</t>
        </is>
      </c>
      <c r="K169" s="8" t="inlineStr">
        <is>
          <t>-</t>
        </is>
      </c>
      <c r="L169" s="52" t="inlineStr">
        <is>
          <t>12.00</t>
        </is>
      </c>
      <c r="M169" s="24" t="n"/>
      <c r="N169" s="53" t="inlineStr">
        <is>
          <t>OWN</t>
        </is>
      </c>
      <c r="O169" s="24" t="n"/>
      <c r="P169" s="62" t="inlineStr">
        <is>
          <t>MASTER RB
20% discount on Food and beverage (Include alcohol) for the consumption outside the agreement.</t>
        </is>
      </c>
      <c r="Q169" s="23" t="n"/>
      <c r="R169" s="23" t="n"/>
      <c r="S169" s="23" t="n"/>
      <c r="T169" s="23" t="n"/>
      <c r="U169" s="23" t="n"/>
      <c r="V169" s="24" t="n"/>
    </row>
    <row r="170" ht="114" customHeight="1">
      <c r="A170" s="95" t="inlineStr">
        <is>
          <t>Ms. Watcharin Khamsangwan</t>
        </is>
      </c>
      <c r="B170" s="24" t="n"/>
      <c r="C170" s="7" t="inlineStr">
        <is>
          <t>-</t>
        </is>
      </c>
      <c r="D170" s="39" t="inlineStr">
        <is>
          <t>2404</t>
        </is>
      </c>
      <c r="E170" s="24" t="n"/>
      <c r="F170" s="39" t="inlineStr">
        <is>
          <t>-</t>
        </is>
      </c>
      <c r="G170" s="24" t="n"/>
      <c r="H170" s="8" t="inlineStr">
        <is>
          <t>2</t>
        </is>
      </c>
      <c r="I170" s="9" t="inlineStr">
        <is>
          <t>24/07/26</t>
        </is>
      </c>
      <c r="J170" s="9" t="inlineStr">
        <is>
          <t>25/07/26</t>
        </is>
      </c>
      <c r="K170" s="8" t="inlineStr">
        <is>
          <t>-</t>
        </is>
      </c>
      <c r="L170" s="52" t="inlineStr">
        <is>
          <t>12.00</t>
        </is>
      </c>
      <c r="M170" s="24" t="n"/>
      <c r="N170" s="53" t="inlineStr">
        <is>
          <t>OWN</t>
        </is>
      </c>
      <c r="O170" s="24" t="n"/>
      <c r="P170" s="62" t="inlineStr">
        <is>
          <t>MASTER RB
20% discount on Food and beverage (Include alcohol) for the consumption outside the agreement.</t>
        </is>
      </c>
      <c r="Q170" s="23" t="n"/>
      <c r="R170" s="23" t="n"/>
      <c r="S170" s="23" t="n"/>
      <c r="T170" s="23" t="n"/>
      <c r="U170" s="23" t="n"/>
      <c r="V170" s="24" t="n"/>
    </row>
    <row r="171" ht="114" customHeight="1">
      <c r="A171" s="95" t="inlineStr">
        <is>
          <t>Ms. Ketkanok Kongrak</t>
        </is>
      </c>
      <c r="B171" s="24" t="n"/>
      <c r="C171" s="7" t="inlineStr">
        <is>
          <t>-</t>
        </is>
      </c>
      <c r="D171" s="39" t="inlineStr">
        <is>
          <t>2407</t>
        </is>
      </c>
      <c r="E171" s="24" t="n"/>
      <c r="F171" s="39" t="inlineStr">
        <is>
          <t>-</t>
        </is>
      </c>
      <c r="G171" s="24" t="n"/>
      <c r="H171" s="8" t="inlineStr">
        <is>
          <t>2</t>
        </is>
      </c>
      <c r="I171" s="9" t="inlineStr">
        <is>
          <t>24/07/26</t>
        </is>
      </c>
      <c r="J171" s="9" t="inlineStr">
        <is>
          <t>25/07/26</t>
        </is>
      </c>
      <c r="K171" s="8" t="inlineStr">
        <is>
          <t>-</t>
        </is>
      </c>
      <c r="L171" s="52" t="inlineStr">
        <is>
          <t>12.00</t>
        </is>
      </c>
      <c r="M171" s="24" t="n"/>
      <c r="N171" s="53" t="inlineStr">
        <is>
          <t>OWN</t>
        </is>
      </c>
      <c r="O171" s="24" t="n"/>
      <c r="P171" s="62" t="inlineStr">
        <is>
          <t>MASTER RB
20% discount on Food and beverage (Include alcohol) for the consumption outside the agreement.</t>
        </is>
      </c>
      <c r="Q171" s="23" t="n"/>
      <c r="R171" s="23" t="n"/>
      <c r="S171" s="23" t="n"/>
      <c r="T171" s="23" t="n"/>
      <c r="U171" s="23" t="n"/>
      <c r="V171" s="24" t="n"/>
    </row>
    <row r="172" ht="114" customHeight="1">
      <c r="A172" s="95" t="inlineStr">
        <is>
          <t>Ms. Mariia Korchevskaia</t>
        </is>
      </c>
      <c r="B172" s="24" t="n"/>
      <c r="C172" s="7" t="inlineStr">
        <is>
          <t>-</t>
        </is>
      </c>
      <c r="D172" s="39" t="inlineStr">
        <is>
          <t>2409</t>
        </is>
      </c>
      <c r="E172" s="24" t="n"/>
      <c r="F172" s="39" t="inlineStr">
        <is>
          <t>-</t>
        </is>
      </c>
      <c r="G172" s="24" t="n"/>
      <c r="H172" s="8" t="inlineStr">
        <is>
          <t>2</t>
        </is>
      </c>
      <c r="I172" s="9" t="inlineStr">
        <is>
          <t>24/07/26</t>
        </is>
      </c>
      <c r="J172" s="9" t="inlineStr">
        <is>
          <t>25/07/26</t>
        </is>
      </c>
      <c r="K172" s="8" t="inlineStr">
        <is>
          <t>-</t>
        </is>
      </c>
      <c r="L172" s="52" t="inlineStr">
        <is>
          <t>12.00</t>
        </is>
      </c>
      <c r="M172" s="24" t="n"/>
      <c r="N172" s="53" t="inlineStr">
        <is>
          <t>OWN</t>
        </is>
      </c>
      <c r="O172" s="24" t="n"/>
      <c r="P172" s="62" t="inlineStr">
        <is>
          <t>MASTER RB
20% discount on Food and beverage (Include alcohol) for the consumption outside the agreement.</t>
        </is>
      </c>
      <c r="Q172" s="23" t="n"/>
      <c r="R172" s="23" t="n"/>
      <c r="S172" s="23" t="n"/>
      <c r="T172" s="23" t="n"/>
      <c r="U172" s="23" t="n"/>
      <c r="V172" s="24" t="n"/>
    </row>
    <row r="173" ht="114" customHeight="1">
      <c r="A173" s="95" t="inlineStr">
        <is>
          <t>Mr. Sivaroot Kuapanich</t>
        </is>
      </c>
      <c r="B173" s="24" t="n"/>
      <c r="C173" s="7" t="inlineStr">
        <is>
          <t>-</t>
        </is>
      </c>
      <c r="D173" s="39" t="inlineStr">
        <is>
          <t>2411</t>
        </is>
      </c>
      <c r="E173" s="24" t="n"/>
      <c r="F173" s="39" t="inlineStr">
        <is>
          <t>VIPG
SILVER</t>
        </is>
      </c>
      <c r="G173" s="24" t="n"/>
      <c r="H173" s="8" t="inlineStr">
        <is>
          <t>2</t>
        </is>
      </c>
      <c r="I173" s="9" t="inlineStr">
        <is>
          <t>24/07/26</t>
        </is>
      </c>
      <c r="J173" s="9" t="inlineStr">
        <is>
          <t>25/07/26</t>
        </is>
      </c>
      <c r="K173" s="8" t="inlineStr">
        <is>
          <t>-</t>
        </is>
      </c>
      <c r="L173" s="52" t="inlineStr">
        <is>
          <t>12.00</t>
        </is>
      </c>
      <c r="M173" s="24" t="n"/>
      <c r="N173" s="53" t="inlineStr">
        <is>
          <t>OWN</t>
        </is>
      </c>
      <c r="O173" s="24" t="n"/>
      <c r="P173" s="62" t="inlineStr">
        <is>
          <t>MASTER RB  20% discount on Food and beverage (Include alcohol) for the consumption outside the agreement.</t>
        </is>
      </c>
      <c r="Q173" s="23" t="n"/>
      <c r="R173" s="23" t="n"/>
      <c r="S173" s="23" t="n"/>
      <c r="T173" s="23" t="n"/>
      <c r="U173" s="23" t="n"/>
      <c r="V173" s="24" t="n"/>
    </row>
    <row r="174" ht="114" customHeight="1">
      <c r="A174" s="95" t="inlineStr">
        <is>
          <t>Ms. Patthama Kwan-onin</t>
        </is>
      </c>
      <c r="B174" s="24" t="n"/>
      <c r="C174" s="7" t="inlineStr">
        <is>
          <t>-</t>
        </is>
      </c>
      <c r="D174" s="39" t="inlineStr">
        <is>
          <t>2413</t>
        </is>
      </c>
      <c r="E174" s="24" t="n"/>
      <c r="F174" s="39" t="inlineStr">
        <is>
          <t>-</t>
        </is>
      </c>
      <c r="G174" s="24" t="n"/>
      <c r="H174" s="8" t="inlineStr">
        <is>
          <t>2</t>
        </is>
      </c>
      <c r="I174" s="9" t="inlineStr">
        <is>
          <t>24/07/26</t>
        </is>
      </c>
      <c r="J174" s="9" t="inlineStr">
        <is>
          <t>25/07/26</t>
        </is>
      </c>
      <c r="K174" s="8" t="inlineStr">
        <is>
          <t>-</t>
        </is>
      </c>
      <c r="L174" s="52" t="inlineStr">
        <is>
          <t>12.00</t>
        </is>
      </c>
      <c r="M174" s="24" t="n"/>
      <c r="N174" s="53" t="inlineStr">
        <is>
          <t>OWN</t>
        </is>
      </c>
      <c r="O174" s="24" t="n"/>
      <c r="P174" s="62" t="inlineStr">
        <is>
          <t>MASTER RB
20% discount on Food and beverage (Include alcohol) for the consumption outside the agreement.</t>
        </is>
      </c>
      <c r="Q174" s="23" t="n"/>
      <c r="R174" s="23" t="n"/>
      <c r="S174" s="23" t="n"/>
      <c r="T174" s="23" t="n"/>
      <c r="U174" s="23" t="n"/>
      <c r="V174" s="24" t="n"/>
    </row>
    <row r="175" ht="114" customHeight="1">
      <c r="A175" s="95" t="inlineStr">
        <is>
          <t>Mr. Abdulloh Mani</t>
        </is>
      </c>
      <c r="B175" s="24" t="n"/>
      <c r="C175" s="7" t="inlineStr">
        <is>
          <t>-</t>
        </is>
      </c>
      <c r="D175" s="39" t="inlineStr">
        <is>
          <t>2502</t>
        </is>
      </c>
      <c r="E175" s="24" t="n"/>
      <c r="F175" s="39" t="inlineStr">
        <is>
          <t>-</t>
        </is>
      </c>
      <c r="G175" s="24" t="n"/>
      <c r="H175" s="8" t="inlineStr">
        <is>
          <t>2</t>
        </is>
      </c>
      <c r="I175" s="9" t="inlineStr">
        <is>
          <t>24/07/26</t>
        </is>
      </c>
      <c r="J175" s="9" t="inlineStr">
        <is>
          <t>25/07/26</t>
        </is>
      </c>
      <c r="K175" s="8" t="inlineStr">
        <is>
          <t>-</t>
        </is>
      </c>
      <c r="L175" s="52" t="inlineStr">
        <is>
          <t>12.00</t>
        </is>
      </c>
      <c r="M175" s="24" t="n"/>
      <c r="N175" s="53" t="inlineStr">
        <is>
          <t>OWN</t>
        </is>
      </c>
      <c r="O175" s="24" t="n"/>
      <c r="P175" s="62" t="inlineStr">
        <is>
          <t>MASTER RB
20% discount on Food and beverage (Include alcohol) for the consumption outside the agreement.</t>
        </is>
      </c>
      <c r="Q175" s="23" t="n"/>
      <c r="R175" s="23" t="n"/>
      <c r="S175" s="23" t="n"/>
      <c r="T175" s="23" t="n"/>
      <c r="U175" s="23" t="n"/>
      <c r="V175" s="24" t="n"/>
    </row>
    <row r="176" ht="114" customHeight="1">
      <c r="A176" s="95" t="inlineStr">
        <is>
          <t>Ms. Kittiya Munekaew</t>
        </is>
      </c>
      <c r="B176" s="24" t="n"/>
      <c r="C176" s="7" t="inlineStr">
        <is>
          <t>-</t>
        </is>
      </c>
      <c r="D176" s="39" t="inlineStr">
        <is>
          <t>2504</t>
        </is>
      </c>
      <c r="E176" s="24" t="n"/>
      <c r="F176" s="39" t="inlineStr">
        <is>
          <t>-</t>
        </is>
      </c>
      <c r="G176" s="24" t="n"/>
      <c r="H176" s="8" t="inlineStr">
        <is>
          <t>2</t>
        </is>
      </c>
      <c r="I176" s="9" t="inlineStr">
        <is>
          <t>24/07/26</t>
        </is>
      </c>
      <c r="J176" s="9" t="inlineStr">
        <is>
          <t>25/07/26</t>
        </is>
      </c>
      <c r="K176" s="8" t="inlineStr">
        <is>
          <t>-</t>
        </is>
      </c>
      <c r="L176" s="52" t="inlineStr">
        <is>
          <t>12.00</t>
        </is>
      </c>
      <c r="M176" s="24" t="n"/>
      <c r="N176" s="53" t="inlineStr">
        <is>
          <t>OWN</t>
        </is>
      </c>
      <c r="O176" s="24" t="n"/>
      <c r="P176" s="62" t="inlineStr">
        <is>
          <t>MASTER RB
20% discount on Food and beverage (Include alcohol) for the consumption outside the agreement.</t>
        </is>
      </c>
      <c r="Q176" s="23" t="n"/>
      <c r="R176" s="23" t="n"/>
      <c r="S176" s="23" t="n"/>
      <c r="T176" s="23" t="n"/>
      <c r="U176" s="23" t="n"/>
      <c r="V176" s="24" t="n"/>
    </row>
    <row r="177" ht="114" customHeight="1">
      <c r="A177" s="95" t="inlineStr">
        <is>
          <t>Ms. Kesinee Mungkit</t>
        </is>
      </c>
      <c r="B177" s="24" t="n"/>
      <c r="C177" s="7" t="inlineStr">
        <is>
          <t>-</t>
        </is>
      </c>
      <c r="D177" s="39" t="inlineStr">
        <is>
          <t>2507</t>
        </is>
      </c>
      <c r="E177" s="24" t="n"/>
      <c r="F177" s="39" t="inlineStr">
        <is>
          <t>-</t>
        </is>
      </c>
      <c r="G177" s="24" t="n"/>
      <c r="H177" s="8" t="inlineStr">
        <is>
          <t>2</t>
        </is>
      </c>
      <c r="I177" s="9" t="inlineStr">
        <is>
          <t>24/07/26</t>
        </is>
      </c>
      <c r="J177" s="9" t="inlineStr">
        <is>
          <t>25/07/26</t>
        </is>
      </c>
      <c r="K177" s="8" t="inlineStr">
        <is>
          <t>-</t>
        </is>
      </c>
      <c r="L177" s="52" t="inlineStr">
        <is>
          <t>12.00</t>
        </is>
      </c>
      <c r="M177" s="24" t="n"/>
      <c r="N177" s="53" t="inlineStr">
        <is>
          <t>OWN</t>
        </is>
      </c>
      <c r="O177" s="24" t="n"/>
      <c r="P177" s="62" t="inlineStr">
        <is>
          <t>MASTER RB
20% discount on Food and beverage (Include alcohol) for the consumption outside the agreement.</t>
        </is>
      </c>
      <c r="Q177" s="23" t="n"/>
      <c r="R177" s="23" t="n"/>
      <c r="S177" s="23" t="n"/>
      <c r="T177" s="23" t="n"/>
      <c r="U177" s="23" t="n"/>
      <c r="V177" s="24" t="n"/>
    </row>
    <row r="178" ht="114" customHeight="1">
      <c r="A178" s="95" t="inlineStr">
        <is>
          <t>Mr. Nukool Munwang</t>
        </is>
      </c>
      <c r="B178" s="24" t="n"/>
      <c r="C178" s="7" t="inlineStr">
        <is>
          <t>-</t>
        </is>
      </c>
      <c r="D178" s="39" t="inlineStr">
        <is>
          <t>2509</t>
        </is>
      </c>
      <c r="E178" s="24" t="n"/>
      <c r="F178" s="39" t="inlineStr">
        <is>
          <t>-</t>
        </is>
      </c>
      <c r="G178" s="24" t="n"/>
      <c r="H178" s="8" t="inlineStr">
        <is>
          <t>2</t>
        </is>
      </c>
      <c r="I178" s="9" t="inlineStr">
        <is>
          <t>24/07/26</t>
        </is>
      </c>
      <c r="J178" s="9" t="inlineStr">
        <is>
          <t>25/07/26</t>
        </is>
      </c>
      <c r="K178" s="8" t="inlineStr">
        <is>
          <t>-</t>
        </is>
      </c>
      <c r="L178" s="52" t="inlineStr">
        <is>
          <t>12.00</t>
        </is>
      </c>
      <c r="M178" s="24" t="n"/>
      <c r="N178" s="53" t="inlineStr">
        <is>
          <t>OWN</t>
        </is>
      </c>
      <c r="O178" s="24" t="n"/>
      <c r="P178" s="62" t="inlineStr">
        <is>
          <t>MASTER RB
20% discount on Food and beverage (Include alcohol) for the consumption outside the agreement.</t>
        </is>
      </c>
      <c r="Q178" s="23" t="n"/>
      <c r="R178" s="23" t="n"/>
      <c r="S178" s="23" t="n"/>
      <c r="T178" s="23" t="n"/>
      <c r="U178" s="23" t="n"/>
      <c r="V178" s="24" t="n"/>
    </row>
    <row r="179" ht="114" customHeight="1">
      <c r="A179" s="95" t="inlineStr">
        <is>
          <t>Mr. Amnuay Navachotechaiyakul</t>
        </is>
      </c>
      <c r="B179" s="24" t="n"/>
      <c r="C179" s="7" t="inlineStr">
        <is>
          <t>-</t>
        </is>
      </c>
      <c r="D179" s="39" t="inlineStr">
        <is>
          <t>2511</t>
        </is>
      </c>
      <c r="E179" s="24" t="n"/>
      <c r="F179" s="39" t="inlineStr">
        <is>
          <t>-</t>
        </is>
      </c>
      <c r="G179" s="24" t="n"/>
      <c r="H179" s="8" t="inlineStr">
        <is>
          <t>2</t>
        </is>
      </c>
      <c r="I179" s="9" t="inlineStr">
        <is>
          <t>24/07/26</t>
        </is>
      </c>
      <c r="J179" s="9" t="inlineStr">
        <is>
          <t>25/07/26</t>
        </is>
      </c>
      <c r="K179" s="8" t="inlineStr">
        <is>
          <t>-</t>
        </is>
      </c>
      <c r="L179" s="52" t="inlineStr">
        <is>
          <t>12.00</t>
        </is>
      </c>
      <c r="M179" s="24" t="n"/>
      <c r="N179" s="53" t="inlineStr">
        <is>
          <t>OWN</t>
        </is>
      </c>
      <c r="O179" s="24" t="n"/>
      <c r="P179" s="62" t="inlineStr">
        <is>
          <t>MASTER RB
20% discount on Food and beverage (Include alcohol) for the consumption outside the agreement.</t>
        </is>
      </c>
      <c r="Q179" s="23" t="n"/>
      <c r="R179" s="23" t="n"/>
      <c r="S179" s="23" t="n"/>
      <c r="T179" s="23" t="n"/>
      <c r="U179" s="23" t="n"/>
      <c r="V179" s="24" t="n"/>
    </row>
    <row r="180" ht="114" customHeight="1">
      <c r="A180" s="95" t="inlineStr">
        <is>
          <t>Mr. Watcharapong Petchluan</t>
        </is>
      </c>
      <c r="B180" s="24" t="n"/>
      <c r="C180" s="7" t="inlineStr">
        <is>
          <t>-</t>
        </is>
      </c>
      <c r="D180" s="39" t="inlineStr">
        <is>
          <t>2513</t>
        </is>
      </c>
      <c r="E180" s="24" t="n"/>
      <c r="F180" s="39" t="inlineStr">
        <is>
          <t>-</t>
        </is>
      </c>
      <c r="G180" s="24" t="n"/>
      <c r="H180" s="8" t="inlineStr">
        <is>
          <t>2</t>
        </is>
      </c>
      <c r="I180" s="9" t="inlineStr">
        <is>
          <t>24/07/26</t>
        </is>
      </c>
      <c r="J180" s="9" t="inlineStr">
        <is>
          <t>25/07/26</t>
        </is>
      </c>
      <c r="K180" s="8" t="inlineStr">
        <is>
          <t>-</t>
        </is>
      </c>
      <c r="L180" s="52" t="inlineStr">
        <is>
          <t>12.00</t>
        </is>
      </c>
      <c r="M180" s="24" t="n"/>
      <c r="N180" s="53" t="inlineStr">
        <is>
          <t>OWN</t>
        </is>
      </c>
      <c r="O180" s="24" t="n"/>
      <c r="P180" s="62" t="inlineStr">
        <is>
          <t>MASTER RB
20% discount on Food and beverage (Include alcohol) for the consumption outside the agreement.</t>
        </is>
      </c>
      <c r="Q180" s="23" t="n"/>
      <c r="R180" s="23" t="n"/>
      <c r="S180" s="23" t="n"/>
      <c r="T180" s="23" t="n"/>
      <c r="U180" s="23" t="n"/>
      <c r="V180" s="24" t="n"/>
    </row>
    <row r="181" ht="114" customHeight="1">
      <c r="A181" s="95" t="inlineStr">
        <is>
          <t>Mr. Shlomo Ben Yair</t>
        </is>
      </c>
      <c r="B181" s="24" t="n"/>
      <c r="C181" s="7" t="inlineStr">
        <is>
          <t>-</t>
        </is>
      </c>
      <c r="D181" s="39" t="inlineStr">
        <is>
          <t>2603
Booking.com</t>
        </is>
      </c>
      <c r="E181" s="24" t="n"/>
      <c r="F181" s="39" t="inlineStr">
        <is>
          <t>-</t>
        </is>
      </c>
      <c r="G181" s="24" t="n"/>
      <c r="H181" s="8" t="inlineStr">
        <is>
          <t>2</t>
        </is>
      </c>
      <c r="I181" s="9" t="inlineStr">
        <is>
          <t>23/07/26</t>
        </is>
      </c>
      <c r="J181" s="9" t="inlineStr">
        <is>
          <t>25/07/26</t>
        </is>
      </c>
      <c r="K181" s="8" t="inlineStr">
        <is>
          <t>-</t>
        </is>
      </c>
      <c r="L181" s="52" t="inlineStr">
        <is>
          <t>12.00</t>
        </is>
      </c>
      <c r="M181" s="24" t="n"/>
      <c r="N181" s="53" t="inlineStr">
        <is>
          <t>OWN</t>
        </is>
      </c>
      <c r="O181" s="24" t="n"/>
      <c r="P181" s="62" t="inlineStr">
        <is>
          <t>COA (see trace) RB/2A THB 2,946.50+++ per night
-18% comm kickback THB 1,248.49 net</t>
        </is>
      </c>
      <c r="Q181" s="23" t="n"/>
      <c r="R181" s="23" t="n"/>
      <c r="S181" s="23" t="n"/>
      <c r="T181" s="23" t="n"/>
      <c r="U181" s="23" t="n"/>
      <c r="V181" s="24" t="n"/>
    </row>
    <row r="182" ht="114" customHeight="1">
      <c r="A182" s="95" t="inlineStr">
        <is>
          <t>Mr. Yap Chee Meng</t>
        </is>
      </c>
      <c r="B182" s="24" t="n"/>
      <c r="C182" s="7" t="inlineStr">
        <is>
          <t>-</t>
        </is>
      </c>
      <c r="D182" s="39" t="inlineStr">
        <is>
          <t>2606
Booking.com</t>
        </is>
      </c>
      <c r="E182" s="24" t="n"/>
      <c r="F182" s="39" t="inlineStr">
        <is>
          <t>VIPG
SILVER</t>
        </is>
      </c>
      <c r="G182" s="24" t="n"/>
      <c r="H182" s="8" t="inlineStr">
        <is>
          <t>2</t>
        </is>
      </c>
      <c r="I182" s="9" t="inlineStr">
        <is>
          <t>23/07/26</t>
        </is>
      </c>
      <c r="J182" s="9" t="inlineStr">
        <is>
          <t>25/07/26</t>
        </is>
      </c>
      <c r="K182" s="8" t="inlineStr">
        <is>
          <t>-</t>
        </is>
      </c>
      <c r="L182" s="52" t="inlineStr">
        <is>
          <t>12.00</t>
        </is>
      </c>
      <c r="M182" s="24" t="n"/>
      <c r="N182" s="53" t="inlineStr">
        <is>
          <t>OWN</t>
        </is>
      </c>
      <c r="O182" s="24" t="n"/>
      <c r="P182" s="62" t="inlineStr">
        <is>
          <t>COA(see trace) RB/2A THB 2,946.46+++ per night
- 18% comm kickback at 1248.49 THB
Consecutive booking (pls assign same room)
-1st booking on 23-25 Jul 26 with #850808367
-2nd booking on 25-27 Jul 26 with #100850960217</t>
        </is>
      </c>
      <c r="Q182" s="23" t="n"/>
      <c r="R182" s="23" t="n"/>
      <c r="S182" s="23" t="n"/>
      <c r="T182" s="23" t="n"/>
      <c r="U182" s="23" t="n"/>
      <c r="V182" s="24" t="n"/>
    </row>
    <row r="183" ht="114" customHeight="1">
      <c r="A183" s="95" t="inlineStr">
        <is>
          <t>Ms. Kanda Phukathin</t>
        </is>
      </c>
      <c r="B183" s="24" t="n"/>
      <c r="C183" s="7" t="inlineStr">
        <is>
          <t>-</t>
        </is>
      </c>
      <c r="D183" s="39" t="inlineStr">
        <is>
          <t>2608</t>
        </is>
      </c>
      <c r="E183" s="24" t="n"/>
      <c r="F183" s="39" t="inlineStr">
        <is>
          <t>-</t>
        </is>
      </c>
      <c r="G183" s="24" t="n"/>
      <c r="H183" s="8" t="inlineStr">
        <is>
          <t>2</t>
        </is>
      </c>
      <c r="I183" s="9" t="inlineStr">
        <is>
          <t>24/07/26</t>
        </is>
      </c>
      <c r="J183" s="9" t="inlineStr">
        <is>
          <t>25/07/26</t>
        </is>
      </c>
      <c r="K183" s="8" t="inlineStr">
        <is>
          <t>-</t>
        </is>
      </c>
      <c r="L183" s="52" t="inlineStr">
        <is>
          <t>12.00</t>
        </is>
      </c>
      <c r="M183" s="24" t="n"/>
      <c r="N183" s="53" t="inlineStr">
        <is>
          <t>OWN</t>
        </is>
      </c>
      <c r="O183" s="24" t="n"/>
      <c r="P183" s="62" t="inlineStr">
        <is>
          <t>MASTER RB
20% discount on Food and beverage (Include alcohol) for the consumption outside the agreement.</t>
        </is>
      </c>
      <c r="Q183" s="23" t="n"/>
      <c r="R183" s="23" t="n"/>
      <c r="S183" s="23" t="n"/>
      <c r="T183" s="23" t="n"/>
      <c r="U183" s="23" t="n"/>
      <c r="V183" s="24" t="n"/>
    </row>
    <row r="184" ht="114" customHeight="1">
      <c r="A184" s="95" t="inlineStr">
        <is>
          <t>Ms. Supattra Pienpanich</t>
        </is>
      </c>
      <c r="B184" s="24" t="n"/>
      <c r="C184" s="7" t="inlineStr">
        <is>
          <t>-</t>
        </is>
      </c>
      <c r="D184" s="39" t="inlineStr">
        <is>
          <t>2610</t>
        </is>
      </c>
      <c r="E184" s="24" t="n"/>
      <c r="F184" s="39" t="inlineStr">
        <is>
          <t>-</t>
        </is>
      </c>
      <c r="G184" s="24" t="n"/>
      <c r="H184" s="8" t="inlineStr">
        <is>
          <t>2</t>
        </is>
      </c>
      <c r="I184" s="9" t="inlineStr">
        <is>
          <t>24/07/26</t>
        </is>
      </c>
      <c r="J184" s="9" t="inlineStr">
        <is>
          <t>25/07/26</t>
        </is>
      </c>
      <c r="K184" s="8" t="inlineStr">
        <is>
          <t>-</t>
        </is>
      </c>
      <c r="L184" s="52" t="inlineStr">
        <is>
          <t>12.00</t>
        </is>
      </c>
      <c r="M184" s="24" t="n"/>
      <c r="N184" s="53" t="inlineStr">
        <is>
          <t>OWN</t>
        </is>
      </c>
      <c r="O184" s="24" t="n"/>
      <c r="P184" s="62" t="inlineStr">
        <is>
          <t>MASTER RB
20% discount on Food and beverage (Include alcohol) for the consumption outside the agreement.</t>
        </is>
      </c>
      <c r="Q184" s="23" t="n"/>
      <c r="R184" s="23" t="n"/>
      <c r="S184" s="23" t="n"/>
      <c r="T184" s="23" t="n"/>
      <c r="U184" s="23" t="n"/>
      <c r="V184" s="24" t="n"/>
    </row>
    <row r="185" ht="114" customHeight="1">
      <c r="A185" s="95" t="inlineStr">
        <is>
          <t>Ms. Theenita Prachuabsuk</t>
        </is>
      </c>
      <c r="B185" s="24" t="n"/>
      <c r="C185" s="7" t="inlineStr">
        <is>
          <t>-</t>
        </is>
      </c>
      <c r="D185" s="39" t="inlineStr">
        <is>
          <t>2612</t>
        </is>
      </c>
      <c r="E185" s="24" t="n"/>
      <c r="F185" s="39" t="inlineStr">
        <is>
          <t>-</t>
        </is>
      </c>
      <c r="G185" s="24" t="n"/>
      <c r="H185" s="8" t="inlineStr">
        <is>
          <t>2</t>
        </is>
      </c>
      <c r="I185" s="9" t="inlineStr">
        <is>
          <t>24/07/26</t>
        </is>
      </c>
      <c r="J185" s="9" t="inlineStr">
        <is>
          <t>25/07/26</t>
        </is>
      </c>
      <c r="K185" s="8" t="inlineStr">
        <is>
          <t>-</t>
        </is>
      </c>
      <c r="L185" s="52" t="inlineStr">
        <is>
          <t>12.00</t>
        </is>
      </c>
      <c r="M185" s="24" t="n"/>
      <c r="N185" s="53" t="inlineStr">
        <is>
          <t>OWN</t>
        </is>
      </c>
      <c r="O185" s="24" t="n"/>
      <c r="P185" s="62" t="inlineStr">
        <is>
          <t>MASTER RB
20% discount on Food and beverage (Include alcohol) for the consumption outside the agreement.</t>
        </is>
      </c>
      <c r="Q185" s="23" t="n"/>
      <c r="R185" s="23" t="n"/>
      <c r="S185" s="23" t="n"/>
      <c r="T185" s="23" t="n"/>
      <c r="U185" s="23" t="n"/>
      <c r="V185" s="24" t="n"/>
    </row>
    <row r="186" ht="114" customHeight="1">
      <c r="A186" s="95" t="inlineStr">
        <is>
          <t>Mrs. Alicera Vaewsorn</t>
        </is>
      </c>
      <c r="B186" s="24" t="n"/>
      <c r="C186" s="7" t="inlineStr">
        <is>
          <t>-</t>
        </is>
      </c>
      <c r="D186" s="39" t="inlineStr">
        <is>
          <t>3104</t>
        </is>
      </c>
      <c r="E186" s="24" t="n"/>
      <c r="F186" s="39" t="inlineStr">
        <is>
          <t>VIPG
SILVER</t>
        </is>
      </c>
      <c r="G186" s="24" t="n"/>
      <c r="H186" s="8" t="inlineStr">
        <is>
          <t>2</t>
        </is>
      </c>
      <c r="I186" s="9" t="inlineStr">
        <is>
          <t>20/07/26</t>
        </is>
      </c>
      <c r="J186" s="9" t="inlineStr">
        <is>
          <t>25/07/26</t>
        </is>
      </c>
      <c r="K186" s="8" t="inlineStr">
        <is>
          <t>-</t>
        </is>
      </c>
      <c r="L186" s="52" t="inlineStr">
        <is>
          <t>12.00</t>
        </is>
      </c>
      <c r="M186" s="24" t="n"/>
      <c r="N186" s="53" t="inlineStr">
        <is>
          <t>OWN</t>
        </is>
      </c>
      <c r="O186" s="24" t="n"/>
      <c r="P186" s="62" t="inlineStr">
        <is>
          <t>PAID(PG) RB/2A THB 4,057.20+++ per night
- Party 5 rms.
ABOUT YOUR BOOK DIRECT BENEFITS **Cost deduct to transaction #81108** 
• Receive THB 1,000 resort credit per stay* 
• Complimentary sunset cocktail for 2 person per room per stay (*Cost breakdown at THB 65 net per glass) 
• 20% savings on spa treatment at AvaniSpa</t>
        </is>
      </c>
      <c r="Q186" s="23" t="n"/>
      <c r="R186" s="23" t="n"/>
      <c r="S186" s="23" t="n"/>
      <c r="T186" s="23" t="n"/>
      <c r="U186" s="23" t="n"/>
      <c r="V186" s="24" t="n"/>
    </row>
    <row r="187" ht="114" customHeight="1">
      <c r="A187" s="95" t="inlineStr">
        <is>
          <t>Mr. Akkachai Sittibush</t>
        </is>
      </c>
      <c r="B187" s="24" t="n"/>
      <c r="C187" s="7" t="inlineStr">
        <is>
          <t>-</t>
        </is>
      </c>
      <c r="D187" s="39" t="inlineStr">
        <is>
          <t>3105</t>
        </is>
      </c>
      <c r="E187" s="24" t="n"/>
      <c r="F187" s="39" t="inlineStr">
        <is>
          <t>-</t>
        </is>
      </c>
      <c r="G187" s="24" t="n"/>
      <c r="H187" s="8" t="inlineStr">
        <is>
          <t>3</t>
        </is>
      </c>
      <c r="I187" s="9" t="inlineStr">
        <is>
          <t>24/07/26</t>
        </is>
      </c>
      <c r="J187" s="9" t="inlineStr">
        <is>
          <t>25/07/26</t>
        </is>
      </c>
      <c r="K187" s="8" t="inlineStr">
        <is>
          <t>-</t>
        </is>
      </c>
      <c r="L187" s="52" t="inlineStr">
        <is>
          <t>14.00</t>
        </is>
      </c>
      <c r="M187" s="24" t="n"/>
      <c r="N187" s="53" t="inlineStr">
        <is>
          <t>OWN</t>
        </is>
      </c>
      <c r="O187" s="24" t="n"/>
      <c r="P187" s="62" t="inlineStr">
        <is>
          <t>PAID RB/3A THB 6,032.01+++ per night (total 7,160 THB) **PAID 1CBF THB 375 net per night***</t>
        </is>
      </c>
      <c r="Q187" s="23" t="n"/>
      <c r="R187" s="23" t="n"/>
      <c r="S187" s="23" t="n"/>
      <c r="T187" s="23" t="n"/>
      <c r="U187" s="23" t="n"/>
      <c r="V187" s="24" t="n"/>
    </row>
    <row r="188" ht="114" customHeight="1">
      <c r="A188" s="95" t="inlineStr">
        <is>
          <t>Mrs. Hagar Shlomo</t>
        </is>
      </c>
      <c r="B188" s="24" t="n"/>
      <c r="C188" s="7" t="inlineStr">
        <is>
          <t>-</t>
        </is>
      </c>
      <c r="D188" s="39" t="inlineStr">
        <is>
          <t>3108
Siam Tours</t>
        </is>
      </c>
      <c r="E188" s="24" t="n"/>
      <c r="F188" s="39" t="inlineStr">
        <is>
          <t>-</t>
        </is>
      </c>
      <c r="G188" s="24" t="n"/>
      <c r="H188" s="8" t="inlineStr">
        <is>
          <t>2</t>
        </is>
      </c>
      <c r="I188" s="9" t="inlineStr">
        <is>
          <t>22/07/26</t>
        </is>
      </c>
      <c r="J188" s="9" t="inlineStr">
        <is>
          <t>25/07/26</t>
        </is>
      </c>
      <c r="K188" s="8" t="inlineStr">
        <is>
          <t>-</t>
        </is>
      </c>
      <c r="L188" s="52" t="inlineStr">
        <is>
          <t>12.00</t>
        </is>
      </c>
      <c r="M188" s="24" t="n"/>
      <c r="N188" s="53" t="inlineStr">
        <is>
          <t>OWN</t>
        </is>
      </c>
      <c r="O188" s="24" t="n"/>
      <c r="P188" s="62" t="inlineStr">
        <is>
          <t>PAID RB/2A THB 3,900 net per night
- party 2 rooms
- RQ 1 king + 1 twin
- RQ side by side</t>
        </is>
      </c>
      <c r="Q188" s="23" t="n"/>
      <c r="R188" s="23" t="n"/>
      <c r="S188" s="23" t="n"/>
      <c r="T188" s="23" t="n"/>
      <c r="U188" s="23" t="n"/>
      <c r="V188" s="24" t="n"/>
    </row>
    <row r="189" ht="114" customHeight="1">
      <c r="A189" s="95" t="inlineStr">
        <is>
          <t>Mrs. Hagar Shlomo</t>
        </is>
      </c>
      <c r="B189" s="24" t="n"/>
      <c r="C189" s="7" t="inlineStr">
        <is>
          <t>-</t>
        </is>
      </c>
      <c r="D189" s="39" t="inlineStr">
        <is>
          <t>3109
Siam Tours</t>
        </is>
      </c>
      <c r="E189" s="24" t="n"/>
      <c r="F189" s="39" t="inlineStr">
        <is>
          <t>-</t>
        </is>
      </c>
      <c r="G189" s="24" t="n"/>
      <c r="H189" s="8" t="inlineStr">
        <is>
          <t>3</t>
        </is>
      </c>
      <c r="I189" s="9" t="inlineStr">
        <is>
          <t>22/07/26</t>
        </is>
      </c>
      <c r="J189" s="9" t="inlineStr">
        <is>
          <t>25/07/26</t>
        </is>
      </c>
      <c r="K189" s="8" t="inlineStr">
        <is>
          <t>-</t>
        </is>
      </c>
      <c r="L189" s="52" t="inlineStr">
        <is>
          <t>12.00</t>
        </is>
      </c>
      <c r="M189" s="24" t="n"/>
      <c r="N189" s="53" t="inlineStr">
        <is>
          <t>OWN</t>
        </is>
      </c>
      <c r="O189" s="24" t="n"/>
      <c r="P189" s="62" t="inlineStr">
        <is>
          <t>PAID RB/3A THB 5,400 net per night
- party 2 rooms
- RQ 1 king + 1 twin
- RQ side by side</t>
        </is>
      </c>
      <c r="Q189" s="23" t="n"/>
      <c r="R189" s="23" t="n"/>
      <c r="S189" s="23" t="n"/>
      <c r="T189" s="23" t="n"/>
      <c r="U189" s="23" t="n"/>
      <c r="V189" s="24" t="n"/>
    </row>
    <row r="190" ht="114" customHeight="1">
      <c r="A190" s="95" t="inlineStr">
        <is>
          <t>Mr. Vadim Shadrikov</t>
        </is>
      </c>
      <c r="B190" s="24" t="n"/>
      <c r="C190" s="7" t="inlineStr">
        <is>
          <t>-</t>
        </is>
      </c>
      <c r="D190" s="39" t="inlineStr">
        <is>
          <t>3111
BG Asia</t>
        </is>
      </c>
      <c r="E190" s="24" t="n"/>
      <c r="F190" s="39" t="inlineStr">
        <is>
          <t>VIPS
SILVER</t>
        </is>
      </c>
      <c r="G190" s="24" t="n"/>
      <c r="H190" s="8" t="inlineStr">
        <is>
          <t>2+1</t>
        </is>
      </c>
      <c r="I190" s="9" t="inlineStr">
        <is>
          <t>16/07/26</t>
        </is>
      </c>
      <c r="J190" s="9" t="inlineStr">
        <is>
          <t>25/07/26</t>
        </is>
      </c>
      <c r="K190" s="8" t="inlineStr">
        <is>
          <t>-</t>
        </is>
      </c>
      <c r="L190" s="52" t="inlineStr">
        <is>
          <t>12.00</t>
        </is>
      </c>
      <c r="M190" s="24" t="n"/>
      <c r="N190" s="53" t="inlineStr">
        <is>
          <t>OWN</t>
        </is>
      </c>
      <c r="O190" s="24" t="n"/>
      <c r="P190" s="62" t="inlineStr">
        <is>
          <t>PAID (Bank TRSF) RB/2A THB 3,900 net per night + BF CHD THB 375 net per night per CHD + All-Inclusive for 2 adult THB 2,600 net per per day per person + All-Inclusive for 1 CHD THB 1300 net per day per CHD
POA APT TRSF THB 3,400 net per way by Toyota Ventury 
-1CHD 9 yrs.</t>
        </is>
      </c>
      <c r="Q190" s="23" t="n"/>
      <c r="R190" s="23" t="n"/>
      <c r="S190" s="23" t="n"/>
      <c r="T190" s="23" t="n"/>
      <c r="U190" s="23" t="n"/>
      <c r="V190" s="24" t="n"/>
    </row>
    <row r="191" ht="114" customHeight="1">
      <c r="A191" s="95" t="inlineStr">
        <is>
          <t>Mr. Wei Ren Yao</t>
        </is>
      </c>
      <c r="B191" s="24" t="n"/>
      <c r="C191" s="7" t="inlineStr">
        <is>
          <t>-</t>
        </is>
      </c>
      <c r="D191" s="39" t="inlineStr">
        <is>
          <t>3112</t>
        </is>
      </c>
      <c r="E191" s="24" t="n"/>
      <c r="F191" s="39" t="inlineStr">
        <is>
          <t>VIP2
TITANIUM</t>
        </is>
      </c>
      <c r="G191" s="24" t="n"/>
      <c r="H191" s="8" t="inlineStr">
        <is>
          <t>2</t>
        </is>
      </c>
      <c r="I191" s="9" t="inlineStr">
        <is>
          <t>18/07/26</t>
        </is>
      </c>
      <c r="J191" s="9" t="inlineStr">
        <is>
          <t>25/07/26</t>
        </is>
      </c>
      <c r="K191" s="8" t="inlineStr">
        <is>
          <t>-</t>
        </is>
      </c>
      <c r="L191" s="52" t="inlineStr">
        <is>
          <t>12.00</t>
        </is>
      </c>
      <c r="M191" s="24" t="n"/>
      <c r="N191" s="53" t="inlineStr">
        <is>
          <t>OWN</t>
        </is>
      </c>
      <c r="O191" s="24" t="n"/>
      <c r="P191" s="62" t="inlineStr">
        <is>
          <t>PAID (PG) RB/2A THB 4,050+++ (18-23/07) + THB 4,118+++ (24/07) per night  
POA Toyota Camry THB 3,100 net per car per way **COL payment upon arrival**
POA 2 quantity of Full Board Bites &amp; Sips – Indulgence at THB 4,676++ (Total THB 5,500 net) **COL payment upon arrival**
POA 2 quantity of Spend to Save Buy 10,000 THB Get 12,500THB at THB 16,992.36++ (Total THB 20,000 net) **COL payment upon arrival**
POA 2 quantity of Spend to Save Buy 15,000 THB Get 19,500THB at THB 25,488.54++ (Total THB 30,000 net) **COL payment upon arrival**
- Pty 2 room (not duplicate)  
- Request the following arrangements for my room:    
• A quiet room located in the first building, away from the elevator area    
• One king-size bed (one large bed)    
• Please note that I would prefer a standard room — not an accessible / disability-accommodated room    
ABOUT YOUR BOOK DIRECT BENEFITS: Stay of 5 nights and more 
- Applicable Room Categories: Deluxe Pool Access ** FO pls deduct cost to transaction #81108   
• Receive THB 1,000 resort credit per stay*  
• Complimentary sunset cocktail for 2 persons per room per stay **(cost breakdown THB 65 net/glass/pax)  
• 20% savings on spa treatment at AvaniSpa (excluding Coco Breeze Salas)</t>
        </is>
      </c>
      <c r="Q191" s="23" t="n"/>
      <c r="R191" s="23" t="n"/>
      <c r="S191" s="23" t="n"/>
      <c r="T191" s="23" t="n"/>
      <c r="U191" s="23" t="n"/>
      <c r="V191" s="24" t="n"/>
    </row>
    <row r="192" ht="114" customHeight="1">
      <c r="A192" s="95" t="inlineStr">
        <is>
          <t>Mr. Arnan Rachavana</t>
        </is>
      </c>
      <c r="B192" s="24" t="n"/>
      <c r="C192" s="7" t="inlineStr">
        <is>
          <t>-</t>
        </is>
      </c>
      <c r="D192" s="39" t="inlineStr">
        <is>
          <t>3202</t>
        </is>
      </c>
      <c r="E192" s="24" t="n"/>
      <c r="F192" s="39" t="inlineStr">
        <is>
          <t>-</t>
        </is>
      </c>
      <c r="G192" s="24" t="n"/>
      <c r="H192" s="8" t="inlineStr">
        <is>
          <t>2</t>
        </is>
      </c>
      <c r="I192" s="9" t="inlineStr">
        <is>
          <t>24/07/26</t>
        </is>
      </c>
      <c r="J192" s="9" t="inlineStr">
        <is>
          <t>25/07/26</t>
        </is>
      </c>
      <c r="K192" s="8" t="inlineStr">
        <is>
          <t>-</t>
        </is>
      </c>
      <c r="L192" s="52" t="inlineStr">
        <is>
          <t>12.00</t>
        </is>
      </c>
      <c r="M192" s="24" t="n"/>
      <c r="N192" s="53" t="inlineStr">
        <is>
          <t>OWN</t>
        </is>
      </c>
      <c r="O192" s="24" t="n"/>
      <c r="P192" s="62" t="inlineStr">
        <is>
          <t>MASTER RB
20% discount on Food and beverage (Include alcohol) for the consumption outside the agreement.</t>
        </is>
      </c>
      <c r="Q192" s="23" t="n"/>
      <c r="R192" s="23" t="n"/>
      <c r="S192" s="23" t="n"/>
      <c r="T192" s="23" t="n"/>
      <c r="U192" s="23" t="n"/>
      <c r="V192" s="24" t="n"/>
    </row>
    <row r="193" ht="114" customHeight="1">
      <c r="A193" s="95" t="inlineStr">
        <is>
          <t>Mr. Natthapon Rattanawan</t>
        </is>
      </c>
      <c r="B193" s="24" t="n"/>
      <c r="C193" s="7" t="inlineStr">
        <is>
          <t>-</t>
        </is>
      </c>
      <c r="D193" s="39" t="inlineStr">
        <is>
          <t>3204</t>
        </is>
      </c>
      <c r="E193" s="24" t="n"/>
      <c r="F193" s="39" t="inlineStr">
        <is>
          <t>-</t>
        </is>
      </c>
      <c r="G193" s="24" t="n"/>
      <c r="H193" s="8" t="inlineStr">
        <is>
          <t>2</t>
        </is>
      </c>
      <c r="I193" s="9" t="inlineStr">
        <is>
          <t>24/07/26</t>
        </is>
      </c>
      <c r="J193" s="9" t="inlineStr">
        <is>
          <t>25/07/26</t>
        </is>
      </c>
      <c r="K193" s="8" t="inlineStr">
        <is>
          <t>-</t>
        </is>
      </c>
      <c r="L193" s="52" t="inlineStr">
        <is>
          <t>12.00</t>
        </is>
      </c>
      <c r="M193" s="24" t="n"/>
      <c r="N193" s="53" t="inlineStr">
        <is>
          <t>OWN</t>
        </is>
      </c>
      <c r="O193" s="24" t="n"/>
      <c r="P193" s="62" t="inlineStr">
        <is>
          <t>MASTER RB
20% discount on Food and beverage (Include alcohol) for the consumption outside the agreement.</t>
        </is>
      </c>
      <c r="Q193" s="23" t="n"/>
      <c r="R193" s="23" t="n"/>
      <c r="S193" s="23" t="n"/>
      <c r="T193" s="23" t="n"/>
      <c r="U193" s="23" t="n"/>
      <c r="V193" s="24" t="n"/>
    </row>
    <row r="194" ht="114" customHeight="1">
      <c r="A194" s="95" t="inlineStr">
        <is>
          <t>Ms. Phattarawadee Thongsuthi</t>
        </is>
      </c>
      <c r="B194" s="24" t="n"/>
      <c r="C194" s="7" t="inlineStr">
        <is>
          <t>-</t>
        </is>
      </c>
      <c r="D194" s="39" t="inlineStr">
        <is>
          <t>3206</t>
        </is>
      </c>
      <c r="E194" s="24" t="n"/>
      <c r="F194" s="39" t="inlineStr">
        <is>
          <t>-</t>
        </is>
      </c>
      <c r="G194" s="24" t="n"/>
      <c r="H194" s="8" t="inlineStr">
        <is>
          <t>2</t>
        </is>
      </c>
      <c r="I194" s="9" t="inlineStr">
        <is>
          <t>24/07/26</t>
        </is>
      </c>
      <c r="J194" s="9" t="inlineStr">
        <is>
          <t>25/07/26</t>
        </is>
      </c>
      <c r="K194" s="8" t="inlineStr">
        <is>
          <t>-</t>
        </is>
      </c>
      <c r="L194" s="52" t="inlineStr">
        <is>
          <t>12.00</t>
        </is>
      </c>
      <c r="M194" s="24" t="n"/>
      <c r="N194" s="53" t="inlineStr">
        <is>
          <t>OWN</t>
        </is>
      </c>
      <c r="O194" s="24" t="n"/>
      <c r="P194" s="62" t="inlineStr">
        <is>
          <t>MASTER RB
20% discount on Food and beverage (Include alcohol) for the consumption outside the agreement.</t>
        </is>
      </c>
      <c r="Q194" s="23" t="n"/>
      <c r="R194" s="23" t="n"/>
      <c r="S194" s="23" t="n"/>
      <c r="T194" s="23" t="n"/>
      <c r="U194" s="23" t="n"/>
      <c r="V194" s="24" t="n"/>
    </row>
    <row r="195" ht="114" customHeight="1">
      <c r="A195" s="95" t="inlineStr">
        <is>
          <t>Ms. Nuntikarn Samarn</t>
        </is>
      </c>
      <c r="B195" s="24" t="n"/>
      <c r="C195" s="7" t="inlineStr">
        <is>
          <t>-</t>
        </is>
      </c>
      <c r="D195" s="39" t="inlineStr">
        <is>
          <t>3208</t>
        </is>
      </c>
      <c r="E195" s="24" t="n"/>
      <c r="F195" s="39" t="inlineStr">
        <is>
          <t>VIPG
SILVER</t>
        </is>
      </c>
      <c r="G195" s="24" t="n"/>
      <c r="H195" s="8" t="inlineStr">
        <is>
          <t>2</t>
        </is>
      </c>
      <c r="I195" s="9" t="inlineStr">
        <is>
          <t>24/07/26</t>
        </is>
      </c>
      <c r="J195" s="9" t="inlineStr">
        <is>
          <t>25/07/26</t>
        </is>
      </c>
      <c r="K195" s="8" t="inlineStr">
        <is>
          <t>-</t>
        </is>
      </c>
      <c r="L195" s="52" t="inlineStr">
        <is>
          <t>12.00</t>
        </is>
      </c>
      <c r="M195" s="24" t="n"/>
      <c r="N195" s="53" t="inlineStr">
        <is>
          <t>OWN</t>
        </is>
      </c>
      <c r="O195" s="24" t="n"/>
      <c r="P195" s="62" t="inlineStr">
        <is>
          <t>MASTER RB  20% discount on Food and beverage (Include alcohol) for the consumption outside the agreement.</t>
        </is>
      </c>
      <c r="Q195" s="23" t="n"/>
      <c r="R195" s="23" t="n"/>
      <c r="S195" s="23" t="n"/>
      <c r="T195" s="23" t="n"/>
      <c r="U195" s="23" t="n"/>
      <c r="V195" s="24" t="n"/>
    </row>
    <row r="196" ht="114" customHeight="1">
      <c r="A196" s="95" t="inlineStr">
        <is>
          <t>Mr. Rattharnmanoon Kawsakun</t>
        </is>
      </c>
      <c r="B196" s="24" t="n"/>
      <c r="C196" s="7" t="inlineStr">
        <is>
          <t>-</t>
        </is>
      </c>
      <c r="D196" s="39" t="inlineStr">
        <is>
          <t>3301
Booking.com</t>
        </is>
      </c>
      <c r="E196" s="24" t="n"/>
      <c r="F196" s="39" t="inlineStr">
        <is>
          <t>-</t>
        </is>
      </c>
      <c r="G196" s="24" t="n"/>
      <c r="H196" s="8" t="inlineStr">
        <is>
          <t>2</t>
        </is>
      </c>
      <c r="I196" s="9" t="inlineStr">
        <is>
          <t>23/07/26</t>
        </is>
      </c>
      <c r="J196" s="9" t="inlineStr">
        <is>
          <t>25/07/26</t>
        </is>
      </c>
      <c r="K196" s="8" t="inlineStr">
        <is>
          <t>-</t>
        </is>
      </c>
      <c r="L196" s="52" t="inlineStr">
        <is>
          <t>12.00</t>
        </is>
      </c>
      <c r="M196" s="24" t="n"/>
      <c r="N196" s="53" t="inlineStr">
        <is>
          <t>OWN</t>
        </is>
      </c>
      <c r="O196" s="24" t="n"/>
      <c r="P196" s="62" t="inlineStr">
        <is>
          <t>COA (see trace) RB/2A THB 4,610.28+++ per night
-18% comm kickback THB 1,953.47 net</t>
        </is>
      </c>
      <c r="Q196" s="23" t="n"/>
      <c r="R196" s="23" t="n"/>
      <c r="S196" s="23" t="n"/>
      <c r="T196" s="23" t="n"/>
      <c r="U196" s="23" t="n"/>
      <c r="V196" s="24" t="n"/>
    </row>
    <row r="197" ht="114" customHeight="1">
      <c r="A197" s="95" t="inlineStr">
        <is>
          <t>Ms. Kunwara Sanjun</t>
        </is>
      </c>
      <c r="B197" s="24" t="n"/>
      <c r="C197" s="7" t="inlineStr">
        <is>
          <t>-</t>
        </is>
      </c>
      <c r="D197" s="39" t="inlineStr">
        <is>
          <t>3302</t>
        </is>
      </c>
      <c r="E197" s="24" t="n"/>
      <c r="F197" s="39" t="inlineStr">
        <is>
          <t>-</t>
        </is>
      </c>
      <c r="G197" s="24" t="n"/>
      <c r="H197" s="8" t="inlineStr">
        <is>
          <t>2</t>
        </is>
      </c>
      <c r="I197" s="9" t="inlineStr">
        <is>
          <t>24/07/26</t>
        </is>
      </c>
      <c r="J197" s="9" t="inlineStr">
        <is>
          <t>25/07/26</t>
        </is>
      </c>
      <c r="K197" s="8" t="inlineStr">
        <is>
          <t>-</t>
        </is>
      </c>
      <c r="L197" s="52" t="inlineStr">
        <is>
          <t>12.00</t>
        </is>
      </c>
      <c r="M197" s="24" t="n"/>
      <c r="N197" s="53" t="inlineStr">
        <is>
          <t>OWN</t>
        </is>
      </c>
      <c r="O197" s="24" t="n"/>
      <c r="P197" s="62" t="inlineStr">
        <is>
          <t>MASTER RB
20% discount on Food and beverage (Include alcohol) for the consumption outside the agreement.</t>
        </is>
      </c>
      <c r="Q197" s="23" t="n"/>
      <c r="R197" s="23" t="n"/>
      <c r="S197" s="23" t="n"/>
      <c r="T197" s="23" t="n"/>
      <c r="U197" s="23" t="n"/>
      <c r="V197" s="24" t="n"/>
    </row>
    <row r="198" ht="114" customHeight="1">
      <c r="A198" s="95" t="inlineStr">
        <is>
          <t>Mr. Laurenca David Burgess</t>
        </is>
      </c>
      <c r="B198" s="24" t="n"/>
      <c r="C198" s="7" t="inlineStr">
        <is>
          <t>-</t>
        </is>
      </c>
      <c r="D198" s="39" t="inlineStr">
        <is>
          <t>3304</t>
        </is>
      </c>
      <c r="E198" s="24" t="n"/>
      <c r="F198" s="39" t="inlineStr">
        <is>
          <t>VIPG
SILVER</t>
        </is>
      </c>
      <c r="G198" s="24" t="n"/>
      <c r="H198" s="8" t="inlineStr">
        <is>
          <t>2</t>
        </is>
      </c>
      <c r="I198" s="9" t="inlineStr">
        <is>
          <t>20/07/26</t>
        </is>
      </c>
      <c r="J198" s="9" t="inlineStr">
        <is>
          <t>25/07/26</t>
        </is>
      </c>
      <c r="K198" s="8" t="inlineStr">
        <is>
          <t>-</t>
        </is>
      </c>
      <c r="L198" s="52" t="inlineStr">
        <is>
          <t>12.00</t>
        </is>
      </c>
      <c r="M198" s="24" t="n"/>
      <c r="N198" s="53" t="inlineStr">
        <is>
          <t>OWN</t>
        </is>
      </c>
      <c r="O198" s="24" t="n"/>
      <c r="P198" s="62" t="inlineStr">
        <is>
          <t>PAID RB/2A THB 2,381.40+++(20-23/07/26)+THB 2,393.10+++(24/07/26) per night
- party 2 rooms
- Strongly request connecting room
Direct booking benefit
• Receive THB 1,000 resort credit per stay*(FO please deduct to transaction #81108)
• Complimentary sunset cocktail for 2 person per room per stay (FO please deduct to transaction #81108 at THB 65 net per glass) 
• 20% savings on spa treatment at Avani Spa (excluding Coco Breeze Salas)</t>
        </is>
      </c>
      <c r="Q198" s="23" t="n"/>
      <c r="R198" s="23" t="n"/>
      <c r="S198" s="23" t="n"/>
      <c r="T198" s="23" t="n"/>
      <c r="U198" s="23" t="n"/>
      <c r="V198" s="24" t="n"/>
    </row>
    <row r="199" ht="114" customHeight="1">
      <c r="A199" s="95" t="inlineStr">
        <is>
          <t>Mr. Laurenca David Burgess</t>
        </is>
      </c>
      <c r="B199" s="24" t="n"/>
      <c r="C199" s="7" t="inlineStr">
        <is>
          <t>-</t>
        </is>
      </c>
      <c r="D199" s="39" t="inlineStr">
        <is>
          <t>3305</t>
        </is>
      </c>
      <c r="E199" s="24" t="n"/>
      <c r="F199" s="39" t="inlineStr">
        <is>
          <t>VIPG
SILVER</t>
        </is>
      </c>
      <c r="G199" s="24" t="n"/>
      <c r="H199" s="8" t="inlineStr">
        <is>
          <t>2</t>
        </is>
      </c>
      <c r="I199" s="9" t="inlineStr">
        <is>
          <t>20/07/26</t>
        </is>
      </c>
      <c r="J199" s="9" t="inlineStr">
        <is>
          <t>25/07/26</t>
        </is>
      </c>
      <c r="K199" s="8" t="inlineStr">
        <is>
          <t>-</t>
        </is>
      </c>
      <c r="L199" s="52" t="inlineStr">
        <is>
          <t>12.00</t>
        </is>
      </c>
      <c r="M199" s="24" t="n"/>
      <c r="N199" s="53" t="inlineStr">
        <is>
          <t>OWN</t>
        </is>
      </c>
      <c r="O199" s="24" t="n"/>
      <c r="P199" s="62" t="inlineStr">
        <is>
          <t>PAID RB/2A THB 2,381.40+++(20-23/07/26)+THB 2,393.10+++(24/07/26) per night
- party 2 rooms
- Strongly request connecting room
Direct booking benefit
• Receive THB 1,000 resort credit per stay*(FO please deduct to transaction #81108)
• Complimentary sunset cocktail for 2 person per room per stay (FO please deduct to transaction #81108 at THB 65 net per glass) 
• 20% savings on spa treatment at Avani Spa (excluding Coco Breeze Salas)</t>
        </is>
      </c>
      <c r="Q199" s="23" t="n"/>
      <c r="R199" s="23" t="n"/>
      <c r="S199" s="23" t="n"/>
      <c r="T199" s="23" t="n"/>
      <c r="U199" s="23" t="n"/>
      <c r="V199" s="24" t="n"/>
    </row>
    <row r="200" ht="114" customHeight="1">
      <c r="A200" s="95" t="inlineStr">
        <is>
          <t>Ms. Wallaya Sitthakhom</t>
        </is>
      </c>
      <c r="B200" s="24" t="n"/>
      <c r="C200" s="7" t="inlineStr">
        <is>
          <t>-</t>
        </is>
      </c>
      <c r="D200" s="39" t="inlineStr">
        <is>
          <t>3306</t>
        </is>
      </c>
      <c r="E200" s="24" t="n"/>
      <c r="F200" s="39" t="inlineStr">
        <is>
          <t>-</t>
        </is>
      </c>
      <c r="G200" s="24" t="n"/>
      <c r="H200" s="8" t="inlineStr">
        <is>
          <t>2</t>
        </is>
      </c>
      <c r="I200" s="9" t="inlineStr">
        <is>
          <t>24/07/26</t>
        </is>
      </c>
      <c r="J200" s="9" t="inlineStr">
        <is>
          <t>25/07/26</t>
        </is>
      </c>
      <c r="K200" s="8" t="inlineStr">
        <is>
          <t>-</t>
        </is>
      </c>
      <c r="L200" s="52" t="inlineStr">
        <is>
          <t>12.00</t>
        </is>
      </c>
      <c r="M200" s="24" t="n"/>
      <c r="N200" s="53" t="inlineStr">
        <is>
          <t>OWN</t>
        </is>
      </c>
      <c r="O200" s="24" t="n"/>
      <c r="P200" s="62" t="inlineStr">
        <is>
          <t>MASTER RB
20% discount on Food and beverage (Include alcohol) for the consumption outside the agreement.</t>
        </is>
      </c>
      <c r="Q200" s="23" t="n"/>
      <c r="R200" s="23" t="n"/>
      <c r="S200" s="23" t="n"/>
      <c r="T200" s="23" t="n"/>
      <c r="U200" s="23" t="n"/>
      <c r="V200" s="24" t="n"/>
    </row>
    <row r="201" ht="114" customHeight="1">
      <c r="A201" s="95" t="inlineStr">
        <is>
          <t>Ms. Kullaluck Thirdpitakpong</t>
        </is>
      </c>
      <c r="B201" s="24" t="n"/>
      <c r="C201" s="7" t="inlineStr">
        <is>
          <t>-</t>
        </is>
      </c>
      <c r="D201" s="39" t="inlineStr">
        <is>
          <t>3308</t>
        </is>
      </c>
      <c r="E201" s="24" t="n"/>
      <c r="F201" s="39" t="inlineStr">
        <is>
          <t>-</t>
        </is>
      </c>
      <c r="G201" s="24" t="n"/>
      <c r="H201" s="8" t="inlineStr">
        <is>
          <t>2</t>
        </is>
      </c>
      <c r="I201" s="9" t="inlineStr">
        <is>
          <t>24/07/26</t>
        </is>
      </c>
      <c r="J201" s="9" t="inlineStr">
        <is>
          <t>25/07/26</t>
        </is>
      </c>
      <c r="K201" s="8" t="inlineStr">
        <is>
          <t>-</t>
        </is>
      </c>
      <c r="L201" s="52" t="inlineStr">
        <is>
          <t>12.00</t>
        </is>
      </c>
      <c r="M201" s="24" t="n"/>
      <c r="N201" s="53" t="inlineStr">
        <is>
          <t>OWN</t>
        </is>
      </c>
      <c r="O201" s="24" t="n"/>
      <c r="P201" s="62" t="inlineStr">
        <is>
          <t>MASTER RB
20% discount on Food and beverage (Include alcohol) for the consumption outside the agreement.</t>
        </is>
      </c>
      <c r="Q201" s="23" t="n"/>
      <c r="R201" s="23" t="n"/>
      <c r="S201" s="23" t="n"/>
      <c r="T201" s="23" t="n"/>
      <c r="U201" s="23" t="n"/>
      <c r="V201" s="24" t="n"/>
    </row>
    <row r="202" ht="114" customHeight="1">
      <c r="A202" s="95" t="inlineStr">
        <is>
          <t>Mr. Praphan Thongrob</t>
        </is>
      </c>
      <c r="B202" s="24" t="n"/>
      <c r="C202" s="7" t="inlineStr">
        <is>
          <t>-</t>
        </is>
      </c>
      <c r="D202" s="39" t="inlineStr">
        <is>
          <t>3402</t>
        </is>
      </c>
      <c r="E202" s="24" t="n"/>
      <c r="F202" s="39" t="inlineStr">
        <is>
          <t>VIPG
SILVER</t>
        </is>
      </c>
      <c r="G202" s="24" t="n"/>
      <c r="H202" s="8" t="inlineStr">
        <is>
          <t>2</t>
        </is>
      </c>
      <c r="I202" s="9" t="inlineStr">
        <is>
          <t>24/07/26</t>
        </is>
      </c>
      <c r="J202" s="9" t="inlineStr">
        <is>
          <t>25/07/26</t>
        </is>
      </c>
      <c r="K202" s="8" t="inlineStr">
        <is>
          <t>-</t>
        </is>
      </c>
      <c r="L202" s="52" t="inlineStr">
        <is>
          <t>12.00</t>
        </is>
      </c>
      <c r="M202" s="24" t="n"/>
      <c r="N202" s="53" t="inlineStr">
        <is>
          <t>OWN</t>
        </is>
      </c>
      <c r="O202" s="24" t="n"/>
      <c r="P202" s="62" t="inlineStr">
        <is>
          <t>MASTER RB  20% discount on Food and beverage (Include alcohol) for the consumption outside the agreement.</t>
        </is>
      </c>
      <c r="Q202" s="23" t="n"/>
      <c r="R202" s="23" t="n"/>
      <c r="S202" s="23" t="n"/>
      <c r="T202" s="23" t="n"/>
      <c r="U202" s="23" t="n"/>
      <c r="V202" s="24" t="n"/>
    </row>
    <row r="203" ht="114" customHeight="1">
      <c r="A203" s="95" t="inlineStr">
        <is>
          <t>Mr. Vichai Jienjitlert</t>
        </is>
      </c>
      <c r="B203" s="24" t="n"/>
      <c r="C203" s="7" t="inlineStr">
        <is>
          <t>-</t>
        </is>
      </c>
      <c r="D203" s="39" t="inlineStr">
        <is>
          <t>3404</t>
        </is>
      </c>
      <c r="E203" s="24" t="n"/>
      <c r="F203" s="39" t="inlineStr">
        <is>
          <t>-</t>
        </is>
      </c>
      <c r="G203" s="24" t="n"/>
      <c r="H203" s="8" t="inlineStr">
        <is>
          <t>2</t>
        </is>
      </c>
      <c r="I203" s="9" t="inlineStr">
        <is>
          <t>23/07/26</t>
        </is>
      </c>
      <c r="J203" s="9" t="inlineStr">
        <is>
          <t>25/07/26</t>
        </is>
      </c>
      <c r="K203" s="8" t="inlineStr">
        <is>
          <t>-</t>
        </is>
      </c>
      <c r="L203" s="52" t="inlineStr">
        <is>
          <t>12.00</t>
        </is>
      </c>
      <c r="M203" s="24" t="n"/>
      <c r="N203" s="53" t="inlineStr">
        <is>
          <t>OWN</t>
        </is>
      </c>
      <c r="O203" s="24" t="n"/>
      <c r="P203" s="62" t="inlineStr">
        <is>
          <t>PAID (Credit Card /Visa-Card 5878) RB/2A THB 2,750 net per night
- FOC up to Deluxe Conner
- Guest booked 2 nights package and 1 night package both Deluxe and Two Bedroom
Consecutive 
- 1st call periods on 23-24/07/2026 #843995972
- 2nd call periods on 25/07/2026 #843996033
77th Discovery Thailand 05-08 March 2026
- Rate includes daily breakfast
- Free One-time meal at Burgur &amp; Wing (food only) (Already breakdown at THB 150 net/pax)
- Early Check - in 10 AM and Late Check - out 3 PM
- 1 Child (0 - 11 years) stay free in existing bed with ABF
- 20% Discount on Spa, Food, and Non-Alcoholic Beverages.
- Thai ID/ Passport/ or Work Permit must be required to present at time of check – in</t>
        </is>
      </c>
      <c r="Q203" s="23" t="n"/>
      <c r="R203" s="23" t="n"/>
      <c r="S203" s="23" t="n"/>
      <c r="T203" s="23" t="n"/>
      <c r="U203" s="23" t="n"/>
      <c r="V203" s="24" t="n"/>
    </row>
    <row r="204" ht="114" customHeight="1">
      <c r="A204" s="95" t="inlineStr">
        <is>
          <t>Ms. Arpaporn Tochanok</t>
        </is>
      </c>
      <c r="B204" s="24" t="n"/>
      <c r="C204" s="7" t="inlineStr">
        <is>
          <t>-</t>
        </is>
      </c>
      <c r="D204" s="39" t="inlineStr">
        <is>
          <t>3406</t>
        </is>
      </c>
      <c r="E204" s="24" t="n"/>
      <c r="F204" s="39" t="inlineStr">
        <is>
          <t>VIPG
SILVER</t>
        </is>
      </c>
      <c r="G204" s="24" t="n"/>
      <c r="H204" s="8" t="inlineStr">
        <is>
          <t>2</t>
        </is>
      </c>
      <c r="I204" s="9" t="inlineStr">
        <is>
          <t>24/07/26</t>
        </is>
      </c>
      <c r="J204" s="9" t="inlineStr">
        <is>
          <t>25/07/26</t>
        </is>
      </c>
      <c r="K204" s="8" t="inlineStr">
        <is>
          <t>-</t>
        </is>
      </c>
      <c r="L204" s="52" t="inlineStr">
        <is>
          <t>12.00</t>
        </is>
      </c>
      <c r="M204" s="24" t="n"/>
      <c r="N204" s="53" t="inlineStr">
        <is>
          <t>OWN</t>
        </is>
      </c>
      <c r="O204" s="24" t="n"/>
      <c r="P204" s="62" t="inlineStr">
        <is>
          <t>MASTER RB  20% discount on Food and beverage (Include alcohol) for the consumption outside the agreement.</t>
        </is>
      </c>
      <c r="Q204" s="23" t="n"/>
      <c r="R204" s="23" t="n"/>
      <c r="S204" s="23" t="n"/>
      <c r="T204" s="23" t="n"/>
      <c r="U204" s="23" t="n"/>
      <c r="V204" s="24" t="n"/>
    </row>
    <row r="205" ht="114" customHeight="1">
      <c r="A205" s="95" t="inlineStr">
        <is>
          <t>Ms. Onuma Tula</t>
        </is>
      </c>
      <c r="B205" s="24" t="n"/>
      <c r="C205" s="7" t="inlineStr">
        <is>
          <t>-</t>
        </is>
      </c>
      <c r="D205" s="39" t="inlineStr">
        <is>
          <t>3408</t>
        </is>
      </c>
      <c r="E205" s="24" t="n"/>
      <c r="F205" s="39" t="inlineStr">
        <is>
          <t>-</t>
        </is>
      </c>
      <c r="G205" s="24" t="n"/>
      <c r="H205" s="8" t="inlineStr">
        <is>
          <t>2</t>
        </is>
      </c>
      <c r="I205" s="9" t="inlineStr">
        <is>
          <t>24/07/26</t>
        </is>
      </c>
      <c r="J205" s="9" t="inlineStr">
        <is>
          <t>25/07/26</t>
        </is>
      </c>
      <c r="K205" s="8" t="inlineStr">
        <is>
          <t>-</t>
        </is>
      </c>
      <c r="L205" s="52" t="inlineStr">
        <is>
          <t>12.00</t>
        </is>
      </c>
      <c r="M205" s="24" t="n"/>
      <c r="N205" s="53" t="inlineStr">
        <is>
          <t>OWN</t>
        </is>
      </c>
      <c r="O205" s="24" t="n"/>
      <c r="P205" s="62" t="inlineStr">
        <is>
          <t>MASTER RB
20% discount on Food and beverage (Include alcohol) for the consumption outside the agreement.</t>
        </is>
      </c>
      <c r="Q205" s="23" t="n"/>
      <c r="R205" s="23" t="n"/>
      <c r="S205" s="23" t="n"/>
      <c r="T205" s="23" t="n"/>
      <c r="U205" s="23" t="n"/>
      <c r="V205" s="24" t="n"/>
    </row>
    <row r="206" ht="114" customHeight="1">
      <c r="A206" s="95" t="inlineStr">
        <is>
          <t>Ms. Wantanee Yomdee</t>
        </is>
      </c>
      <c r="B206" s="24" t="n"/>
      <c r="C206" s="7" t="inlineStr">
        <is>
          <t>-</t>
        </is>
      </c>
      <c r="D206" s="39" t="inlineStr">
        <is>
          <t>3410</t>
        </is>
      </c>
      <c r="E206" s="24" t="n"/>
      <c r="F206" s="39" t="inlineStr">
        <is>
          <t>-</t>
        </is>
      </c>
      <c r="G206" s="24" t="n"/>
      <c r="H206" s="8" t="inlineStr">
        <is>
          <t>2</t>
        </is>
      </c>
      <c r="I206" s="9" t="inlineStr">
        <is>
          <t>24/07/26</t>
        </is>
      </c>
      <c r="J206" s="9" t="inlineStr">
        <is>
          <t>25/07/26</t>
        </is>
      </c>
      <c r="K206" s="8" t="inlineStr">
        <is>
          <t>-</t>
        </is>
      </c>
      <c r="L206" s="52" t="inlineStr">
        <is>
          <t>12.00</t>
        </is>
      </c>
      <c r="M206" s="24" t="n"/>
      <c r="N206" s="53" t="inlineStr">
        <is>
          <t>OWN</t>
        </is>
      </c>
      <c r="O206" s="24" t="n"/>
      <c r="P206" s="62" t="inlineStr">
        <is>
          <t>MASTER RB
20% discount on Food and beverage (Include alcohol) for the consumption outside the agreement.</t>
        </is>
      </c>
      <c r="Q206" s="23" t="n"/>
      <c r="R206" s="23" t="n"/>
      <c r="S206" s="23" t="n"/>
      <c r="T206" s="23" t="n"/>
      <c r="U206" s="23" t="n"/>
      <c r="V206" s="24" t="n"/>
    </row>
    <row r="207" ht="114" customHeight="1">
      <c r="A207" s="95" t="inlineStr">
        <is>
          <t>Ms. Rawadee Yotharak</t>
        </is>
      </c>
      <c r="B207" s="24" t="n"/>
      <c r="C207" s="7" t="inlineStr">
        <is>
          <t>-</t>
        </is>
      </c>
      <c r="D207" s="39" t="inlineStr">
        <is>
          <t>3502</t>
        </is>
      </c>
      <c r="E207" s="24" t="n"/>
      <c r="F207" s="39" t="inlineStr">
        <is>
          <t>-</t>
        </is>
      </c>
      <c r="G207" s="24" t="n"/>
      <c r="H207" s="8" t="inlineStr">
        <is>
          <t>2</t>
        </is>
      </c>
      <c r="I207" s="9" t="inlineStr">
        <is>
          <t>24/07/26</t>
        </is>
      </c>
      <c r="J207" s="9" t="inlineStr">
        <is>
          <t>25/07/26</t>
        </is>
      </c>
      <c r="K207" s="8" t="inlineStr">
        <is>
          <t>-</t>
        </is>
      </c>
      <c r="L207" s="52" t="inlineStr">
        <is>
          <t>12.00</t>
        </is>
      </c>
      <c r="M207" s="24" t="n"/>
      <c r="N207" s="53" t="inlineStr">
        <is>
          <t>OWN</t>
        </is>
      </c>
      <c r="O207" s="24" t="n"/>
      <c r="P207" s="62" t="inlineStr">
        <is>
          <t>MASTER RB
20 % discount on Food and beverage ( Include alcohol )for the consumption outside the agreement.</t>
        </is>
      </c>
      <c r="Q207" s="23" t="n"/>
      <c r="R207" s="23" t="n"/>
      <c r="S207" s="23" t="n"/>
      <c r="T207" s="23" t="n"/>
      <c r="U207" s="23" t="n"/>
      <c r="V207" s="24" t="n"/>
    </row>
    <row r="208" ht="114" customHeight="1">
      <c r="A208" s="95" t="inlineStr">
        <is>
          <t>Ms. Saranya Ampaipinyokul</t>
        </is>
      </c>
      <c r="B208" s="24" t="n"/>
      <c r="C208" s="7" t="inlineStr">
        <is>
          <t>-</t>
        </is>
      </c>
      <c r="D208" s="39" t="inlineStr">
        <is>
          <t>3504</t>
        </is>
      </c>
      <c r="E208" s="24" t="n"/>
      <c r="F208" s="39" t="inlineStr">
        <is>
          <t>-</t>
        </is>
      </c>
      <c r="G208" s="24" t="n"/>
      <c r="H208" s="8" t="inlineStr">
        <is>
          <t>2</t>
        </is>
      </c>
      <c r="I208" s="9" t="inlineStr">
        <is>
          <t>24/07/26</t>
        </is>
      </c>
      <c r="J208" s="9" t="inlineStr">
        <is>
          <t>25/07/26</t>
        </is>
      </c>
      <c r="K208" s="8" t="inlineStr">
        <is>
          <t>-</t>
        </is>
      </c>
      <c r="L208" s="52" t="inlineStr">
        <is>
          <t>12.00</t>
        </is>
      </c>
      <c r="M208" s="24" t="n"/>
      <c r="N208" s="53" t="inlineStr">
        <is>
          <t>OWN</t>
        </is>
      </c>
      <c r="O208" s="24" t="n"/>
      <c r="P208" s="62" t="inlineStr">
        <is>
          <t>MASTER RB
20% discount on Food and beverage (Include alcohol) for the consumption outside the agreement.</t>
        </is>
      </c>
      <c r="Q208" s="23" t="n"/>
      <c r="R208" s="23" t="n"/>
      <c r="S208" s="23" t="n"/>
      <c r="T208" s="23" t="n"/>
      <c r="U208" s="23" t="n"/>
      <c r="V208" s="24" t="n"/>
    </row>
    <row r="209" ht="114" customHeight="1">
      <c r="A209" s="95" t="inlineStr">
        <is>
          <t>Ms. Waraporn Aoamung</t>
        </is>
      </c>
      <c r="B209" s="24" t="n"/>
      <c r="C209" s="7" t="inlineStr">
        <is>
          <t>-</t>
        </is>
      </c>
      <c r="D209" s="39" t="inlineStr">
        <is>
          <t>3506</t>
        </is>
      </c>
      <c r="E209" s="24" t="n"/>
      <c r="F209" s="39" t="inlineStr">
        <is>
          <t>-</t>
        </is>
      </c>
      <c r="G209" s="24" t="n"/>
      <c r="H209" s="8" t="inlineStr">
        <is>
          <t>2</t>
        </is>
      </c>
      <c r="I209" s="9" t="inlineStr">
        <is>
          <t>24/07/26</t>
        </is>
      </c>
      <c r="J209" s="9" t="inlineStr">
        <is>
          <t>25/07/26</t>
        </is>
      </c>
      <c r="K209" s="8" t="inlineStr">
        <is>
          <t>-</t>
        </is>
      </c>
      <c r="L209" s="52" t="inlineStr">
        <is>
          <t>12.00</t>
        </is>
      </c>
      <c r="M209" s="24" t="n"/>
      <c r="N209" s="53" t="inlineStr">
        <is>
          <t>OWN</t>
        </is>
      </c>
      <c r="O209" s="24" t="n"/>
      <c r="P209" s="62" t="inlineStr">
        <is>
          <t>MASTER RB
20% discount on Food and beverage (Include alcohol) for the consumption outside the agreement.</t>
        </is>
      </c>
      <c r="Q209" s="23" t="n"/>
      <c r="R209" s="23" t="n"/>
      <c r="S209" s="23" t="n"/>
      <c r="T209" s="23" t="n"/>
      <c r="U209" s="23" t="n"/>
      <c r="V209" s="24" t="n"/>
    </row>
    <row r="210" ht="114" customHeight="1">
      <c r="A210" s="95" t="inlineStr">
        <is>
          <t>Mrs. Alicera Vaewsorn</t>
        </is>
      </c>
      <c r="B210" s="24" t="n"/>
      <c r="C210" s="7" t="inlineStr">
        <is>
          <t>-</t>
        </is>
      </c>
      <c r="D210" s="39" t="inlineStr">
        <is>
          <t>3507</t>
        </is>
      </c>
      <c r="E210" s="24" t="n"/>
      <c r="F210" s="39" t="inlineStr">
        <is>
          <t>VIPG
SILVER</t>
        </is>
      </c>
      <c r="G210" s="24" t="n"/>
      <c r="H210" s="8" t="inlineStr">
        <is>
          <t>2</t>
        </is>
      </c>
      <c r="I210" s="9" t="inlineStr">
        <is>
          <t>20/07/26</t>
        </is>
      </c>
      <c r="J210" s="9" t="inlineStr">
        <is>
          <t>25/07/26</t>
        </is>
      </c>
      <c r="K210" s="8" t="inlineStr">
        <is>
          <t>-</t>
        </is>
      </c>
      <c r="L210" s="52" t="inlineStr">
        <is>
          <t>12.00</t>
        </is>
      </c>
      <c r="M210" s="24" t="n"/>
      <c r="N210" s="53" t="inlineStr">
        <is>
          <t>OWN</t>
        </is>
      </c>
      <c r="O210" s="24" t="n"/>
      <c r="P210" s="62" t="inlineStr">
        <is>
          <t>PAID (PG) RB/2A THB 2,330.73+++ per night 
- Party 5 rms. RQ closes as soon as possible
ABOUT YOUR BOOK DIRECT BENEFITS **Cost deduct to transaction #81108** 
• Receive THB 1,000 resort credit per stay* 
• Complimentary sunset cocktail for 2 person per room per stay (*Cost breakdown at THB 65 net per glass) 
• 20% savings on spa treatment at AvaniSpa</t>
        </is>
      </c>
      <c r="Q210" s="23" t="n"/>
      <c r="R210" s="23" t="n"/>
      <c r="S210" s="23" t="n"/>
      <c r="T210" s="23" t="n"/>
      <c r="U210" s="23" t="n"/>
      <c r="V210" s="24" t="n"/>
    </row>
    <row r="211" ht="114" customHeight="1">
      <c r="A211" s="95" t="inlineStr">
        <is>
          <t>Ms. Siripen Siripanyaporn</t>
        </is>
      </c>
      <c r="B211" s="24" t="n"/>
      <c r="C211" s="7" t="inlineStr">
        <is>
          <t>-</t>
        </is>
      </c>
      <c r="D211" s="39" t="inlineStr">
        <is>
          <t>3508</t>
        </is>
      </c>
      <c r="E211" s="24" t="n"/>
      <c r="F211" s="39" t="inlineStr">
        <is>
          <t>-</t>
        </is>
      </c>
      <c r="G211" s="24" t="n"/>
      <c r="H211" s="8" t="inlineStr">
        <is>
          <t>2</t>
        </is>
      </c>
      <c r="I211" s="9" t="inlineStr">
        <is>
          <t>24/07/26</t>
        </is>
      </c>
      <c r="J211" s="9" t="inlineStr">
        <is>
          <t>25/07/26</t>
        </is>
      </c>
      <c r="K211" s="8" t="inlineStr">
        <is>
          <t>-</t>
        </is>
      </c>
      <c r="L211" s="52" t="inlineStr">
        <is>
          <t>12.00</t>
        </is>
      </c>
      <c r="M211" s="24" t="n"/>
      <c r="N211" s="53" t="inlineStr">
        <is>
          <t>OWN</t>
        </is>
      </c>
      <c r="O211" s="24" t="n"/>
      <c r="P211" s="62" t="inlineStr">
        <is>
          <t>MASTER RB
20% discount on Food and beverage (Include alcohol) for the consumption outside the agreement.</t>
        </is>
      </c>
      <c r="Q211" s="23" t="n"/>
      <c r="R211" s="23" t="n"/>
      <c r="S211" s="23" t="n"/>
      <c r="T211" s="23" t="n"/>
      <c r="U211" s="23" t="n"/>
      <c r="V211" s="24" t="n"/>
    </row>
    <row r="212" ht="114" customHeight="1">
      <c r="A212" s="95" t="inlineStr">
        <is>
          <t>Mrs. Alicera Vaewsorn</t>
        </is>
      </c>
      <c r="B212" s="24" t="n"/>
      <c r="C212" s="7" t="inlineStr">
        <is>
          <t>-</t>
        </is>
      </c>
      <c r="D212" s="39" t="inlineStr">
        <is>
          <t>3509</t>
        </is>
      </c>
      <c r="E212" s="24" t="n"/>
      <c r="F212" s="39" t="inlineStr">
        <is>
          <t>VIPG
SILVER</t>
        </is>
      </c>
      <c r="G212" s="24" t="n"/>
      <c r="H212" s="8" t="inlineStr">
        <is>
          <t>1</t>
        </is>
      </c>
      <c r="I212" s="9" t="inlineStr">
        <is>
          <t>20/07/26</t>
        </is>
      </c>
      <c r="J212" s="9" t="inlineStr">
        <is>
          <t>25/07/26</t>
        </is>
      </c>
      <c r="K212" s="8" t="inlineStr">
        <is>
          <t>-</t>
        </is>
      </c>
      <c r="L212" s="52" t="inlineStr">
        <is>
          <t>12.00</t>
        </is>
      </c>
      <c r="M212" s="24" t="n"/>
      <c r="N212" s="53" t="inlineStr">
        <is>
          <t>OWN</t>
        </is>
      </c>
      <c r="O212" s="24" t="n"/>
      <c r="P212" s="62" t="inlineStr">
        <is>
          <t>PAID (PG) RB/1A THB 2,330.73+++ per night 
- Party 5 rms. RQ closes as soon as possible
ABOUT YOUR BOOK DIRECT BENEFITS **Cost deduct to transaction #81108** 
• Receive THB 1,000 resort credit per stay* 
• Complimentary sunset cocktail for 2 person per room per stay (*Cost breakdown at THB 65 net per glass) 
• 20% savings on spa treatment at AvaniSpa</t>
        </is>
      </c>
      <c r="Q212" s="23" t="n"/>
      <c r="R212" s="23" t="n"/>
      <c r="S212" s="23" t="n"/>
      <c r="T212" s="23" t="n"/>
      <c r="U212" s="23" t="n"/>
      <c r="V212" s="24" t="n"/>
    </row>
    <row r="213" ht="99" customFormat="1" customHeight="1" s="2">
      <c r="A213" s="104" t="inlineStr">
        <is>
          <t>Priority Guest (Handicap In House)</t>
        </is>
      </c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4" t="n"/>
    </row>
    <row r="214" ht="96" customHeight="1">
      <c r="A214" s="49" t="inlineStr">
        <is>
          <t xml:space="preserve"> Name</t>
        </is>
      </c>
      <c r="B214" s="24" t="n"/>
      <c r="C214" s="49" t="inlineStr">
        <is>
          <t>Country</t>
        </is>
      </c>
      <c r="D214" s="49" t="inlineStr">
        <is>
          <t>Room No.</t>
        </is>
      </c>
      <c r="E214" s="24" t="n"/>
      <c r="F214" s="49" t="inlineStr">
        <is>
          <t>VIP</t>
        </is>
      </c>
      <c r="G214" s="24" t="n"/>
      <c r="H214" s="49" t="inlineStr">
        <is>
          <t>Pax</t>
        </is>
      </c>
      <c r="I214" s="49" t="inlineStr">
        <is>
          <t xml:space="preserve">ARR </t>
        </is>
      </c>
      <c r="J214" s="6" t="inlineStr">
        <is>
          <t xml:space="preserve">DEP </t>
        </is>
      </c>
      <c r="K214" s="6" t="inlineStr">
        <is>
          <t>Flight</t>
        </is>
      </c>
      <c r="L214" s="49" t="inlineStr">
        <is>
          <t>ETD</t>
        </is>
      </c>
      <c r="M214" s="24" t="n"/>
      <c r="N214" s="49" t="inlineStr">
        <is>
          <t>TRSF</t>
        </is>
      </c>
      <c r="O214" s="24" t="n"/>
      <c r="P214" s="49" t="inlineStr">
        <is>
          <t>Remark</t>
        </is>
      </c>
      <c r="Q214" s="23" t="n"/>
      <c r="R214" s="23" t="n"/>
      <c r="S214" s="23" t="n"/>
      <c r="T214" s="23" t="n"/>
      <c r="U214" s="23" t="n"/>
      <c r="V214" s="24" t="n"/>
    </row>
    <row r="215" ht="114" customHeight="1">
      <c r="A215" s="72" t="n"/>
      <c r="B215" s="24" t="n"/>
      <c r="C215" s="7" t="n"/>
      <c r="D215" s="39" t="n"/>
      <c r="E215" s="24" t="n"/>
      <c r="F215" s="39" t="n"/>
      <c r="G215" s="24" t="n"/>
      <c r="H215" s="8" t="n"/>
      <c r="I215" s="9" t="n"/>
      <c r="J215" s="9" t="n"/>
      <c r="K215" s="8" t="n"/>
      <c r="L215" s="52" t="n"/>
      <c r="M215" s="24" t="n"/>
      <c r="N215" s="53" t="n"/>
      <c r="O215" s="24" t="n"/>
      <c r="P215" s="62" t="n"/>
      <c r="Q215" s="23" t="n"/>
      <c r="R215" s="23" t="n"/>
      <c r="S215" s="23" t="n"/>
      <c r="T215" s="23" t="n"/>
      <c r="U215" s="23" t="n"/>
      <c r="V215" s="24" t="n"/>
    </row>
    <row r="216" ht="103.5" customHeight="1">
      <c r="A216" s="75" t="inlineStr">
        <is>
          <t>Guest's Birthday</t>
        </is>
      </c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4" t="n"/>
    </row>
    <row r="217" ht="87.75" customHeight="1">
      <c r="A217" s="29" t="inlineStr">
        <is>
          <t>Name</t>
        </is>
      </c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4" t="n"/>
      <c r="P217" s="29" t="inlineStr">
        <is>
          <t>Room Number</t>
        </is>
      </c>
      <c r="Q217" s="23" t="n"/>
      <c r="R217" s="23" t="n"/>
      <c r="S217" s="23" t="n"/>
      <c r="T217" s="23" t="n"/>
      <c r="U217" s="23" t="n"/>
      <c r="V217" s="24" t="n"/>
    </row>
    <row r="218" ht="114" customHeight="1">
      <c r="A218" s="58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4" t="n"/>
      <c r="P218" s="57" t="n"/>
      <c r="Q218" s="23" t="n"/>
      <c r="R218" s="23" t="n"/>
      <c r="S218" s="23" t="n"/>
      <c r="T218" s="23" t="n"/>
      <c r="U218" s="23" t="n"/>
      <c r="V218" s="24" t="n"/>
    </row>
    <row r="219" ht="114" customHeight="1">
      <c r="A219" s="58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4" t="n"/>
      <c r="P219" s="57" t="n"/>
      <c r="Q219" s="23" t="n"/>
      <c r="R219" s="23" t="n"/>
      <c r="S219" s="23" t="n"/>
      <c r="T219" s="23" t="n"/>
      <c r="U219" s="23" t="n"/>
      <c r="V219" s="24" t="n"/>
    </row>
    <row r="220" ht="114" customHeight="1">
      <c r="A220" s="58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4" t="n"/>
      <c r="P220" s="57" t="n"/>
      <c r="Q220" s="23" t="n"/>
      <c r="R220" s="23" t="n"/>
      <c r="S220" s="23" t="n"/>
      <c r="T220" s="23" t="n"/>
      <c r="U220" s="23" t="n"/>
      <c r="V220" s="24" t="n"/>
    </row>
    <row r="221" ht="103.5" customHeight="1">
      <c r="A221" s="75" t="inlineStr">
        <is>
          <t>INSPECTION</t>
        </is>
      </c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4" t="n"/>
    </row>
    <row r="222" ht="87.75" customHeight="1">
      <c r="A222" s="29" t="inlineStr">
        <is>
          <t>Name</t>
        </is>
      </c>
      <c r="B222" s="23" t="n"/>
      <c r="C222" s="23" t="n"/>
      <c r="D222" s="24" t="n"/>
      <c r="E222" s="29" t="inlineStr">
        <is>
          <t xml:space="preserve">Company </t>
        </is>
      </c>
      <c r="F222" s="23" t="n"/>
      <c r="G222" s="23" t="n"/>
      <c r="H222" s="23" t="n"/>
      <c r="I222" s="23" t="n"/>
      <c r="J222" s="23" t="n"/>
      <c r="K222" s="24" t="n"/>
      <c r="L222" s="29" t="inlineStr">
        <is>
          <t>Pax</t>
        </is>
      </c>
      <c r="M222" s="23" t="n"/>
      <c r="N222" s="23" t="n"/>
      <c r="O222" s="24" t="n"/>
      <c r="P222" s="29" t="inlineStr">
        <is>
          <t>Time</t>
        </is>
      </c>
      <c r="Q222" s="24" t="n"/>
      <c r="R222" s="29" t="inlineStr">
        <is>
          <t>Remark</t>
        </is>
      </c>
      <c r="S222" s="23" t="n"/>
      <c r="T222" s="23" t="n"/>
      <c r="U222" s="24" t="n"/>
      <c r="V222" s="29" t="inlineStr">
        <is>
          <t>Contact Person</t>
        </is>
      </c>
    </row>
    <row r="223" ht="117" customFormat="1" customHeight="1" s="10">
      <c r="A223" s="26" t="n"/>
      <c r="B223" s="23" t="n"/>
      <c r="C223" s="23" t="n"/>
      <c r="D223" s="24" t="n"/>
      <c r="E223" s="26" t="n"/>
      <c r="F223" s="23" t="n"/>
      <c r="G223" s="23" t="n"/>
      <c r="H223" s="23" t="n"/>
      <c r="I223" s="23" t="n"/>
      <c r="J223" s="23" t="n"/>
      <c r="K223" s="24" t="n"/>
      <c r="L223" s="26" t="n"/>
      <c r="M223" s="23" t="n"/>
      <c r="N223" s="23" t="n"/>
      <c r="O223" s="24" t="n"/>
      <c r="P223" s="26" t="n"/>
      <c r="Q223" s="24" t="n"/>
      <c r="R223" s="26" t="n"/>
      <c r="S223" s="23" t="n"/>
      <c r="T223" s="23" t="n"/>
      <c r="U223" s="24" t="n"/>
      <c r="V223" s="26" t="n"/>
    </row>
    <row r="224" ht="117" customFormat="1" customHeight="1" s="10">
      <c r="A224" s="26" t="n"/>
      <c r="B224" s="23" t="n"/>
      <c r="C224" s="23" t="n"/>
      <c r="D224" s="24" t="n"/>
      <c r="E224" s="26" t="n"/>
      <c r="F224" s="23" t="n"/>
      <c r="G224" s="23" t="n"/>
      <c r="H224" s="23" t="n"/>
      <c r="I224" s="23" t="n"/>
      <c r="J224" s="23" t="n"/>
      <c r="K224" s="24" t="n"/>
      <c r="L224" s="26" t="n"/>
      <c r="M224" s="23" t="n"/>
      <c r="N224" s="23" t="n"/>
      <c r="O224" s="24" t="n"/>
      <c r="P224" s="26" t="n"/>
      <c r="Q224" s="24" t="n"/>
      <c r="R224" s="26" t="n"/>
      <c r="S224" s="23" t="n"/>
      <c r="T224" s="23" t="n"/>
      <c r="U224" s="24" t="n"/>
      <c r="V224" s="26" t="n"/>
    </row>
    <row r="225" ht="103.5" customFormat="1" customHeight="1" s="10">
      <c r="A225" s="75" t="inlineStr">
        <is>
          <t>GROUP</t>
        </is>
      </c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4" t="n"/>
    </row>
    <row r="226" ht="87.75" customFormat="1" customHeight="1" s="10">
      <c r="A226" s="29" t="inlineStr">
        <is>
          <t>Group Name</t>
        </is>
      </c>
      <c r="B226" s="23" t="n"/>
      <c r="C226" s="23" t="n"/>
      <c r="D226" s="24" t="n"/>
      <c r="E226" s="29" t="inlineStr">
        <is>
          <t>Period of stay</t>
        </is>
      </c>
      <c r="F226" s="23" t="n"/>
      <c r="G226" s="23" t="n"/>
      <c r="H226" s="23" t="n"/>
      <c r="I226" s="23" t="n"/>
      <c r="J226" s="24" t="n"/>
      <c r="K226" s="29" t="inlineStr">
        <is>
          <t>Rooms</t>
        </is>
      </c>
      <c r="L226" s="24" t="n"/>
      <c r="M226" s="29" t="inlineStr">
        <is>
          <t>Event</t>
        </is>
      </c>
      <c r="N226" s="23" t="n"/>
      <c r="O226" s="23" t="n"/>
      <c r="P226" s="23" t="n"/>
      <c r="Q226" s="23" t="n"/>
      <c r="R226" s="23" t="n"/>
      <c r="S226" s="23" t="n"/>
      <c r="T226" s="23" t="n"/>
      <c r="U226" s="24" t="n"/>
      <c r="V226" s="29" t="inlineStr">
        <is>
          <t>Contact Person</t>
        </is>
      </c>
    </row>
    <row r="227" ht="114" customFormat="1" customHeight="1" s="10">
      <c r="A227" s="28" t="n"/>
      <c r="B227" s="23" t="n"/>
      <c r="C227" s="23" t="n"/>
      <c r="D227" s="24" t="n"/>
      <c r="E227" s="28" t="n"/>
      <c r="F227" s="23" t="n"/>
      <c r="G227" s="23" t="n"/>
      <c r="H227" s="23" t="n"/>
      <c r="I227" s="23" t="n"/>
      <c r="J227" s="24" t="n"/>
      <c r="K227" s="28" t="n"/>
      <c r="L227" s="24" t="n"/>
      <c r="M227" s="28" t="n"/>
      <c r="N227" s="23" t="n"/>
      <c r="O227" s="23" t="n"/>
      <c r="P227" s="23" t="n"/>
      <c r="Q227" s="23" t="n"/>
      <c r="R227" s="23" t="n"/>
      <c r="S227" s="23" t="n"/>
      <c r="T227" s="23" t="n"/>
      <c r="U227" s="24" t="n"/>
      <c r="V227" s="28" t="n"/>
    </row>
    <row r="228" ht="93.75" customFormat="1" customHeight="1" s="10">
      <c r="A228" s="30" t="inlineStr">
        <is>
          <t>Outlet</t>
        </is>
      </c>
      <c r="B228" s="23" t="n"/>
      <c r="C228" s="23" t="n"/>
      <c r="D228" s="29" t="inlineStr">
        <is>
          <t>Special</t>
        </is>
      </c>
      <c r="E228" s="23" t="n"/>
      <c r="F228" s="23" t="n"/>
      <c r="G228" s="23" t="n"/>
      <c r="H228" s="23" t="n"/>
      <c r="I228" s="23" t="n"/>
      <c r="J228" s="24" t="n"/>
      <c r="K228" s="29" t="inlineStr">
        <is>
          <t>Outlet</t>
        </is>
      </c>
      <c r="L228" s="23" t="n"/>
      <c r="M228" s="23" t="n"/>
      <c r="N228" s="23" t="n"/>
      <c r="O228" s="24" t="n"/>
      <c r="P228" s="29" t="inlineStr">
        <is>
          <t>Special</t>
        </is>
      </c>
      <c r="Q228" s="23" t="n"/>
      <c r="R228" s="23" t="n"/>
      <c r="S228" s="23" t="n"/>
      <c r="T228" s="23" t="n"/>
      <c r="U228" s="23" t="n"/>
      <c r="V228" s="24" t="n"/>
    </row>
    <row r="229" ht="114" customHeight="1">
      <c r="A229" s="78" t="inlineStr">
        <is>
          <t>Elements</t>
        </is>
      </c>
      <c r="B229" s="44" t="n"/>
      <c r="C229" s="44" t="n"/>
      <c r="D229" s="25" t="inlineStr">
        <is>
          <t>Opening from 06.30 - 10.30 for breakfast</t>
        </is>
      </c>
      <c r="E229" s="23" t="n"/>
      <c r="F229" s="23" t="n"/>
      <c r="G229" s="23" t="n"/>
      <c r="H229" s="23" t="n"/>
      <c r="I229" s="23" t="n"/>
      <c r="J229" s="24" t="n"/>
      <c r="K229" s="71" t="inlineStr">
        <is>
          <t xml:space="preserve">Burger N' Wing </t>
        </is>
      </c>
      <c r="L229" s="44" t="n"/>
      <c r="M229" s="44" t="n"/>
      <c r="N229" s="44" t="n"/>
      <c r="O229" s="44" t="n"/>
      <c r="P229" s="76" t="inlineStr">
        <is>
          <t>Opening from 12.00 - 20.00</t>
        </is>
      </c>
      <c r="Q229" s="44" t="n"/>
      <c r="R229" s="44" t="n"/>
      <c r="S229" s="44" t="n"/>
      <c r="T229" s="44" t="n"/>
      <c r="U229" s="44" t="n"/>
      <c r="V229" s="45" t="n"/>
    </row>
    <row r="230" ht="114" customHeight="1">
      <c r="A230" s="46" t="n"/>
      <c r="B230" s="47" t="n"/>
      <c r="C230" s="47" t="n"/>
      <c r="D230" s="65" t="inlineStr">
        <is>
          <t>Opening from 18.00 - 22.00 for dinner (only Friday to Sunday)</t>
        </is>
      </c>
      <c r="E230" s="23" t="n"/>
      <c r="F230" s="23" t="n"/>
      <c r="G230" s="23" t="n"/>
      <c r="H230" s="23" t="n"/>
      <c r="I230" s="23" t="n"/>
      <c r="J230" s="24" t="n"/>
      <c r="K230" s="67" t="inlineStr">
        <is>
          <t>Coco Fire</t>
        </is>
      </c>
      <c r="L230" s="23" t="n"/>
      <c r="M230" s="23" t="n"/>
      <c r="N230" s="23" t="n"/>
      <c r="O230" s="23" t="n"/>
      <c r="P230" s="31" t="inlineStr">
        <is>
          <t>Opening from 12.00 - 20.00</t>
        </is>
      </c>
      <c r="Q230" s="23" t="n"/>
      <c r="R230" s="23" t="n"/>
      <c r="S230" s="23" t="n"/>
      <c r="T230" s="23" t="n"/>
      <c r="U230" s="23" t="n"/>
      <c r="V230" s="24" t="n"/>
    </row>
    <row r="231" ht="114" customHeight="1">
      <c r="A231" s="78" t="inlineStr">
        <is>
          <t>The Pantry</t>
        </is>
      </c>
      <c r="B231" s="23" t="n"/>
      <c r="C231" s="23" t="n"/>
      <c r="D231" s="77" t="inlineStr">
        <is>
          <t>Opening from 07.00 - 19.00</t>
        </is>
      </c>
      <c r="E231" s="47" t="n"/>
      <c r="F231" s="47" t="n"/>
      <c r="G231" s="47" t="n"/>
      <c r="H231" s="47" t="n"/>
      <c r="I231" s="47" t="n"/>
      <c r="J231" s="47" t="n"/>
      <c r="K231" s="67" t="inlineStr">
        <is>
          <t>Mizu Bar</t>
        </is>
      </c>
      <c r="L231" s="23" t="n"/>
      <c r="M231" s="23" t="n"/>
      <c r="N231" s="23" t="n"/>
      <c r="O231" s="23" t="n"/>
      <c r="P231" s="31" t="inlineStr">
        <is>
          <t>Opening from 12.00 - 20.00</t>
        </is>
      </c>
      <c r="Q231" s="23" t="n"/>
      <c r="R231" s="23" t="n"/>
      <c r="S231" s="23" t="n"/>
      <c r="T231" s="23" t="n"/>
      <c r="U231" s="23" t="n"/>
      <c r="V231" s="24" t="n"/>
    </row>
    <row r="232" ht="114" customHeight="1">
      <c r="A232" s="67" t="inlineStr">
        <is>
          <t>Mi Scusi</t>
        </is>
      </c>
      <c r="B232" s="23" t="n"/>
      <c r="C232" s="23" t="n"/>
      <c r="D232" s="65" t="inlineStr">
        <is>
          <t>Monday to Thursday 11.00 - 21.00 | Friday to Sunday 11.00 - 18.00</t>
        </is>
      </c>
      <c r="E232" s="23" t="n"/>
      <c r="F232" s="23" t="n"/>
      <c r="G232" s="23" t="n"/>
      <c r="H232" s="23" t="n"/>
      <c r="I232" s="23" t="n"/>
      <c r="J232" s="24" t="n"/>
      <c r="K232" s="67" t="inlineStr">
        <is>
          <t>AvaniSpa</t>
        </is>
      </c>
      <c r="L232" s="23" t="n"/>
      <c r="M232" s="23" t="n"/>
      <c r="N232" s="23" t="n"/>
      <c r="O232" s="23" t="n"/>
      <c r="P232" s="25" t="inlineStr">
        <is>
          <t>Opening from 09.00 - 21.00</t>
        </is>
      </c>
      <c r="Q232" s="23" t="n"/>
      <c r="R232" s="23" t="n"/>
      <c r="S232" s="23" t="n"/>
      <c r="T232" s="23" t="n"/>
      <c r="U232" s="23" t="n"/>
      <c r="V232" s="24" t="n"/>
    </row>
    <row r="233" ht="114" customHeight="1">
      <c r="A233" s="78" t="inlineStr">
        <is>
          <t>Scoop It</t>
        </is>
      </c>
      <c r="B233" s="23" t="n"/>
      <c r="C233" s="23" t="n"/>
      <c r="D233" s="32" t="inlineStr">
        <is>
          <t>Closed</t>
        </is>
      </c>
      <c r="E233" s="23" t="n"/>
      <c r="F233" s="23" t="n"/>
      <c r="G233" s="23" t="n"/>
      <c r="H233" s="23" t="n"/>
      <c r="I233" s="23" t="n"/>
      <c r="J233" s="24" t="n"/>
      <c r="K233" s="34" t="inlineStr">
        <is>
          <t>Mini Golf</t>
        </is>
      </c>
      <c r="L233" s="23" t="n"/>
      <c r="M233" s="23" t="n"/>
      <c r="N233" s="23" t="n"/>
      <c r="O233" s="23" t="n"/>
      <c r="P233" s="27" t="inlineStr">
        <is>
          <t>Opening from 09.00 - 20.00</t>
        </is>
      </c>
      <c r="Q233" s="23" t="n"/>
      <c r="R233" s="23" t="n"/>
      <c r="S233" s="23" t="n"/>
      <c r="T233" s="23" t="n"/>
      <c r="U233" s="23" t="n"/>
      <c r="V233" s="24" t="n"/>
    </row>
    <row r="234" ht="114" customHeight="1">
      <c r="A234" s="67" t="inlineStr">
        <is>
          <t>The Beach House</t>
        </is>
      </c>
      <c r="B234" s="23" t="n"/>
      <c r="C234" s="23" t="n"/>
      <c r="D234" s="31" t="inlineStr">
        <is>
          <t>Opening from 11.00 - 22.30</t>
        </is>
      </c>
      <c r="E234" s="23" t="n"/>
      <c r="F234" s="23" t="n"/>
      <c r="G234" s="23" t="n"/>
      <c r="H234" s="23" t="n"/>
      <c r="I234" s="23" t="n"/>
      <c r="J234" s="24" t="n"/>
      <c r="K234" s="34" t="inlineStr">
        <is>
          <t>AvaniKids</t>
        </is>
      </c>
      <c r="L234" s="23" t="n"/>
      <c r="M234" s="23" t="n"/>
      <c r="N234" s="23" t="n"/>
      <c r="O234" s="23" t="n"/>
      <c r="P234" s="27" t="inlineStr">
        <is>
          <t>Opening from 09.00 - 20.00</t>
        </is>
      </c>
      <c r="Q234" s="23" t="n"/>
      <c r="R234" s="23" t="n"/>
      <c r="S234" s="23" t="n"/>
      <c r="T234" s="23" t="n"/>
      <c r="U234" s="23" t="n"/>
      <c r="V234" s="24" t="n"/>
    </row>
    <row r="235" ht="114" customHeight="1">
      <c r="A235" s="67" t="inlineStr">
        <is>
          <t>The Beach Bar</t>
        </is>
      </c>
      <c r="B235" s="23" t="n"/>
      <c r="C235" s="23" t="n"/>
      <c r="D235" s="31" t="inlineStr">
        <is>
          <t>Opening from 11.00 - 23.30</t>
        </is>
      </c>
      <c r="E235" s="23" t="n"/>
      <c r="F235" s="23" t="n"/>
      <c r="G235" s="23" t="n"/>
      <c r="H235" s="23" t="n"/>
      <c r="I235" s="23" t="n"/>
      <c r="J235" s="24" t="n"/>
      <c r="K235" s="34" t="inlineStr">
        <is>
          <t>Tennis Court</t>
        </is>
      </c>
      <c r="L235" s="23" t="n"/>
      <c r="M235" s="23" t="n"/>
      <c r="N235" s="23" t="n"/>
      <c r="O235" s="23" t="n"/>
      <c r="P235" s="27" t="inlineStr">
        <is>
          <t>Opening from 06.00 - 22.00</t>
        </is>
      </c>
      <c r="Q235" s="23" t="n"/>
      <c r="R235" s="23" t="n"/>
      <c r="S235" s="23" t="n"/>
      <c r="T235" s="23" t="n"/>
      <c r="U235" s="23" t="n"/>
      <c r="V235" s="24" t="n"/>
    </row>
    <row r="236" ht="99" customFormat="1" customHeight="1" s="2">
      <c r="A236" s="59" t="inlineStr">
        <is>
          <t>Room Available for Upsell</t>
        </is>
      </c>
      <c r="B236" s="23" t="n"/>
      <c r="C236" s="23" t="n"/>
      <c r="D236" s="23" t="n"/>
      <c r="E236" s="23" t="n"/>
      <c r="F236" s="24" t="n"/>
      <c r="G236" s="33" t="inlineStr">
        <is>
          <t>Room Number</t>
        </is>
      </c>
      <c r="H236" s="23" t="n"/>
      <c r="I236" s="23" t="n"/>
      <c r="J236" s="23" t="n"/>
      <c r="K236" s="23" t="n"/>
      <c r="L236" s="23" t="n"/>
      <c r="M236" s="23" t="n"/>
      <c r="N236" s="23" t="n"/>
      <c r="O236" s="24" t="n"/>
      <c r="P236" s="33" t="inlineStr">
        <is>
          <t>Available unit</t>
        </is>
      </c>
      <c r="Q236" s="23" t="n"/>
      <c r="R236" s="23" t="n"/>
      <c r="S236" s="23" t="n"/>
      <c r="T236" s="23" t="n"/>
      <c r="U236" s="23" t="n"/>
      <c r="V236" s="24" t="n"/>
    </row>
    <row r="237" ht="114" customHeight="1">
      <c r="A237" s="81" t="inlineStr">
        <is>
          <t>Suite</t>
        </is>
      </c>
      <c r="B237" s="23" t="n"/>
      <c r="C237" s="23" t="n"/>
      <c r="D237" s="23" t="n"/>
      <c r="E237" s="23" t="n"/>
      <c r="F237" s="24" t="n"/>
      <c r="G237" s="82" t="n"/>
      <c r="H237" s="23" t="n"/>
      <c r="I237" s="23" t="n"/>
      <c r="J237" s="23" t="n"/>
      <c r="K237" s="23" t="n"/>
      <c r="L237" s="23" t="n"/>
      <c r="M237" s="23" t="n"/>
      <c r="N237" s="23" t="n"/>
      <c r="O237" s="24" t="n"/>
      <c r="P237" s="22" t="n"/>
      <c r="Q237" s="23" t="n"/>
      <c r="R237" s="23" t="n"/>
      <c r="S237" s="23" t="n"/>
      <c r="T237" s="23" t="n"/>
      <c r="U237" s="23" t="n"/>
      <c r="V237" s="24" t="n"/>
    </row>
    <row r="238" ht="114" customHeight="1">
      <c r="A238" s="81" t="inlineStr">
        <is>
          <t>Pool Access</t>
        </is>
      </c>
      <c r="B238" s="23" t="n"/>
      <c r="C238" s="23" t="n"/>
      <c r="D238" s="23" t="n"/>
      <c r="E238" s="23" t="n"/>
      <c r="F238" s="24" t="n"/>
      <c r="G238" s="22" t="n"/>
      <c r="H238" s="23" t="n"/>
      <c r="I238" s="23" t="n"/>
      <c r="J238" s="23" t="n"/>
      <c r="K238" s="23" t="n"/>
      <c r="L238" s="23" t="n"/>
      <c r="M238" s="23" t="n"/>
      <c r="N238" s="23" t="n"/>
      <c r="O238" s="24" t="n"/>
      <c r="P238" s="22" t="n"/>
      <c r="Q238" s="23" t="n"/>
      <c r="R238" s="23" t="n"/>
      <c r="S238" s="23" t="n"/>
      <c r="T238" s="23" t="n"/>
      <c r="U238" s="23" t="n"/>
      <c r="V238" s="24" t="n"/>
    </row>
    <row r="239" ht="99" customFormat="1" customHeight="1" s="2">
      <c r="A239" s="59" t="inlineStr">
        <is>
          <t>ReviewPro</t>
        </is>
      </c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4" t="n"/>
    </row>
    <row r="800" ht="101.25" customHeight="1">
      <c r="A800" s="59" t="inlineStr">
        <is>
          <t>ReviewPro Comment</t>
        </is>
      </c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4" t="n"/>
    </row>
  </sheetData>
  <mergeCells count="1352">
    <mergeCell ref="N101:O101"/>
    <mergeCell ref="F16:G16"/>
    <mergeCell ref="N100:O100"/>
    <mergeCell ref="F174:G174"/>
    <mergeCell ref="N94:O94"/>
    <mergeCell ref="F168:G168"/>
    <mergeCell ref="M227:U227"/>
    <mergeCell ref="F70:G70"/>
    <mergeCell ref="N29:O29"/>
    <mergeCell ref="F96:G96"/>
    <mergeCell ref="F71:G71"/>
    <mergeCell ref="N31:O31"/>
    <mergeCell ref="N24:O24"/>
    <mergeCell ref="F98:G98"/>
    <mergeCell ref="G12:G13"/>
    <mergeCell ref="N26:O26"/>
    <mergeCell ref="U12:V13"/>
    <mergeCell ref="L107:M107"/>
    <mergeCell ref="N171:O171"/>
    <mergeCell ref="N42:O42"/>
    <mergeCell ref="P113:V113"/>
    <mergeCell ref="A192:B192"/>
    <mergeCell ref="N52:O52"/>
    <mergeCell ref="F126:G126"/>
    <mergeCell ref="D53:E53"/>
    <mergeCell ref="D47:E47"/>
    <mergeCell ref="F109:G109"/>
    <mergeCell ref="N166:O166"/>
    <mergeCell ref="N44:O44"/>
    <mergeCell ref="A194:B194"/>
    <mergeCell ref="F111:G111"/>
    <mergeCell ref="P27:V27"/>
    <mergeCell ref="D79:E79"/>
    <mergeCell ref="A34:B34"/>
    <mergeCell ref="N70:O70"/>
    <mergeCell ref="L32:M32"/>
    <mergeCell ref="D81:E81"/>
    <mergeCell ref="A36:B36"/>
    <mergeCell ref="F137:G137"/>
    <mergeCell ref="N96:O96"/>
    <mergeCell ref="A205:B205"/>
    <mergeCell ref="F164:G164"/>
    <mergeCell ref="F139:G139"/>
    <mergeCell ref="A65:B65"/>
    <mergeCell ref="P45:V45"/>
    <mergeCell ref="N98:O98"/>
    <mergeCell ref="P38:V38"/>
    <mergeCell ref="L58:M58"/>
    <mergeCell ref="P40:V40"/>
    <mergeCell ref="N123:O123"/>
    <mergeCell ref="L50:M50"/>
    <mergeCell ref="L25:M25"/>
    <mergeCell ref="L60:M60"/>
    <mergeCell ref="D117:E117"/>
    <mergeCell ref="D92:E92"/>
    <mergeCell ref="L52:M52"/>
    <mergeCell ref="N124:O124"/>
    <mergeCell ref="N118:O118"/>
    <mergeCell ref="D94:E94"/>
    <mergeCell ref="P98:V98"/>
    <mergeCell ref="F69:G69"/>
    <mergeCell ref="N126:O126"/>
    <mergeCell ref="N109:O109"/>
    <mergeCell ref="F183:G183"/>
    <mergeCell ref="F193:G193"/>
    <mergeCell ref="P93:V93"/>
    <mergeCell ref="D21:E21"/>
    <mergeCell ref="L78:M78"/>
    <mergeCell ref="L71:M71"/>
    <mergeCell ref="D145:E145"/>
    <mergeCell ref="D16:E16"/>
    <mergeCell ref="L73:M73"/>
    <mergeCell ref="D147:E147"/>
    <mergeCell ref="F209:G209"/>
    <mergeCell ref="F7:G8"/>
    <mergeCell ref="D18:E18"/>
    <mergeCell ref="N162:O162"/>
    <mergeCell ref="N137:O137"/>
    <mergeCell ref="F211:G211"/>
    <mergeCell ref="P111:V111"/>
    <mergeCell ref="F82:G82"/>
    <mergeCell ref="G237:O237"/>
    <mergeCell ref="D235:J235"/>
    <mergeCell ref="F206:G206"/>
    <mergeCell ref="P112:V112"/>
    <mergeCell ref="N188:O188"/>
    <mergeCell ref="N66:O66"/>
    <mergeCell ref="D158:E158"/>
    <mergeCell ref="D77:E77"/>
    <mergeCell ref="F133:G133"/>
    <mergeCell ref="N68:O68"/>
    <mergeCell ref="D160:E160"/>
    <mergeCell ref="P139:V139"/>
    <mergeCell ref="N61:O61"/>
    <mergeCell ref="F135:G135"/>
    <mergeCell ref="D72:E72"/>
    <mergeCell ref="P34:V34"/>
    <mergeCell ref="L144:M144"/>
    <mergeCell ref="P36:V36"/>
    <mergeCell ref="L21:M21"/>
    <mergeCell ref="N208:O208"/>
    <mergeCell ref="L173:M173"/>
    <mergeCell ref="D88:E88"/>
    <mergeCell ref="L145:M145"/>
    <mergeCell ref="S4:T4"/>
    <mergeCell ref="N201:O201"/>
    <mergeCell ref="L16:M16"/>
    <mergeCell ref="D90:E90"/>
    <mergeCell ref="A45:B45"/>
    <mergeCell ref="F146:G146"/>
    <mergeCell ref="L174:M174"/>
    <mergeCell ref="N203:O203"/>
    <mergeCell ref="A236:F236"/>
    <mergeCell ref="P183:V183"/>
    <mergeCell ref="N122:O122"/>
    <mergeCell ref="P62:V62"/>
    <mergeCell ref="A46:B46"/>
    <mergeCell ref="P64:V64"/>
    <mergeCell ref="A105:B105"/>
    <mergeCell ref="L163:M163"/>
    <mergeCell ref="A71:B71"/>
    <mergeCell ref="A227:D227"/>
    <mergeCell ref="L69:M69"/>
    <mergeCell ref="L44:M44"/>
    <mergeCell ref="D118:E118"/>
    <mergeCell ref="A100:B100"/>
    <mergeCell ref="L158:M158"/>
    <mergeCell ref="P238:V238"/>
    <mergeCell ref="N133:O133"/>
    <mergeCell ref="F207:G207"/>
    <mergeCell ref="A102:B102"/>
    <mergeCell ref="P204:V204"/>
    <mergeCell ref="P82:V82"/>
    <mergeCell ref="N135:O135"/>
    <mergeCell ref="P75:V75"/>
    <mergeCell ref="F202:G202"/>
    <mergeCell ref="N164:O164"/>
    <mergeCell ref="P110:V110"/>
    <mergeCell ref="L89:M89"/>
    <mergeCell ref="N189:O189"/>
    <mergeCell ref="A120:B120"/>
    <mergeCell ref="L126:M126"/>
    <mergeCell ref="L88:M88"/>
    <mergeCell ref="D162:E162"/>
    <mergeCell ref="D156:E156"/>
    <mergeCell ref="A113:B113"/>
    <mergeCell ref="A32:B32"/>
    <mergeCell ref="N146:O146"/>
    <mergeCell ref="L113:M113"/>
    <mergeCell ref="D157:E157"/>
    <mergeCell ref="P136:V136"/>
    <mergeCell ref="J5:J6"/>
    <mergeCell ref="L115:M115"/>
    <mergeCell ref="L108:M108"/>
    <mergeCell ref="D182:E182"/>
    <mergeCell ref="D190:E190"/>
    <mergeCell ref="D183:E183"/>
    <mergeCell ref="A16:B16"/>
    <mergeCell ref="A174:B174"/>
    <mergeCell ref="D185:E185"/>
    <mergeCell ref="A18:B18"/>
    <mergeCell ref="P25:V25"/>
    <mergeCell ref="P60:V60"/>
    <mergeCell ref="A47:B47"/>
    <mergeCell ref="P149:V149"/>
    <mergeCell ref="P151:V151"/>
    <mergeCell ref="D201:E201"/>
    <mergeCell ref="L188:M188"/>
    <mergeCell ref="A44:B44"/>
    <mergeCell ref="L154:M154"/>
    <mergeCell ref="F172:G172"/>
    <mergeCell ref="A98:B98"/>
    <mergeCell ref="A73:B73"/>
    <mergeCell ref="P71:V71"/>
    <mergeCell ref="P202:V202"/>
    <mergeCell ref="F173:G173"/>
    <mergeCell ref="P79:V79"/>
    <mergeCell ref="P73:V73"/>
    <mergeCell ref="L180:M180"/>
    <mergeCell ref="P231:V231"/>
    <mergeCell ref="E227:J227"/>
    <mergeCell ref="D125:E125"/>
    <mergeCell ref="L209:M209"/>
    <mergeCell ref="L122:M122"/>
    <mergeCell ref="D127:E127"/>
    <mergeCell ref="A126:B126"/>
    <mergeCell ref="L211:M211"/>
    <mergeCell ref="A109:B109"/>
    <mergeCell ref="F43:G43"/>
    <mergeCell ref="P220:V220"/>
    <mergeCell ref="A117:B117"/>
    <mergeCell ref="A111:B111"/>
    <mergeCell ref="P215:V215"/>
    <mergeCell ref="A142:B142"/>
    <mergeCell ref="L140:M140"/>
    <mergeCell ref="L106:M106"/>
    <mergeCell ref="A137:B137"/>
    <mergeCell ref="F33:G33"/>
    <mergeCell ref="L141:M141"/>
    <mergeCell ref="N170:O170"/>
    <mergeCell ref="A145:B145"/>
    <mergeCell ref="A139:B139"/>
    <mergeCell ref="F62:G62"/>
    <mergeCell ref="D181:E181"/>
    <mergeCell ref="N172:O172"/>
    <mergeCell ref="J12:J13"/>
    <mergeCell ref="N199:O199"/>
    <mergeCell ref="F28:G28"/>
    <mergeCell ref="P147:V147"/>
    <mergeCell ref="L125:M125"/>
    <mergeCell ref="D199:E199"/>
    <mergeCell ref="N41:O41"/>
    <mergeCell ref="A69:B69"/>
    <mergeCell ref="A183:B183"/>
    <mergeCell ref="N43:O43"/>
    <mergeCell ref="A193:B193"/>
    <mergeCell ref="D194:E194"/>
    <mergeCell ref="P173:V173"/>
    <mergeCell ref="F110:G110"/>
    <mergeCell ref="O4:P4"/>
    <mergeCell ref="P44:V44"/>
    <mergeCell ref="P158:V158"/>
    <mergeCell ref="F141:G141"/>
    <mergeCell ref="N59:O59"/>
    <mergeCell ref="A209:B209"/>
    <mergeCell ref="L207:M207"/>
    <mergeCell ref="K230:O230"/>
    <mergeCell ref="A211:B211"/>
    <mergeCell ref="D3:G3"/>
    <mergeCell ref="A82:B82"/>
    <mergeCell ref="P184:V184"/>
    <mergeCell ref="K226:L226"/>
    <mergeCell ref="I12:I13"/>
    <mergeCell ref="L51:M51"/>
    <mergeCell ref="A141:B141"/>
    <mergeCell ref="A135:B135"/>
    <mergeCell ref="F58:G58"/>
    <mergeCell ref="A232:C232"/>
    <mergeCell ref="F52:G52"/>
    <mergeCell ref="F60:G60"/>
    <mergeCell ref="P116:V116"/>
    <mergeCell ref="F53:G53"/>
    <mergeCell ref="D20:E20"/>
    <mergeCell ref="D22:E22"/>
    <mergeCell ref="F84:G84"/>
    <mergeCell ref="F86:G86"/>
    <mergeCell ref="F80:G80"/>
    <mergeCell ref="F79:G79"/>
    <mergeCell ref="N39:O39"/>
    <mergeCell ref="A154:B154"/>
    <mergeCell ref="F81:G81"/>
    <mergeCell ref="D33:E33"/>
    <mergeCell ref="D164:E164"/>
    <mergeCell ref="N65:O65"/>
    <mergeCell ref="D35:E35"/>
    <mergeCell ref="D34:E34"/>
    <mergeCell ref="A182:B182"/>
    <mergeCell ref="F63:G63"/>
    <mergeCell ref="N50:O50"/>
    <mergeCell ref="N25:O25"/>
    <mergeCell ref="F99:G99"/>
    <mergeCell ref="A177:B177"/>
    <mergeCell ref="F94:G94"/>
    <mergeCell ref="D175:E175"/>
    <mergeCell ref="L20:M20"/>
    <mergeCell ref="L196:M196"/>
    <mergeCell ref="F150:G150"/>
    <mergeCell ref="L22:M22"/>
    <mergeCell ref="N84:O84"/>
    <mergeCell ref="N78:O78"/>
    <mergeCell ref="F152:G152"/>
    <mergeCell ref="D234:J234"/>
    <mergeCell ref="L191:M191"/>
    <mergeCell ref="A228:C228"/>
    <mergeCell ref="N80:O80"/>
    <mergeCell ref="F147:G147"/>
    <mergeCell ref="P53:V53"/>
    <mergeCell ref="D105:E105"/>
    <mergeCell ref="L33:M33"/>
    <mergeCell ref="D107:E107"/>
    <mergeCell ref="F163:G163"/>
    <mergeCell ref="L35:M35"/>
    <mergeCell ref="F165:G165"/>
    <mergeCell ref="D102:E102"/>
    <mergeCell ref="P81:V81"/>
    <mergeCell ref="F77:G77"/>
    <mergeCell ref="F166:G166"/>
    <mergeCell ref="D133:E133"/>
    <mergeCell ref="L86:M86"/>
    <mergeCell ref="F191:G191"/>
    <mergeCell ref="F12:F13"/>
    <mergeCell ref="N150:O150"/>
    <mergeCell ref="F59:G59"/>
    <mergeCell ref="N21:O21"/>
    <mergeCell ref="F95:G95"/>
    <mergeCell ref="N152:O152"/>
    <mergeCell ref="U11:V11"/>
    <mergeCell ref="D32:E32"/>
    <mergeCell ref="N23:O23"/>
    <mergeCell ref="F97:G97"/>
    <mergeCell ref="N181:O181"/>
    <mergeCell ref="L104:M104"/>
    <mergeCell ref="F90:G90"/>
    <mergeCell ref="N147:O147"/>
    <mergeCell ref="A20:B20"/>
    <mergeCell ref="L105:M105"/>
    <mergeCell ref="D42:E42"/>
    <mergeCell ref="L99:M99"/>
    <mergeCell ref="D173:E173"/>
    <mergeCell ref="N74:O74"/>
    <mergeCell ref="N49:O49"/>
    <mergeCell ref="F123:G123"/>
    <mergeCell ref="D50:E50"/>
    <mergeCell ref="D44:E44"/>
    <mergeCell ref="N163:O163"/>
    <mergeCell ref="D60:E60"/>
    <mergeCell ref="A15:B15"/>
    <mergeCell ref="F116:G116"/>
    <mergeCell ref="N76:O76"/>
    <mergeCell ref="A191:B191"/>
    <mergeCell ref="D174:E174"/>
    <mergeCell ref="A51:B51"/>
    <mergeCell ref="F108:G108"/>
    <mergeCell ref="F143:G143"/>
    <mergeCell ref="F118:G118"/>
    <mergeCell ref="D45:E45"/>
    <mergeCell ref="P24:V24"/>
    <mergeCell ref="N77:O77"/>
    <mergeCell ref="P26:V26"/>
    <mergeCell ref="D70:E70"/>
    <mergeCell ref="L29:M29"/>
    <mergeCell ref="D78:E78"/>
    <mergeCell ref="A33:B33"/>
    <mergeCell ref="F134:G134"/>
    <mergeCell ref="D71:E71"/>
    <mergeCell ref="L31:M31"/>
    <mergeCell ref="N87:O87"/>
    <mergeCell ref="A35:B35"/>
    <mergeCell ref="A62:B62"/>
    <mergeCell ref="D98:E98"/>
    <mergeCell ref="D73:E73"/>
    <mergeCell ref="P77:V77"/>
    <mergeCell ref="A28:B28"/>
    <mergeCell ref="N89:O89"/>
    <mergeCell ref="P166:V166"/>
    <mergeCell ref="F162:G162"/>
    <mergeCell ref="A30:B30"/>
    <mergeCell ref="P37:V37"/>
    <mergeCell ref="A59:B59"/>
    <mergeCell ref="P168:V168"/>
    <mergeCell ref="O12:P13"/>
    <mergeCell ref="L57:M57"/>
    <mergeCell ref="A61:B61"/>
    <mergeCell ref="D124:E124"/>
    <mergeCell ref="N121:O121"/>
    <mergeCell ref="N115:O115"/>
    <mergeCell ref="L42:M42"/>
    <mergeCell ref="F189:G189"/>
    <mergeCell ref="D126:E126"/>
    <mergeCell ref="F188:G188"/>
    <mergeCell ref="F66:G66"/>
    <mergeCell ref="N116:O116"/>
    <mergeCell ref="F190:G190"/>
    <mergeCell ref="P96:V96"/>
    <mergeCell ref="P90:V90"/>
    <mergeCell ref="F61:G61"/>
    <mergeCell ref="D142:E142"/>
    <mergeCell ref="L224:O224"/>
    <mergeCell ref="P91:V91"/>
    <mergeCell ref="L70:M70"/>
    <mergeCell ref="A143:B143"/>
    <mergeCell ref="D144:E144"/>
    <mergeCell ref="H3:K3"/>
    <mergeCell ref="L103:M103"/>
    <mergeCell ref="N134:O134"/>
    <mergeCell ref="F208:G208"/>
    <mergeCell ref="P108:V108"/>
    <mergeCell ref="D139:E139"/>
    <mergeCell ref="F201:G201"/>
    <mergeCell ref="N161:O161"/>
    <mergeCell ref="P118:V118"/>
    <mergeCell ref="F114:G114"/>
    <mergeCell ref="F203:G203"/>
    <mergeCell ref="P109:V109"/>
    <mergeCell ref="L157:M157"/>
    <mergeCell ref="L129:M129"/>
    <mergeCell ref="L123:M123"/>
    <mergeCell ref="N187:O187"/>
    <mergeCell ref="L152:M152"/>
    <mergeCell ref="J9:J11"/>
    <mergeCell ref="A156:B156"/>
    <mergeCell ref="D67:E67"/>
    <mergeCell ref="L124:M124"/>
    <mergeCell ref="D69:E69"/>
    <mergeCell ref="A24:B24"/>
    <mergeCell ref="A60:B60"/>
    <mergeCell ref="P162:V162"/>
    <mergeCell ref="F127:G127"/>
    <mergeCell ref="P33:V33"/>
    <mergeCell ref="P164:V164"/>
    <mergeCell ref="P35:V35"/>
    <mergeCell ref="A84:B84"/>
    <mergeCell ref="L142:M142"/>
    <mergeCell ref="D210:E210"/>
    <mergeCell ref="L172:M172"/>
    <mergeCell ref="L55:M55"/>
    <mergeCell ref="A50:B50"/>
    <mergeCell ref="A5:A6"/>
    <mergeCell ref="D209:E209"/>
    <mergeCell ref="D87:E87"/>
    <mergeCell ref="P188:V188"/>
    <mergeCell ref="A86:B86"/>
    <mergeCell ref="L171:M171"/>
    <mergeCell ref="D122:E122"/>
    <mergeCell ref="N119:O119"/>
    <mergeCell ref="P59:V59"/>
    <mergeCell ref="D211:E211"/>
    <mergeCell ref="P190:V190"/>
    <mergeCell ref="F186:G186"/>
    <mergeCell ref="A81:B81"/>
    <mergeCell ref="D82:E82"/>
    <mergeCell ref="L139:M139"/>
    <mergeCell ref="P61:V61"/>
    <mergeCell ref="F5:G6"/>
    <mergeCell ref="N114:O114"/>
    <mergeCell ref="F29:G29"/>
    <mergeCell ref="A224:D224"/>
    <mergeCell ref="L12:L13"/>
    <mergeCell ref="L66:M66"/>
    <mergeCell ref="A70:B70"/>
    <mergeCell ref="L222:O222"/>
    <mergeCell ref="D108:E108"/>
    <mergeCell ref="L68:M68"/>
    <mergeCell ref="N130:O130"/>
    <mergeCell ref="A99:B99"/>
    <mergeCell ref="P201:V201"/>
    <mergeCell ref="D141:E141"/>
    <mergeCell ref="D135:E135"/>
    <mergeCell ref="P114:V114"/>
    <mergeCell ref="A101:B101"/>
    <mergeCell ref="P203:V203"/>
    <mergeCell ref="F199:G199"/>
    <mergeCell ref="Q11:R11"/>
    <mergeCell ref="D4:G4"/>
    <mergeCell ref="P102:V102"/>
    <mergeCell ref="N212:O212"/>
    <mergeCell ref="P133:V133"/>
    <mergeCell ref="N214:O214"/>
    <mergeCell ref="P127:V127"/>
    <mergeCell ref="P135:V135"/>
    <mergeCell ref="D179:E179"/>
    <mergeCell ref="A26:B26"/>
    <mergeCell ref="P128:V128"/>
    <mergeCell ref="D180:E180"/>
    <mergeCell ref="L167:M167"/>
    <mergeCell ref="A171:B171"/>
    <mergeCell ref="A165:B165"/>
    <mergeCell ref="P186:V186"/>
    <mergeCell ref="L169:M169"/>
    <mergeCell ref="A173:B173"/>
    <mergeCell ref="A77:B77"/>
    <mergeCell ref="A166:B166"/>
    <mergeCell ref="P146:V146"/>
    <mergeCell ref="P181:V181"/>
    <mergeCell ref="K231:O231"/>
    <mergeCell ref="A168:B168"/>
    <mergeCell ref="D52:E52"/>
    <mergeCell ref="A12:A13"/>
    <mergeCell ref="L195:M195"/>
    <mergeCell ref="K9:K11"/>
    <mergeCell ref="L197:M197"/>
    <mergeCell ref="L153:M153"/>
    <mergeCell ref="D233:J233"/>
    <mergeCell ref="D106:E106"/>
    <mergeCell ref="F22:G22"/>
    <mergeCell ref="P199:V199"/>
    <mergeCell ref="B12:C13"/>
    <mergeCell ref="A96:B96"/>
    <mergeCell ref="H5:H6"/>
    <mergeCell ref="P228:V228"/>
    <mergeCell ref="P200:V200"/>
    <mergeCell ref="L179:M179"/>
    <mergeCell ref="N95:O95"/>
    <mergeCell ref="A123:B123"/>
    <mergeCell ref="L208:M208"/>
    <mergeCell ref="F40:G40"/>
    <mergeCell ref="N97:O97"/>
    <mergeCell ref="L210:M210"/>
    <mergeCell ref="A108:B108"/>
    <mergeCell ref="N185:O185"/>
    <mergeCell ref="A118:B118"/>
    <mergeCell ref="F41:G41"/>
    <mergeCell ref="F35:G35"/>
    <mergeCell ref="J1:K2"/>
    <mergeCell ref="P124:V124"/>
    <mergeCell ref="A134:B134"/>
    <mergeCell ref="P126:V126"/>
    <mergeCell ref="N27:O27"/>
    <mergeCell ref="D178:E178"/>
    <mergeCell ref="D172:E172"/>
    <mergeCell ref="N20:O20"/>
    <mergeCell ref="F25:G25"/>
    <mergeCell ref="A162:B162"/>
    <mergeCell ref="N22:O22"/>
    <mergeCell ref="A164:B164"/>
    <mergeCell ref="D48:E48"/>
    <mergeCell ref="N167:O167"/>
    <mergeCell ref="A195:B195"/>
    <mergeCell ref="N38:O38"/>
    <mergeCell ref="L193:M193"/>
    <mergeCell ref="A188:B188"/>
    <mergeCell ref="F105:G105"/>
    <mergeCell ref="N40:O40"/>
    <mergeCell ref="A190:B190"/>
    <mergeCell ref="A68:B68"/>
    <mergeCell ref="D51:E51"/>
    <mergeCell ref="F107:G107"/>
    <mergeCell ref="P172:V172"/>
    <mergeCell ref="N35:O35"/>
    <mergeCell ref="P165:V165"/>
    <mergeCell ref="L204:M204"/>
    <mergeCell ref="E223:K223"/>
    <mergeCell ref="B5:C6"/>
    <mergeCell ref="N93:O93"/>
    <mergeCell ref="A208:B208"/>
    <mergeCell ref="L206:M206"/>
    <mergeCell ref="A210:B210"/>
    <mergeCell ref="P41:V41"/>
    <mergeCell ref="H12:H13"/>
    <mergeCell ref="F31:G31"/>
    <mergeCell ref="A203:B203"/>
    <mergeCell ref="F39:G39"/>
    <mergeCell ref="L46:M46"/>
    <mergeCell ref="D89:E89"/>
    <mergeCell ref="P209:V209"/>
    <mergeCell ref="F64:G64"/>
    <mergeCell ref="L48:M48"/>
    <mergeCell ref="N104:O104"/>
    <mergeCell ref="F178:G178"/>
    <mergeCell ref="S9:T10"/>
    <mergeCell ref="P234:V234"/>
    <mergeCell ref="A131:V131"/>
    <mergeCell ref="N112:O112"/>
    <mergeCell ref="N106:O106"/>
    <mergeCell ref="F21:G21"/>
    <mergeCell ref="L43:M43"/>
    <mergeCell ref="N105:O105"/>
    <mergeCell ref="A229:C230"/>
    <mergeCell ref="M11:N11"/>
    <mergeCell ref="P236:V236"/>
    <mergeCell ref="P54:V54"/>
    <mergeCell ref="A133:B133"/>
    <mergeCell ref="F50:G50"/>
    <mergeCell ref="N107:O107"/>
    <mergeCell ref="D17:E17"/>
    <mergeCell ref="F181:G181"/>
    <mergeCell ref="L74:M74"/>
    <mergeCell ref="P237:V237"/>
    <mergeCell ref="L76:M76"/>
    <mergeCell ref="N132:O132"/>
    <mergeCell ref="D143:E143"/>
    <mergeCell ref="F49:G49"/>
    <mergeCell ref="F78:G78"/>
    <mergeCell ref="D159:E159"/>
    <mergeCell ref="A146:B146"/>
    <mergeCell ref="D231:J231"/>
    <mergeCell ref="L87:M87"/>
    <mergeCell ref="N62:O62"/>
    <mergeCell ref="D154:E154"/>
    <mergeCell ref="N176:O176"/>
    <mergeCell ref="F129:G129"/>
    <mergeCell ref="N64:O64"/>
    <mergeCell ref="Q12:R13"/>
    <mergeCell ref="N57:O57"/>
    <mergeCell ref="D58:E58"/>
    <mergeCell ref="A3:C4"/>
    <mergeCell ref="L1:N2"/>
    <mergeCell ref="A199:B199"/>
    <mergeCell ref="P39:V39"/>
    <mergeCell ref="P32:V32"/>
    <mergeCell ref="L17:M17"/>
    <mergeCell ref="N204:O204"/>
    <mergeCell ref="A14:V14"/>
    <mergeCell ref="D84:E84"/>
    <mergeCell ref="L19:M19"/>
    <mergeCell ref="N75:O75"/>
    <mergeCell ref="D86:E86"/>
    <mergeCell ref="A41:B41"/>
    <mergeCell ref="F142:G142"/>
    <mergeCell ref="A226:D226"/>
    <mergeCell ref="L39:M39"/>
    <mergeCell ref="F144:G144"/>
    <mergeCell ref="P50:V50"/>
    <mergeCell ref="N103:O103"/>
    <mergeCell ref="V7:V8"/>
    <mergeCell ref="P174:V174"/>
    <mergeCell ref="P52:V52"/>
    <mergeCell ref="L159:M159"/>
    <mergeCell ref="L72:M72"/>
    <mergeCell ref="A223:D223"/>
    <mergeCell ref="L65:M65"/>
    <mergeCell ref="N129:O129"/>
    <mergeCell ref="D99:E99"/>
    <mergeCell ref="P78:V78"/>
    <mergeCell ref="F74:G74"/>
    <mergeCell ref="D101:E101"/>
    <mergeCell ref="P223:Q223"/>
    <mergeCell ref="F76:G76"/>
    <mergeCell ref="L83:M83"/>
    <mergeCell ref="L85:M85"/>
    <mergeCell ref="A116:B116"/>
    <mergeCell ref="L84:M84"/>
    <mergeCell ref="D152:E152"/>
    <mergeCell ref="N149:O149"/>
    <mergeCell ref="D29:E29"/>
    <mergeCell ref="D23:E23"/>
    <mergeCell ref="L80:M80"/>
    <mergeCell ref="N142:O142"/>
    <mergeCell ref="N55:O55"/>
    <mergeCell ref="F87:G87"/>
    <mergeCell ref="N144:O144"/>
    <mergeCell ref="F89:G89"/>
    <mergeCell ref="D170:E170"/>
    <mergeCell ref="D49:E49"/>
    <mergeCell ref="D163:E163"/>
    <mergeCell ref="D171:E171"/>
    <mergeCell ref="F115:G115"/>
    <mergeCell ref="P21:V21"/>
    <mergeCell ref="D196:E196"/>
    <mergeCell ref="A43:B43"/>
    <mergeCell ref="P145:V145"/>
    <mergeCell ref="P23:V23"/>
    <mergeCell ref="L155:M155"/>
    <mergeCell ref="P16:V16"/>
    <mergeCell ref="V5:V6"/>
    <mergeCell ref="D191:E191"/>
    <mergeCell ref="S1:U2"/>
    <mergeCell ref="P43:V43"/>
    <mergeCell ref="P18:V18"/>
    <mergeCell ref="L150:M150"/>
    <mergeCell ref="L186:M186"/>
    <mergeCell ref="E226:J226"/>
    <mergeCell ref="D95:E95"/>
    <mergeCell ref="P74:V74"/>
    <mergeCell ref="A25:B25"/>
    <mergeCell ref="S11:T11"/>
    <mergeCell ref="P163:V163"/>
    <mergeCell ref="L23:M23"/>
    <mergeCell ref="D97:E97"/>
    <mergeCell ref="F159:G159"/>
    <mergeCell ref="P76:V76"/>
    <mergeCell ref="O9:P10"/>
    <mergeCell ref="P69:V69"/>
    <mergeCell ref="L54:M54"/>
    <mergeCell ref="F184:G184"/>
    <mergeCell ref="L212:M212"/>
    <mergeCell ref="D121:E121"/>
    <mergeCell ref="L56:M56"/>
    <mergeCell ref="A112:B112"/>
    <mergeCell ref="L49:M49"/>
    <mergeCell ref="D123:E123"/>
    <mergeCell ref="F179:G179"/>
    <mergeCell ref="A114:B114"/>
    <mergeCell ref="K227:L227"/>
    <mergeCell ref="N138:O138"/>
    <mergeCell ref="N113:O113"/>
    <mergeCell ref="F187:G187"/>
    <mergeCell ref="A107:B107"/>
    <mergeCell ref="P87:V87"/>
    <mergeCell ref="N140:O140"/>
    <mergeCell ref="P211:V211"/>
    <mergeCell ref="P89:V89"/>
    <mergeCell ref="N169:O169"/>
    <mergeCell ref="P88:V88"/>
    <mergeCell ref="L136:M136"/>
    <mergeCell ref="L102:M102"/>
    <mergeCell ref="N200:O200"/>
    <mergeCell ref="D134:E134"/>
    <mergeCell ref="F23:G23"/>
    <mergeCell ref="N202:O202"/>
    <mergeCell ref="P115:V115"/>
    <mergeCell ref="P229:V229"/>
    <mergeCell ref="N168:O168"/>
    <mergeCell ref="N195:O195"/>
    <mergeCell ref="P224:Q224"/>
    <mergeCell ref="A39:B39"/>
    <mergeCell ref="P141:V141"/>
    <mergeCell ref="N197:O197"/>
    <mergeCell ref="N153:O153"/>
    <mergeCell ref="L120:M120"/>
    <mergeCell ref="P230:V230"/>
    <mergeCell ref="M12:N13"/>
    <mergeCell ref="P143:V143"/>
    <mergeCell ref="N184:O184"/>
    <mergeCell ref="A153:B153"/>
    <mergeCell ref="L121:M121"/>
    <mergeCell ref="D195:E195"/>
    <mergeCell ref="D189:E189"/>
    <mergeCell ref="L151:M151"/>
    <mergeCell ref="F42:G42"/>
    <mergeCell ref="D12:D13"/>
    <mergeCell ref="D66:E66"/>
    <mergeCell ref="D197:E197"/>
    <mergeCell ref="N179:O179"/>
    <mergeCell ref="P159:V159"/>
    <mergeCell ref="N215:O215"/>
    <mergeCell ref="A181:B181"/>
    <mergeCell ref="P161:V161"/>
    <mergeCell ref="A52:B52"/>
    <mergeCell ref="P154:V154"/>
    <mergeCell ref="N210:O210"/>
    <mergeCell ref="P156:V156"/>
    <mergeCell ref="K233:O233"/>
    <mergeCell ref="A83:B83"/>
    <mergeCell ref="A49:B49"/>
    <mergeCell ref="L134:M134"/>
    <mergeCell ref="R7:R8"/>
    <mergeCell ref="A207:B207"/>
    <mergeCell ref="D208:E208"/>
    <mergeCell ref="F124:G124"/>
    <mergeCell ref="L47:M47"/>
    <mergeCell ref="K228:O228"/>
    <mergeCell ref="A78:B78"/>
    <mergeCell ref="P180:V180"/>
    <mergeCell ref="A80:B80"/>
    <mergeCell ref="P182:V182"/>
    <mergeCell ref="L9:L10"/>
    <mergeCell ref="A216:V216"/>
    <mergeCell ref="H9:H11"/>
    <mergeCell ref="M226:U226"/>
    <mergeCell ref="N193:O193"/>
    <mergeCell ref="P106:V106"/>
    <mergeCell ref="A124:B124"/>
    <mergeCell ref="L205:M205"/>
    <mergeCell ref="F51:G51"/>
    <mergeCell ref="A149:B149"/>
    <mergeCell ref="L117:M117"/>
    <mergeCell ref="F38:G38"/>
    <mergeCell ref="A151:B151"/>
    <mergeCell ref="L119:M119"/>
    <mergeCell ref="A220:O220"/>
    <mergeCell ref="A150:B150"/>
    <mergeCell ref="P130:V130"/>
    <mergeCell ref="A144:B144"/>
    <mergeCell ref="F67:G67"/>
    <mergeCell ref="L148:M148"/>
    <mergeCell ref="N177:O177"/>
    <mergeCell ref="A152:B152"/>
    <mergeCell ref="N206:O206"/>
    <mergeCell ref="P125:V125"/>
    <mergeCell ref="D31:E31"/>
    <mergeCell ref="N53:O53"/>
    <mergeCell ref="L130:M130"/>
    <mergeCell ref="L166:M166"/>
    <mergeCell ref="A172:B172"/>
    <mergeCell ref="N46:O46"/>
    <mergeCell ref="A74:B74"/>
    <mergeCell ref="P176:V176"/>
    <mergeCell ref="L132:M132"/>
    <mergeCell ref="N48:O48"/>
    <mergeCell ref="A163:B163"/>
    <mergeCell ref="F122:G122"/>
    <mergeCell ref="U9:V10"/>
    <mergeCell ref="A76:B76"/>
    <mergeCell ref="P178:V178"/>
    <mergeCell ref="L161:M161"/>
    <mergeCell ref="P214:V214"/>
    <mergeCell ref="P49:V49"/>
    <mergeCell ref="L192:M192"/>
    <mergeCell ref="O11:P11"/>
    <mergeCell ref="L194:M194"/>
    <mergeCell ref="F148:G148"/>
    <mergeCell ref="D230:J230"/>
    <mergeCell ref="L160:M160"/>
    <mergeCell ref="L187:M187"/>
    <mergeCell ref="F19:G19"/>
    <mergeCell ref="P196:V196"/>
    <mergeCell ref="D232:J232"/>
    <mergeCell ref="B9:C10"/>
    <mergeCell ref="L214:M214"/>
    <mergeCell ref="L189:M189"/>
    <mergeCell ref="A87:B87"/>
    <mergeCell ref="P198:V198"/>
    <mergeCell ref="F20:G20"/>
    <mergeCell ref="A89:B89"/>
    <mergeCell ref="P191:V191"/>
    <mergeCell ref="P51:V51"/>
    <mergeCell ref="L30:M30"/>
    <mergeCell ref="N92:O92"/>
    <mergeCell ref="A225:V225"/>
    <mergeCell ref="D103:E103"/>
    <mergeCell ref="E224:K224"/>
    <mergeCell ref="F167:G167"/>
    <mergeCell ref="F161:G161"/>
    <mergeCell ref="P67:V67"/>
    <mergeCell ref="A115:B115"/>
    <mergeCell ref="D27:E27"/>
    <mergeCell ref="N18:O18"/>
    <mergeCell ref="D116:E116"/>
    <mergeCell ref="N17:O17"/>
    <mergeCell ref="F91:G91"/>
    <mergeCell ref="N148:O148"/>
    <mergeCell ref="F180:G180"/>
    <mergeCell ref="N19:O19"/>
    <mergeCell ref="F93:G93"/>
    <mergeCell ref="L100:M100"/>
    <mergeCell ref="R5:R6"/>
    <mergeCell ref="L95:M95"/>
    <mergeCell ref="N160:O160"/>
    <mergeCell ref="D46:E46"/>
    <mergeCell ref="D40:E40"/>
    <mergeCell ref="L97:M97"/>
    <mergeCell ref="N159:O159"/>
    <mergeCell ref="N37:O37"/>
    <mergeCell ref="L183:M183"/>
    <mergeCell ref="N72:O72"/>
    <mergeCell ref="A187:B187"/>
    <mergeCell ref="D228:J228"/>
    <mergeCell ref="F104:G104"/>
    <mergeCell ref="L185:M185"/>
    <mergeCell ref="D41:E41"/>
    <mergeCell ref="A189:B189"/>
    <mergeCell ref="P20:V20"/>
    <mergeCell ref="F106:G106"/>
    <mergeCell ref="D43:E43"/>
    <mergeCell ref="P22:V22"/>
    <mergeCell ref="H1:I2"/>
    <mergeCell ref="N88:O88"/>
    <mergeCell ref="D74:E74"/>
    <mergeCell ref="A29:B29"/>
    <mergeCell ref="D68:E68"/>
    <mergeCell ref="N90:O90"/>
    <mergeCell ref="F130:G130"/>
    <mergeCell ref="D188:E188"/>
    <mergeCell ref="K234:O234"/>
    <mergeCell ref="L27:M27"/>
    <mergeCell ref="N83:O83"/>
    <mergeCell ref="E222:K222"/>
    <mergeCell ref="F157:G157"/>
    <mergeCell ref="A31:B31"/>
    <mergeCell ref="D59:E59"/>
    <mergeCell ref="A58:B58"/>
    <mergeCell ref="F132:G132"/>
    <mergeCell ref="A233:C233"/>
    <mergeCell ref="N91:O91"/>
    <mergeCell ref="N85:O85"/>
    <mergeCell ref="A238:F238"/>
    <mergeCell ref="L198:M198"/>
    <mergeCell ref="A235:C235"/>
    <mergeCell ref="P58:V58"/>
    <mergeCell ref="L45:M45"/>
    <mergeCell ref="N111:O111"/>
    <mergeCell ref="L38:M38"/>
    <mergeCell ref="F185:G185"/>
    <mergeCell ref="D112:E112"/>
    <mergeCell ref="A42:B42"/>
    <mergeCell ref="F56:G56"/>
    <mergeCell ref="L40:M40"/>
    <mergeCell ref="D114:E114"/>
    <mergeCell ref="F176:G176"/>
    <mergeCell ref="F170:G170"/>
    <mergeCell ref="N15:O15"/>
    <mergeCell ref="P86:V86"/>
    <mergeCell ref="D1:G2"/>
    <mergeCell ref="F57:G57"/>
    <mergeCell ref="F171:G171"/>
    <mergeCell ref="D138:E138"/>
    <mergeCell ref="L98:M98"/>
    <mergeCell ref="D140:E140"/>
    <mergeCell ref="L93:M93"/>
    <mergeCell ref="N155:O155"/>
    <mergeCell ref="F204:G204"/>
    <mergeCell ref="F198:G198"/>
    <mergeCell ref="P104:V104"/>
    <mergeCell ref="F75:G75"/>
    <mergeCell ref="N157:O157"/>
    <mergeCell ref="N28:O28"/>
    <mergeCell ref="N186:O186"/>
    <mergeCell ref="P105:V105"/>
    <mergeCell ref="P99:V99"/>
    <mergeCell ref="G238:O238"/>
    <mergeCell ref="D39:E39"/>
    <mergeCell ref="N30:O30"/>
    <mergeCell ref="P107:V107"/>
    <mergeCell ref="P101:V101"/>
    <mergeCell ref="L111:M111"/>
    <mergeCell ref="N7:N8"/>
    <mergeCell ref="N183:O183"/>
    <mergeCell ref="D153:E153"/>
    <mergeCell ref="N175:O175"/>
    <mergeCell ref="Q9:R10"/>
    <mergeCell ref="N54:O54"/>
    <mergeCell ref="F128:G128"/>
    <mergeCell ref="L112:M112"/>
    <mergeCell ref="D186:E186"/>
    <mergeCell ref="D65:E65"/>
    <mergeCell ref="N56:O56"/>
    <mergeCell ref="P29:V29"/>
    <mergeCell ref="P31:V31"/>
    <mergeCell ref="L138:M138"/>
    <mergeCell ref="D212:E212"/>
    <mergeCell ref="L168:M168"/>
    <mergeCell ref="D83:E83"/>
    <mergeCell ref="A38:B38"/>
    <mergeCell ref="N196:O196"/>
    <mergeCell ref="D207:E207"/>
    <mergeCell ref="D85:E85"/>
    <mergeCell ref="A40:B40"/>
    <mergeCell ref="A67:B67"/>
    <mergeCell ref="N198:O198"/>
    <mergeCell ref="P57:V57"/>
    <mergeCell ref="L67:M67"/>
    <mergeCell ref="P171:V171"/>
    <mergeCell ref="L223:O223"/>
    <mergeCell ref="N110:O110"/>
    <mergeCell ref="D80:E80"/>
    <mergeCell ref="P42:V42"/>
    <mergeCell ref="N125:O125"/>
    <mergeCell ref="F55:G55"/>
    <mergeCell ref="F169:G169"/>
    <mergeCell ref="L62:M62"/>
    <mergeCell ref="D136:E136"/>
    <mergeCell ref="A66:B66"/>
    <mergeCell ref="N127:O127"/>
    <mergeCell ref="A222:D222"/>
    <mergeCell ref="L64:M64"/>
    <mergeCell ref="F200:G200"/>
    <mergeCell ref="N120:O120"/>
    <mergeCell ref="A95:B95"/>
    <mergeCell ref="N128:O128"/>
    <mergeCell ref="A122:B122"/>
    <mergeCell ref="A97:B97"/>
    <mergeCell ref="F37:G37"/>
    <mergeCell ref="F195:G195"/>
    <mergeCell ref="A1:C1"/>
    <mergeCell ref="P70:V70"/>
    <mergeCell ref="F197:G197"/>
    <mergeCell ref="P103:V103"/>
    <mergeCell ref="P97:V97"/>
    <mergeCell ref="L82:M82"/>
    <mergeCell ref="F68:G68"/>
    <mergeCell ref="D155:E155"/>
    <mergeCell ref="L75:M75"/>
    <mergeCell ref="D149:E149"/>
    <mergeCell ref="N5:N6"/>
    <mergeCell ref="D151:E151"/>
    <mergeCell ref="A219:O219"/>
    <mergeCell ref="D150:E150"/>
    <mergeCell ref="A27:B27"/>
    <mergeCell ref="P129:V129"/>
    <mergeCell ref="F215:G215"/>
    <mergeCell ref="T7:T8"/>
    <mergeCell ref="A22:B22"/>
    <mergeCell ref="F210:G210"/>
    <mergeCell ref="D177:E177"/>
    <mergeCell ref="L164:M164"/>
    <mergeCell ref="N192:O192"/>
    <mergeCell ref="A167:B167"/>
    <mergeCell ref="N63:O63"/>
    <mergeCell ref="A169:B169"/>
    <mergeCell ref="P167:V167"/>
    <mergeCell ref="P142:V142"/>
    <mergeCell ref="D76:E76"/>
    <mergeCell ref="F138:G138"/>
    <mergeCell ref="P55:V55"/>
    <mergeCell ref="P169:V169"/>
    <mergeCell ref="P144:V144"/>
    <mergeCell ref="D9:D10"/>
    <mergeCell ref="A179:B179"/>
    <mergeCell ref="L177:M177"/>
    <mergeCell ref="A91:B91"/>
    <mergeCell ref="L149:M149"/>
    <mergeCell ref="L176:M176"/>
    <mergeCell ref="N205:O205"/>
    <mergeCell ref="R223:U223"/>
    <mergeCell ref="A180:B180"/>
    <mergeCell ref="A93:B93"/>
    <mergeCell ref="P195:V195"/>
    <mergeCell ref="L178:M178"/>
    <mergeCell ref="P66:V66"/>
    <mergeCell ref="P197:V197"/>
    <mergeCell ref="P68:V68"/>
    <mergeCell ref="L175:M175"/>
    <mergeCell ref="D120:E120"/>
    <mergeCell ref="A75:B75"/>
    <mergeCell ref="F36:G36"/>
    <mergeCell ref="A104:B104"/>
    <mergeCell ref="K229:O229"/>
    <mergeCell ref="A106:B106"/>
    <mergeCell ref="P208:V208"/>
    <mergeCell ref="P210:V210"/>
    <mergeCell ref="T5:T6"/>
    <mergeCell ref="L135:M135"/>
    <mergeCell ref="A130:B130"/>
    <mergeCell ref="P122:V122"/>
    <mergeCell ref="L101:M101"/>
    <mergeCell ref="A138:B138"/>
    <mergeCell ref="A132:B132"/>
    <mergeCell ref="N165:O165"/>
    <mergeCell ref="J7:J8"/>
    <mergeCell ref="P138:V138"/>
    <mergeCell ref="N194:O194"/>
    <mergeCell ref="M9:N10"/>
    <mergeCell ref="P140:V140"/>
    <mergeCell ref="D184:E184"/>
    <mergeCell ref="D192:E192"/>
    <mergeCell ref="N34:O34"/>
    <mergeCell ref="N36:O36"/>
    <mergeCell ref="A176:B176"/>
    <mergeCell ref="A64:B64"/>
    <mergeCell ref="D187:E187"/>
    <mergeCell ref="A186:B186"/>
    <mergeCell ref="K235:O235"/>
    <mergeCell ref="F103:G103"/>
    <mergeCell ref="A178:B178"/>
    <mergeCell ref="P153:V153"/>
    <mergeCell ref="L200:M200"/>
    <mergeCell ref="A800:V800"/>
    <mergeCell ref="D205:E205"/>
    <mergeCell ref="A204:B204"/>
    <mergeCell ref="F121:G121"/>
    <mergeCell ref="L202:M202"/>
    <mergeCell ref="A206:B206"/>
    <mergeCell ref="P179:V179"/>
    <mergeCell ref="F175:G175"/>
    <mergeCell ref="P206:V206"/>
    <mergeCell ref="A213:V213"/>
    <mergeCell ref="P233:V233"/>
    <mergeCell ref="A103:B103"/>
    <mergeCell ref="I7:I8"/>
    <mergeCell ref="L184:M184"/>
    <mergeCell ref="P235:V235"/>
    <mergeCell ref="P207:V207"/>
    <mergeCell ref="A128:B128"/>
    <mergeCell ref="F18:G18"/>
    <mergeCell ref="F45:G45"/>
    <mergeCell ref="N102:O102"/>
    <mergeCell ref="A136:B136"/>
    <mergeCell ref="F17:G17"/>
    <mergeCell ref="P232:V232"/>
    <mergeCell ref="L215:M215"/>
    <mergeCell ref="F47:G47"/>
    <mergeCell ref="A129:B129"/>
    <mergeCell ref="N190:O190"/>
    <mergeCell ref="F46:G46"/>
    <mergeCell ref="G236:O236"/>
    <mergeCell ref="P217:V217"/>
    <mergeCell ref="F48:G48"/>
    <mergeCell ref="D15:E15"/>
    <mergeCell ref="D129:E129"/>
    <mergeCell ref="F73:G73"/>
    <mergeCell ref="N32:O32"/>
    <mergeCell ref="A217:O217"/>
    <mergeCell ref="A55:B55"/>
    <mergeCell ref="D214:E214"/>
    <mergeCell ref="P193:V193"/>
    <mergeCell ref="D28:E28"/>
    <mergeCell ref="A200:B200"/>
    <mergeCell ref="N60:O60"/>
    <mergeCell ref="D55:E55"/>
    <mergeCell ref="D30:E30"/>
    <mergeCell ref="F92:G92"/>
    <mergeCell ref="F117:G117"/>
    <mergeCell ref="A202:B202"/>
    <mergeCell ref="N45:O45"/>
    <mergeCell ref="F119:G119"/>
    <mergeCell ref="P175:V175"/>
    <mergeCell ref="F112:G112"/>
    <mergeCell ref="N47:O47"/>
    <mergeCell ref="A197:B197"/>
    <mergeCell ref="P177:V177"/>
    <mergeCell ref="O1:R2"/>
    <mergeCell ref="L15:M15"/>
    <mergeCell ref="N71:O71"/>
    <mergeCell ref="F145:G145"/>
    <mergeCell ref="I5:I6"/>
    <mergeCell ref="N73:O73"/>
    <mergeCell ref="D229:J229"/>
    <mergeCell ref="F140:G140"/>
    <mergeCell ref="A215:B215"/>
    <mergeCell ref="P46:V46"/>
    <mergeCell ref="P48:V48"/>
    <mergeCell ref="A239:V239"/>
    <mergeCell ref="D100:E100"/>
    <mergeCell ref="L53:M53"/>
    <mergeCell ref="L28:M28"/>
    <mergeCell ref="F158:G158"/>
    <mergeCell ref="L3:V3"/>
    <mergeCell ref="N117:O117"/>
    <mergeCell ref="A234:C234"/>
    <mergeCell ref="F160:G160"/>
    <mergeCell ref="P7:P8"/>
    <mergeCell ref="F153:G153"/>
    <mergeCell ref="F72:G72"/>
    <mergeCell ref="L79:M79"/>
    <mergeCell ref="A140:B140"/>
    <mergeCell ref="D24:E24"/>
    <mergeCell ref="L81:M81"/>
    <mergeCell ref="D113:E113"/>
    <mergeCell ref="D148:E148"/>
    <mergeCell ref="D26:E26"/>
    <mergeCell ref="F88:G88"/>
    <mergeCell ref="N145:O145"/>
    <mergeCell ref="L110:M110"/>
    <mergeCell ref="U4:V4"/>
    <mergeCell ref="N139:O139"/>
    <mergeCell ref="D115:E115"/>
    <mergeCell ref="F54:G54"/>
    <mergeCell ref="D19:E19"/>
    <mergeCell ref="N16:O16"/>
    <mergeCell ref="F212:G212"/>
    <mergeCell ref="N174:O174"/>
    <mergeCell ref="N51:O51"/>
    <mergeCell ref="F83:G83"/>
    <mergeCell ref="F214:G214"/>
    <mergeCell ref="F85:G85"/>
    <mergeCell ref="L92:M92"/>
    <mergeCell ref="D166:E166"/>
    <mergeCell ref="N67:O67"/>
    <mergeCell ref="D37:E37"/>
    <mergeCell ref="L94:M94"/>
    <mergeCell ref="D168:E168"/>
    <mergeCell ref="N69:O69"/>
    <mergeCell ref="A184:B184"/>
    <mergeCell ref="D167:E167"/>
    <mergeCell ref="D161:E161"/>
    <mergeCell ref="N158:O158"/>
    <mergeCell ref="L182:M182"/>
    <mergeCell ref="F136:G136"/>
    <mergeCell ref="D38:E38"/>
    <mergeCell ref="P17:V17"/>
    <mergeCell ref="D169:E169"/>
    <mergeCell ref="P19:V19"/>
    <mergeCell ref="D63:E63"/>
    <mergeCell ref="V1:V2"/>
    <mergeCell ref="D96:E96"/>
    <mergeCell ref="N209:O209"/>
    <mergeCell ref="E11:G11"/>
    <mergeCell ref="L24:M24"/>
    <mergeCell ref="L18:M18"/>
    <mergeCell ref="F154:G154"/>
    <mergeCell ref="D91:E91"/>
    <mergeCell ref="L26:M26"/>
    <mergeCell ref="A21:B21"/>
    <mergeCell ref="N82:O82"/>
    <mergeCell ref="F156:G156"/>
    <mergeCell ref="A57:B57"/>
    <mergeCell ref="S12:T13"/>
    <mergeCell ref="D93:E93"/>
    <mergeCell ref="F155:G155"/>
    <mergeCell ref="P72:V72"/>
    <mergeCell ref="F149:G149"/>
    <mergeCell ref="A23:B23"/>
    <mergeCell ref="P5:P6"/>
    <mergeCell ref="P65:V65"/>
    <mergeCell ref="F151:G151"/>
    <mergeCell ref="L77:M77"/>
    <mergeCell ref="N108:O108"/>
    <mergeCell ref="F182:G182"/>
    <mergeCell ref="D109:E109"/>
    <mergeCell ref="D119:E119"/>
    <mergeCell ref="N141:O141"/>
    <mergeCell ref="L37:M37"/>
    <mergeCell ref="D111:E111"/>
    <mergeCell ref="A110:B110"/>
    <mergeCell ref="P212:V212"/>
    <mergeCell ref="N143:O143"/>
    <mergeCell ref="F177:G177"/>
    <mergeCell ref="D104:E104"/>
    <mergeCell ref="P83:V83"/>
    <mergeCell ref="N136:O136"/>
    <mergeCell ref="P85:V85"/>
    <mergeCell ref="P84:V84"/>
    <mergeCell ref="L63:M63"/>
    <mergeCell ref="D137:E137"/>
    <mergeCell ref="P80:V80"/>
    <mergeCell ref="L96:M96"/>
    <mergeCell ref="D130:E130"/>
    <mergeCell ref="L90:M90"/>
    <mergeCell ref="A121:B121"/>
    <mergeCell ref="D132:E132"/>
    <mergeCell ref="N154:O154"/>
    <mergeCell ref="L91:M91"/>
    <mergeCell ref="F196:G196"/>
    <mergeCell ref="N156:O156"/>
    <mergeCell ref="D36:E36"/>
    <mergeCell ref="P15:V15"/>
    <mergeCell ref="P222:Q222"/>
    <mergeCell ref="L116:M116"/>
    <mergeCell ref="N151:O151"/>
    <mergeCell ref="D61:E61"/>
    <mergeCell ref="L118:M118"/>
    <mergeCell ref="N180:O180"/>
    <mergeCell ref="F125:G125"/>
    <mergeCell ref="N182:O182"/>
    <mergeCell ref="L147:M147"/>
    <mergeCell ref="L109:M109"/>
    <mergeCell ref="D62:E62"/>
    <mergeCell ref="A17:B17"/>
    <mergeCell ref="D56:E56"/>
    <mergeCell ref="D193:E193"/>
    <mergeCell ref="A53:B53"/>
    <mergeCell ref="D176:E176"/>
    <mergeCell ref="P155:V155"/>
    <mergeCell ref="N211:O211"/>
    <mergeCell ref="D64:E64"/>
    <mergeCell ref="A19:B19"/>
    <mergeCell ref="F120:G120"/>
    <mergeCell ref="P157:V157"/>
    <mergeCell ref="N79:O79"/>
    <mergeCell ref="A48:B48"/>
    <mergeCell ref="P150:V150"/>
    <mergeCell ref="P28:V28"/>
    <mergeCell ref="D203:E203"/>
    <mergeCell ref="P152:V152"/>
    <mergeCell ref="P30:V30"/>
    <mergeCell ref="A79:B79"/>
    <mergeCell ref="L137:M137"/>
    <mergeCell ref="B11:C11"/>
    <mergeCell ref="D204:E204"/>
    <mergeCell ref="A37:B37"/>
    <mergeCell ref="D198:E198"/>
    <mergeCell ref="D75:E75"/>
    <mergeCell ref="D206:E206"/>
    <mergeCell ref="P56:V56"/>
    <mergeCell ref="P170:V170"/>
    <mergeCell ref="L59:M59"/>
    <mergeCell ref="A9:A10"/>
    <mergeCell ref="A63:B63"/>
    <mergeCell ref="L61:M61"/>
    <mergeCell ref="A92:B92"/>
    <mergeCell ref="R224:U224"/>
    <mergeCell ref="D128:E128"/>
    <mergeCell ref="A119:B119"/>
    <mergeCell ref="A94:B94"/>
    <mergeCell ref="F192:G192"/>
    <mergeCell ref="P92:V92"/>
    <mergeCell ref="F194:G194"/>
    <mergeCell ref="P100:V100"/>
    <mergeCell ref="P94:V94"/>
    <mergeCell ref="Q4:R4"/>
    <mergeCell ref="L114:M114"/>
    <mergeCell ref="D146:E146"/>
    <mergeCell ref="P95:V95"/>
    <mergeCell ref="N178:O178"/>
    <mergeCell ref="L143:M143"/>
    <mergeCell ref="A147:B147"/>
    <mergeCell ref="N207:O207"/>
    <mergeCell ref="P120:V120"/>
    <mergeCell ref="N173:O173"/>
    <mergeCell ref="A218:O218"/>
    <mergeCell ref="A148:B148"/>
    <mergeCell ref="F205:G205"/>
    <mergeCell ref="F65:G65"/>
    <mergeCell ref="P121:V121"/>
    <mergeCell ref="P148:V148"/>
    <mergeCell ref="P123:V123"/>
    <mergeCell ref="L133:M133"/>
    <mergeCell ref="K12:K13"/>
    <mergeCell ref="L127:M127"/>
    <mergeCell ref="A158:B158"/>
    <mergeCell ref="D200:E200"/>
    <mergeCell ref="L162:M162"/>
    <mergeCell ref="N191:O191"/>
    <mergeCell ref="L156:M156"/>
    <mergeCell ref="A160:B160"/>
    <mergeCell ref="L128:M128"/>
    <mergeCell ref="K7:K8"/>
    <mergeCell ref="D202:E202"/>
    <mergeCell ref="A159:B159"/>
    <mergeCell ref="A72:B72"/>
    <mergeCell ref="A161:B161"/>
    <mergeCell ref="P134:V134"/>
    <mergeCell ref="P47:V47"/>
    <mergeCell ref="A7:A8"/>
    <mergeCell ref="L190:M190"/>
    <mergeCell ref="A88:B88"/>
    <mergeCell ref="L146:M146"/>
    <mergeCell ref="A54:B54"/>
    <mergeCell ref="F15:G15"/>
    <mergeCell ref="A90:B90"/>
    <mergeCell ref="A212:B212"/>
    <mergeCell ref="P192:V192"/>
    <mergeCell ref="R222:U222"/>
    <mergeCell ref="A56:B56"/>
    <mergeCell ref="P63:V63"/>
    <mergeCell ref="D215:E215"/>
    <mergeCell ref="A214:B214"/>
    <mergeCell ref="P194:V194"/>
    <mergeCell ref="B7:C8"/>
    <mergeCell ref="A85:B85"/>
    <mergeCell ref="P187:V187"/>
    <mergeCell ref="E9:G10"/>
    <mergeCell ref="A221:V221"/>
    <mergeCell ref="P189:V189"/>
    <mergeCell ref="L201:M201"/>
    <mergeCell ref="A237:F237"/>
    <mergeCell ref="P218:V218"/>
    <mergeCell ref="L203:M203"/>
    <mergeCell ref="F34:G34"/>
    <mergeCell ref="P205:V205"/>
    <mergeCell ref="F30:G30"/>
    <mergeCell ref="P117:V117"/>
    <mergeCell ref="P119:V119"/>
    <mergeCell ref="D165:E165"/>
    <mergeCell ref="A155:B155"/>
    <mergeCell ref="K5:K6"/>
    <mergeCell ref="A157:B157"/>
    <mergeCell ref="P137:V137"/>
    <mergeCell ref="A2:C2"/>
    <mergeCell ref="P132:V132"/>
    <mergeCell ref="N58:O58"/>
    <mergeCell ref="N33:O33"/>
    <mergeCell ref="F101:G101"/>
    <mergeCell ref="F100:G100"/>
    <mergeCell ref="A175:B175"/>
    <mergeCell ref="L181:M181"/>
    <mergeCell ref="A185:B185"/>
    <mergeCell ref="F102:G102"/>
    <mergeCell ref="D25:E25"/>
    <mergeCell ref="P219:V219"/>
    <mergeCell ref="A170:B170"/>
    <mergeCell ref="D54:E54"/>
    <mergeCell ref="P185:V185"/>
    <mergeCell ref="P160:V160"/>
    <mergeCell ref="L170:M170"/>
    <mergeCell ref="N86:O86"/>
    <mergeCell ref="A201:B201"/>
    <mergeCell ref="L199:M199"/>
    <mergeCell ref="K232:O232"/>
    <mergeCell ref="L165:M165"/>
    <mergeCell ref="F24:G24"/>
    <mergeCell ref="N81:O81"/>
    <mergeCell ref="A196:B196"/>
    <mergeCell ref="D57:E57"/>
    <mergeCell ref="F113:G113"/>
    <mergeCell ref="H7:H8"/>
    <mergeCell ref="F32:G32"/>
    <mergeCell ref="A231:C231"/>
    <mergeCell ref="F26:G26"/>
    <mergeCell ref="I9:I11"/>
    <mergeCell ref="A198:B198"/>
    <mergeCell ref="L41:M41"/>
    <mergeCell ref="F27:G27"/>
    <mergeCell ref="A125:B125"/>
    <mergeCell ref="L34:M34"/>
    <mergeCell ref="N99:O99"/>
    <mergeCell ref="A127:B127"/>
    <mergeCell ref="L36:M36"/>
    <mergeCell ref="D110:E110"/>
    <mergeCell ref="M4:N4"/>
    <mergeCell ref="F44:G44"/>
  </mergeCells>
  <dataValidations count="30">
    <dataValidation sqref="D64658:F64658 CS64631" showDropDown="0" showInputMessage="1" showErrorMessage="1" allowBlank="1" error="XLBVal:5=9175.87085811385_x000d__x000a_" type="textLength" errorStyle="information">
      <formula1>0</formula1>
      <formula2>300</formula2>
    </dataValidation>
    <dataValidation sqref="D64670:F64670 CS64643" showDropDown="0" showInputMessage="1" showErrorMessage="1" allowBlank="1" error="XLBVal:5=1971.66180968562_x000d__x000a_" type="textLength" errorStyle="information">
      <formula1>0</formula1>
      <formula2>300</formula2>
    </dataValidation>
    <dataValidation sqref="D64666:F64666 CS64639" showDropDown="0" showInputMessage="1" showErrorMessage="1" allowBlank="1" error="XLBVal:5=654.21_x000d__x000a_" type="textLength" errorStyle="information">
      <formula1>0</formula1>
      <formula2>300</formula2>
    </dataValidation>
    <dataValidation sqref="D64675:F64675 CS64648" showDropDown="0" showInputMessage="1" showErrorMessage="1" allowBlank="1" error="XLBVal:5=3831.77570093458_x000d__x000a_" type="textLength" errorStyle="information">
      <formula1>0</formula1>
      <formula2>300</formula2>
    </dataValidation>
    <dataValidation sqref="D64671:F64671 CS64644" showDropDown="0" showInputMessage="1" showErrorMessage="1" allowBlank="1" error="XLBVal:5=969_x000d__x000a_" type="textLength" errorStyle="information">
      <formula1>0</formula1>
      <formula2>300</formula2>
    </dataValidation>
    <dataValidation sqref="D64668:F64668 CS64641" showDropDown="0" showInputMessage="1" showErrorMessage="1" allowBlank="1" error="XLBVal:5=29778.32_x000d__x000a_" type="textLength" errorStyle="information">
      <formula1>0</formula1>
      <formula2>300</formula2>
    </dataValidation>
    <dataValidation sqref="D64663:F64663 CS64636" showDropDown="0" showInputMessage="1" showErrorMessage="1" allowBlank="1" error="XLBVal:5=2730_x000d__x000a_" type="textLength" errorStyle="information">
      <formula1>0</formula1>
      <formula2>300</formula2>
    </dataValidation>
    <dataValidation sqref="D64660:F64660 CS64633" showDropDown="0" showInputMessage="1" showErrorMessage="1" allowBlank="1" error="XLBVal:5=140.186915887849_x000d__x000a_" type="textLength" errorStyle="information">
      <formula1>0</formula1>
      <formula2>300</formula2>
    </dataValidation>
    <dataValidation sqref="D64664:F64664 CS64637" showDropDown="0" showInputMessage="1" showErrorMessage="1" allowBlank="1" error="XLBVal:5=3495_x000d__x000a_" type="textLength" errorStyle="information">
      <formula1>0</formula1>
      <formula2>300</formula2>
    </dataValidation>
    <dataValidation sqref="D64659:F64659 CS64632" showDropDown="0" showInputMessage="1" showErrorMessage="1" allowBlank="1" error="XLBVal:5=76.46_x000d__x000a_" type="textLength" errorStyle="information">
      <formula1>0</formula1>
      <formula2>300</formula2>
    </dataValidation>
    <dataValidation sqref="D64657:F64657 D64661:F64662 D64665:F64665 D64667:F64667 D64672:F64674 P64657:Q64657 P64661:Q64662 P64665:Q64665 P64667:Q64667 P64670:Q64670 P64672:Q64673 CS64638" showDropDown="0" showInputMessage="1" showErrorMessage="1" allowBlank="1" error="XLBVal:2=0_x000d__x000a_" type="textLength" errorStyle="information">
      <formula1>0</formula1>
      <formula2>300</formula2>
    </dataValidation>
    <dataValidation sqref="P64674:Q64674 DA64647" showDropDown="0" showInputMessage="1" showErrorMessage="1" allowBlank="1" error="XLBVal:5=3124.44_x000d__x000a_" type="textLength" errorStyle="information">
      <formula1>0</formula1>
      <formula2>300</formula2>
    </dataValidation>
    <dataValidation sqref="P64666:Q64666 DA64639" showDropDown="0" showInputMessage="1" showErrorMessage="1" allowBlank="1" error="XLBVal:5=2947.48_x000d__x000a_" type="textLength" errorStyle="information">
      <formula1>0</formula1>
      <formula2>300</formula2>
    </dataValidation>
    <dataValidation sqref="P64668:Q64668 DA64641" showDropDown="0" showInputMessage="1" showErrorMessage="1" allowBlank="1" error="XLBVal:5=337579.47_x000d__x000a_" type="textLength" errorStyle="information">
      <formula1>0</formula1>
      <formula2>300</formula2>
    </dataValidation>
    <dataValidation sqref="P64675:Q64675 DA64648" showDropDown="0" showInputMessage="1" showErrorMessage="1" allowBlank="1" error="XLBVal:5=3041.07_x000d__x000a_" type="textLength" errorStyle="information">
      <formula1>0</formula1>
      <formula2>300</formula2>
    </dataValidation>
    <dataValidation sqref="P64671:Q64671 DA64644" showDropDown="0" showInputMessage="1" showErrorMessage="1" allowBlank="1" error="XLBVal:5=10387_x000d__x000a_" type="textLength" errorStyle="information">
      <formula1>0</formula1>
      <formula2>300</formula2>
    </dataValidation>
    <dataValidation sqref="P64664:Q64664 DA64637" showDropDown="0" showInputMessage="1" showErrorMessage="1" allowBlank="1" error="XLBVal:5=7600_x000d__x000a_" type="textLength" errorStyle="information">
      <formula1>0</formula1>
      <formula2>300</formula2>
    </dataValidation>
    <dataValidation sqref="P64663:Q64663 DA64636" showDropDown="0" showInputMessage="1" showErrorMessage="1" allowBlank="1" error="XLBVal:5=33859.1606542056_x000d__x000a_" type="textLength" errorStyle="information">
      <formula1>0</formula1>
      <formula2>300</formula2>
    </dataValidation>
    <dataValidation sqref="P64659:Q64659 DA64632" showDropDown="0" showInputMessage="1" showErrorMessage="1" allowBlank="1" error="XLBVal:5=108462.39_x000d__x000a_" type="textLength" errorStyle="information">
      <formula1>0</formula1>
      <formula2>300</formula2>
    </dataValidation>
    <dataValidation sqref="P64660:Q64660 DA64633" showDropDown="0" showInputMessage="1" showErrorMessage="1" allowBlank="1" error="XLBVal:5=1064.01962616822_x000d__x000a_" type="textLength" errorStyle="information">
      <formula1>0</formula1>
      <formula2>300</formula2>
    </dataValidation>
    <dataValidation sqref="CX64643" showDropDown="0" showInputMessage="1" showErrorMessage="1" allowBlank="1" error="XLBVal:5=16849.7162616821_x000d__x000a_" type="textLength" errorStyle="information">
      <formula1>0</formula1>
      <formula2>300</formula2>
    </dataValidation>
    <dataValidation sqref="CX64639" showDropDown="0" showInputMessage="1" showErrorMessage="1" allowBlank="1" error="XLBVal:5=116642.038971963_x000d__x000a_" type="textLength" errorStyle="information">
      <formula1>0</formula1>
      <formula2>300</formula2>
    </dataValidation>
    <dataValidation sqref="CX64641" showDropDown="0" showInputMessage="1" showErrorMessage="1" allowBlank="1" error="XLBVal:5=379048.61_x000d__x000a_" type="textLength" errorStyle="information">
      <formula1>0</formula1>
      <formula2>300</formula2>
    </dataValidation>
    <dataValidation sqref="CX64633" showDropDown="0" showInputMessage="1" showErrorMessage="1" allowBlank="1" error="XLBVal:5=1031.37196261682_x000d__x000a_" type="textLength" errorStyle="information">
      <formula1>0</formula1>
      <formula2>300</formula2>
    </dataValidation>
    <dataValidation sqref="CX64631" showDropDown="0" showInputMessage="1" showErrorMessage="1" allowBlank="1" error="XLBVal:5=57417.1622769754_x000d__x000a_" type="textLength" errorStyle="information">
      <formula1>0</formula1>
      <formula2>300</formula2>
    </dataValidation>
    <dataValidation sqref="CX64637" showDropDown="0" showInputMessage="1" showErrorMessage="1" allowBlank="1" error="XLBVal:5=78897.0664655905_x000d__x000a_" type="textLength" errorStyle="information">
      <formula1>0</formula1>
      <formula2>300</formula2>
    </dataValidation>
    <dataValidation sqref="CX64648" showDropDown="0" showInputMessage="1" showErrorMessage="1" allowBlank="1" error="XLBVal:5=812367.264112149_x000d__x000a_" type="textLength" errorStyle="information">
      <formula1>0</formula1>
      <formula2>300</formula2>
    </dataValidation>
    <dataValidation sqref="CX64644" showDropDown="0" showInputMessage="1" showErrorMessage="1" allowBlank="1" error="XLBVal:5=7558.54_x000d__x000a_" type="textLength" errorStyle="information">
      <formula1>0</formula1>
      <formula2>300</formula2>
    </dataValidation>
    <dataValidation sqref="CX64636" showDropDown="0" showInputMessage="1" showErrorMessage="1" allowBlank="1" error="XLBVal:5=33220_x000d__x000a_" type="textLength" errorStyle="information">
      <formula1>0</formula1>
      <formula2>300</formula2>
    </dataValidation>
    <dataValidation sqref="CX64632" showDropDown="0" showInputMessage="1" showErrorMessage="1" allowBlank="1" error="XLBVal:5=65552.82_x000d__x000a_" type="textLength" errorStyle="information">
      <formula1>0</formula1>
      <formula2>300</formula2>
    </dataValidation>
  </dataValidations>
  <printOptions horizontalCentered="1"/>
  <pageMargins left="0" right="0" top="0" bottom="0" header="0" footer="0"/>
  <pageSetup orientation="portrait" paperSize="9" scale="12" fitToHeight="0" horizontalDpi="300" verticalDpi="300"/>
  <rowBreaks count="3" manualBreakCount="3">
    <brk id="224" min="0" max="26" man="1"/>
    <brk id="521" min="0" max="26" man="1"/>
    <brk id="905" min="0" max="26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Duty Manager Avani+ Khao Lak</dc:creator>
  <dcterms:created xsi:type="dcterms:W3CDTF">2026-07-24T20:34:28Z</dcterms:created>
  <dcterms:modified xsi:type="dcterms:W3CDTF">2026-07-28T16:47:56Z</dcterms:modified>
  <cp:lastModifiedBy>Taweesak Jantasan</cp:lastModifiedBy>
</cp:coreProperties>
</file>