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435" yWindow="1800" windowWidth="18645" windowHeight="16125" tabRatio="600" firstSheet="0" activeTab="0" autoFilterDateGrouping="1"/>
  </bookViews>
  <sheets>
    <sheet name="Ori Format" sheetId="1" state="visible" r:id="rId1"/>
  </sheets>
  <definedNames>
    <definedName name="_xlnm.Print_Area" localSheetId="0">'Ori Format'!$A$1:$V$1239</definedName>
  </definedNames>
  <calcPr calcId="191029" fullCalcOnLoad="1"/>
</workbook>
</file>

<file path=xl/styles.xml><?xml version="1.0" encoding="utf-8"?>
<styleSheet xmlns="http://schemas.openxmlformats.org/spreadsheetml/2006/main">
  <numFmts count="5">
    <numFmt numFmtId="164" formatCode="[$-409]d\-mmm;@"/>
    <numFmt numFmtId="165" formatCode="_-* #,##0.00_-;\-* #,##0.00_-;_-* &quot;-&quot;??_-;_-@_-"/>
    <numFmt numFmtId="166" formatCode="##.##"/>
    <numFmt numFmtId="167" formatCode="#.##&quot;%&quot;"/>
    <numFmt numFmtId="168" formatCode="#,###.##"/>
  </numFmts>
  <fonts count="22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rgb="FF006100"/>
      <sz val="11"/>
      <scheme val="minor"/>
    </font>
    <font>
      <name val="Arial"/>
      <family val="2"/>
      <b val="1"/>
      <sz val="48"/>
    </font>
    <font>
      <name val="Arial"/>
      <family val="2"/>
      <b val="1"/>
      <sz val="30"/>
    </font>
    <font>
      <name val="Arial"/>
      <family val="2"/>
      <b val="1"/>
      <sz val="32"/>
    </font>
    <font>
      <name val="Arial"/>
      <family val="2"/>
      <b val="1"/>
      <color theme="1"/>
      <sz val="36"/>
    </font>
    <font>
      <name val="Arial"/>
      <family val="2"/>
      <b val="1"/>
      <color theme="1"/>
      <sz val="30"/>
    </font>
    <font>
      <name val="Calibri"/>
      <family val="2"/>
      <b val="1"/>
      <color theme="1"/>
      <sz val="30"/>
      <scheme val="minor"/>
    </font>
    <font>
      <name val="Arial"/>
      <family val="2"/>
      <b val="1"/>
      <color indexed="8"/>
      <sz val="30"/>
    </font>
    <font>
      <name val="Arial"/>
      <family val="2"/>
      <color indexed="8"/>
      <sz val="30"/>
    </font>
    <font>
      <name val="Arial"/>
      <family val="2"/>
      <sz val="30"/>
    </font>
    <font>
      <name val="Arial"/>
      <family val="2"/>
      <b val="1"/>
      <color rgb="FFFF0000"/>
      <sz val="30"/>
    </font>
    <font>
      <name val="Arial"/>
      <family val="2"/>
      <color rgb="FF000000"/>
      <sz val="30"/>
    </font>
    <font>
      <name val="Calibri"/>
      <family val="2"/>
      <color indexed="8"/>
      <sz val="11"/>
    </font>
    <font>
      <name val="Arial"/>
      <family val="2"/>
      <b val="1"/>
      <color rgb="FF000000"/>
      <sz val="30"/>
    </font>
    <font>
      <name val="Calibri"/>
      <family val="2"/>
      <color theme="1"/>
      <sz val="30"/>
      <scheme val="minor"/>
    </font>
    <font>
      <name val="Arial"/>
      <family val="2"/>
      <b val="1"/>
      <color indexed="8"/>
      <sz val="34"/>
    </font>
    <font>
      <name val="Arial"/>
      <family val="2"/>
      <b val="1"/>
      <color theme="9" tint="-0.249977111117893"/>
      <sz val="34"/>
    </font>
    <font>
      <name val="Arial"/>
      <family val="2"/>
      <b val="1"/>
      <sz val="34"/>
    </font>
    <font>
      <name val="Arial"/>
      <family val="2"/>
      <b val="1"/>
      <color rgb="FF0070C0"/>
      <sz val="34"/>
    </font>
    <font>
      <name val="Arial"/>
      <family val="2"/>
      <b val="1"/>
      <color rgb="FFFF0000"/>
      <sz val="34"/>
    </font>
  </fonts>
  <fills count="12">
    <fill>
      <patternFill/>
    </fill>
    <fill>
      <patternFill patternType="gray125"/>
    </fill>
    <fill>
      <patternFill patternType="solid">
        <fgColor rgb="FFC6EFCE"/>
      </patternFill>
    </fill>
    <fill>
      <patternFill patternType="solid">
        <fgColor theme="0"/>
        <bgColor indexed="64"/>
      </patternFill>
    </fill>
    <fill>
      <patternFill patternType="solid">
        <fgColor rgb="FF009999"/>
        <bgColor indexed="64"/>
      </patternFill>
    </fill>
    <fill>
      <patternFill patternType="solid">
        <fgColor rgb="FF00CC99"/>
        <bgColor indexed="64"/>
      </patternFill>
    </fill>
    <fill>
      <patternFill patternType="solid">
        <fgColor theme="0"/>
        <bgColor rgb="FF000000"/>
      </patternFill>
    </fill>
    <fill>
      <patternFill patternType="solid">
        <fgColor theme="9" tint="0.5999938962981048"/>
        <bgColor rgb="FF000000"/>
      </patternFill>
    </fill>
    <fill>
      <patternFill patternType="solid">
        <fgColor rgb="FF00CC99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009999"/>
        <bgColor rgb="FF000000"/>
      </patternFill>
    </fill>
    <fill>
      <patternFill patternType="solid">
        <fgColor rgb="FFFFC7CE"/>
        <bgColor rgb="FFFFC7CE"/>
      </patternFill>
    </fill>
  </fills>
  <borders count="16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</borders>
  <cellStyleXfs count="4">
    <xf numFmtId="0" fontId="1" fillId="0" borderId="0"/>
    <xf numFmtId="0" fontId="2" fillId="2" borderId="0"/>
    <xf numFmtId="0" fontId="1" fillId="0" borderId="0"/>
    <xf numFmtId="43" fontId="14" fillId="0" borderId="0"/>
  </cellStyleXfs>
  <cellXfs count="97">
    <xf numFmtId="0" fontId="0" fillId="0" borderId="0" pivotButton="0" quotePrefix="0" xfId="0"/>
    <xf numFmtId="0" fontId="1" fillId="0" borderId="0" pivotButton="0" quotePrefix="0" xfId="2"/>
    <xf numFmtId="0" fontId="8" fillId="0" borderId="0" pivotButton="0" quotePrefix="0" xfId="2"/>
    <xf numFmtId="15" fontId="4" fillId="5" borderId="12" applyAlignment="1" pivotButton="0" quotePrefix="0" xfId="2">
      <alignment horizontal="center" vertical="center" wrapText="1"/>
    </xf>
    <xf numFmtId="164" fontId="4" fillId="5" borderId="9" applyAlignment="1" pivotButton="0" quotePrefix="0" xfId="2">
      <alignment vertical="center" wrapText="1"/>
    </xf>
    <xf numFmtId="10" fontId="9" fillId="5" borderId="9" applyAlignment="1" pivotButton="0" quotePrefix="0" xfId="2">
      <alignment horizontal="center" vertical="center" wrapText="1"/>
    </xf>
    <xf numFmtId="14" fontId="4" fillId="5" borderId="12" applyAlignment="1" pivotButton="0" quotePrefix="0" xfId="2">
      <alignment horizontal="center" vertical="center" wrapText="1"/>
    </xf>
    <xf numFmtId="4" fontId="13" fillId="6" borderId="12" applyAlignment="1" pivotButton="0" quotePrefix="1" xfId="2">
      <alignment horizontal="center" vertical="center" wrapText="1" readingOrder="1"/>
    </xf>
    <xf numFmtId="0" fontId="13" fillId="6" borderId="12" applyAlignment="1" pivotButton="0" quotePrefix="1" xfId="2">
      <alignment horizontal="center" vertical="center" wrapText="1" readingOrder="1"/>
    </xf>
    <xf numFmtId="14" fontId="13" fillId="6" borderId="12" applyAlignment="1" pivotButton="0" quotePrefix="1" xfId="2">
      <alignment horizontal="center" vertical="center" wrapText="1" readingOrder="1"/>
    </xf>
    <xf numFmtId="0" fontId="16" fillId="0" borderId="0" pivotButton="0" quotePrefix="0" xfId="2"/>
    <xf numFmtId="14" fontId="1" fillId="0" borderId="0" pivotButton="0" quotePrefix="0" xfId="2"/>
    <xf numFmtId="3" fontId="10" fillId="3" borderId="12" applyAlignment="1" pivotButton="0" quotePrefix="1" xfId="2">
      <alignment horizontal="center" vertical="center" wrapText="1"/>
    </xf>
    <xf numFmtId="0" fontId="4" fillId="5" borderId="12" applyAlignment="1" pivotButton="0" quotePrefix="0" xfId="2">
      <alignment horizontal="center" vertical="center" wrapText="1"/>
    </xf>
    <xf numFmtId="0" fontId="4" fillId="3" borderId="12" applyAlignment="1" pivotButton="0" quotePrefix="0" xfId="2">
      <alignment horizontal="center" vertical="center" wrapText="1"/>
    </xf>
    <xf numFmtId="0" fontId="10" fillId="3" borderId="12" applyAlignment="1" pivotButton="0" quotePrefix="0" xfId="2">
      <alignment horizontal="center" vertical="center" wrapText="1"/>
    </xf>
    <xf numFmtId="0" fontId="9" fillId="5" borderId="12" applyAlignment="1" pivotButton="0" quotePrefix="0" xfId="2">
      <alignment horizontal="center" vertical="center" wrapText="1"/>
    </xf>
    <xf numFmtId="0" fontId="13" fillId="0" borderId="12" applyAlignment="1" pivotButton="0" quotePrefix="0" xfId="2">
      <alignment horizontal="center" vertical="center" wrapText="1"/>
    </xf>
    <xf numFmtId="10" fontId="9" fillId="5" borderId="12" applyAlignment="1" pivotButton="0" quotePrefix="0" xfId="2">
      <alignment horizontal="center" vertical="center" wrapText="1"/>
    </xf>
    <xf numFmtId="0" fontId="9" fillId="0" borderId="12" applyAlignment="1" pivotButton="0" quotePrefix="1" xfId="2">
      <alignment horizontal="center" vertical="center" wrapText="1"/>
    </xf>
    <xf numFmtId="0" fontId="9" fillId="5" borderId="9" applyAlignment="1" pivotButton="0" quotePrefix="0" xfId="2">
      <alignment horizontal="center" vertical="center" wrapText="1"/>
    </xf>
    <xf numFmtId="165" fontId="9" fillId="4" borderId="8" applyAlignment="1" pivotButton="0" quotePrefix="0" xfId="3">
      <alignment horizontal="centerContinuous" vertical="center" wrapText="1"/>
    </xf>
    <xf numFmtId="3" fontId="10" fillId="3" borderId="12" applyAlignment="1" pivotButton="0" quotePrefix="1" xfId="2">
      <alignment horizontal="center" vertical="center" wrapText="1"/>
    </xf>
    <xf numFmtId="0" fontId="0" fillId="0" borderId="11" pivotButton="0" quotePrefix="0" xfId="0"/>
    <xf numFmtId="0" fontId="13" fillId="7" borderId="12" applyAlignment="1" pivotButton="0" quotePrefix="1" xfId="2">
      <alignment horizontal="center" vertical="center" wrapText="1" readingOrder="1"/>
    </xf>
    <xf numFmtId="0" fontId="13" fillId="11" borderId="12" applyAlignment="1" pivotButton="0" quotePrefix="0" xfId="2">
      <alignment vertical="center" wrapText="1" readingOrder="1"/>
    </xf>
    <xf numFmtId="0" fontId="4" fillId="5" borderId="12" applyAlignment="1" pivotButton="0" quotePrefix="0" xfId="2">
      <alignment horizontal="center" vertical="center" wrapText="1"/>
    </xf>
    <xf numFmtId="0" fontId="13" fillId="6" borderId="12" applyAlignment="1" pivotButton="0" quotePrefix="1" xfId="2">
      <alignment horizontal="left" vertical="center" wrapText="1" readingOrder="1"/>
    </xf>
    <xf numFmtId="0" fontId="0" fillId="0" borderId="10" pivotButton="0" quotePrefix="0" xfId="0"/>
    <xf numFmtId="0" fontId="4" fillId="3" borderId="12" applyAlignment="1" pivotButton="0" quotePrefix="0" xfId="2">
      <alignment horizontal="center" vertical="center" wrapText="1"/>
    </xf>
    <xf numFmtId="0" fontId="18" fillId="0" borderId="11" applyAlignment="1" pivotButton="0" quotePrefix="1" xfId="0">
      <alignment horizontal="left" vertical="center" wrapText="1"/>
    </xf>
    <xf numFmtId="166" fontId="13" fillId="6" borderId="12" applyAlignment="1" pivotButton="0" quotePrefix="1" xfId="2">
      <alignment horizontal="center" vertical="center" wrapText="1" readingOrder="1"/>
    </xf>
    <xf numFmtId="0" fontId="19" fillId="0" borderId="9" applyAlignment="1" pivotButton="0" quotePrefix="0" xfId="2">
      <alignment horizontal="center" vertical="center" wrapText="1"/>
    </xf>
    <xf numFmtId="0" fontId="10" fillId="3" borderId="12" applyAlignment="1" pivotButton="0" quotePrefix="0" xfId="2">
      <alignment horizontal="center" vertical="center" wrapText="1"/>
    </xf>
    <xf numFmtId="0" fontId="0" fillId="0" borderId="8" pivotButton="0" quotePrefix="0" xfId="0"/>
    <xf numFmtId="0" fontId="9" fillId="5" borderId="12" applyAlignment="1" pivotButton="0" quotePrefix="0" xfId="2">
      <alignment horizontal="center" vertical="center" wrapText="1"/>
    </xf>
    <xf numFmtId="0" fontId="15" fillId="9" borderId="12" applyAlignment="1" pivotButton="0" quotePrefix="1" xfId="2">
      <alignment horizontal="center" vertical="center" wrapText="1" readingOrder="1"/>
    </xf>
    <xf numFmtId="0" fontId="13" fillId="0" borderId="12" applyAlignment="1" pivotButton="0" quotePrefix="0" xfId="2">
      <alignment horizontal="center" vertical="center" wrapText="1"/>
    </xf>
    <xf numFmtId="0" fontId="0" fillId="0" borderId="3" pivotButton="0" quotePrefix="0" xfId="0"/>
    <xf numFmtId="0" fontId="0" fillId="0" borderId="5" pivotButton="0" quotePrefix="0" xfId="0"/>
    <xf numFmtId="0" fontId="0" fillId="0" borderId="7" pivotButton="0" quotePrefix="0" xfId="0"/>
    <xf numFmtId="4" fontId="11" fillId="0" borderId="12" applyAlignment="1" pivotButton="0" quotePrefix="0" xfId="2">
      <alignment horizontal="center" vertical="center" wrapText="1"/>
    </xf>
    <xf numFmtId="0" fontId="15" fillId="9" borderId="12" applyAlignment="1" pivotButton="0" quotePrefix="0" xfId="2">
      <alignment horizontal="center" vertical="center" wrapText="1" readingOrder="1"/>
    </xf>
    <xf numFmtId="10" fontId="9" fillId="5" borderId="12" applyAlignment="1" pivotButton="0" quotePrefix="0" xfId="2">
      <alignment horizontal="center" vertical="center" wrapText="1"/>
    </xf>
    <xf numFmtId="0" fontId="15" fillId="6" borderId="12" applyAlignment="1" pivotButton="0" quotePrefix="0" xfId="2">
      <alignment horizontal="center" vertical="center" wrapText="1"/>
    </xf>
    <xf numFmtId="0" fontId="18" fillId="0" borderId="11" applyAlignment="1" pivotButton="0" quotePrefix="0" xfId="0">
      <alignment horizontal="left" vertical="center" wrapText="1"/>
    </xf>
    <xf numFmtId="0" fontId="9" fillId="0" borderId="12" applyAlignment="1" pivotButton="0" quotePrefix="1" xfId="2">
      <alignment horizontal="center" vertical="center" wrapText="1"/>
    </xf>
    <xf numFmtId="164" fontId="4" fillId="5" borderId="4" applyAlignment="1" pivotButton="0" quotePrefix="0" xfId="2">
      <alignment horizontal="center" vertical="center" wrapText="1"/>
    </xf>
    <xf numFmtId="0" fontId="18" fillId="0" borderId="11" applyAlignment="1" pivotButton="0" quotePrefix="0" xfId="2">
      <alignment horizontal="left" vertical="center" wrapText="1"/>
    </xf>
    <xf numFmtId="15" fontId="4" fillId="4" borderId="12" applyAlignment="1" pivotButton="0" quotePrefix="0" xfId="2">
      <alignment horizontal="center" vertical="center" wrapText="1"/>
    </xf>
    <xf numFmtId="20" fontId="13" fillId="6" borderId="12" applyAlignment="1" pivotButton="0" quotePrefix="1" xfId="2">
      <alignment horizontal="center" vertical="center" wrapText="1" readingOrder="1"/>
    </xf>
    <xf numFmtId="0" fontId="9" fillId="5" borderId="9" applyAlignment="1" pivotButton="0" quotePrefix="0" xfId="2">
      <alignment horizontal="center" vertical="center" wrapText="1"/>
    </xf>
    <xf numFmtId="3" fontId="9" fillId="5" borderId="12" applyAlignment="1" pivotButton="0" quotePrefix="0" xfId="2">
      <alignment horizontal="center" vertical="center" wrapText="1"/>
    </xf>
    <xf numFmtId="0" fontId="0" fillId="0" borderId="13" pivotButton="0" quotePrefix="0" xfId="0"/>
    <xf numFmtId="3" fontId="11" fillId="0" borderId="12" applyAlignment="1" pivotButton="0" quotePrefix="0" xfId="2">
      <alignment horizontal="center" vertical="center" wrapText="1"/>
    </xf>
    <xf numFmtId="0" fontId="5" fillId="0" borderId="12" applyAlignment="1" pivotButton="0" quotePrefix="0" xfId="2">
      <alignment horizontal="center" vertical="top" wrapText="1"/>
    </xf>
    <xf numFmtId="0" fontId="0" fillId="0" borderId="2" pivotButton="0" quotePrefix="0" xfId="0"/>
    <xf numFmtId="0" fontId="0" fillId="0" borderId="6" pivotButton="0" quotePrefix="0" xfId="0"/>
    <xf numFmtId="10" fontId="9" fillId="5" borderId="1" applyAlignment="1" pivotButton="0" quotePrefix="0" xfId="2">
      <alignment horizontal="center" vertical="center" wrapText="1"/>
    </xf>
    <xf numFmtId="0" fontId="0" fillId="0" borderId="14" pivotButton="0" quotePrefix="0" xfId="0"/>
    <xf numFmtId="0" fontId="7" fillId="4" borderId="12" applyAlignment="1" pivotButton="0" quotePrefix="0" xfId="2">
      <alignment horizontal="center" vertical="center" wrapText="1"/>
    </xf>
    <xf numFmtId="0" fontId="4" fillId="4" borderId="12" applyAlignment="1" pivotButton="0" quotePrefix="0" xfId="2">
      <alignment horizontal="center" vertical="center" wrapText="1"/>
    </xf>
    <xf numFmtId="0" fontId="15" fillId="10" borderId="12" applyAlignment="1" pivotButton="0" quotePrefix="0" xfId="2">
      <alignment horizontal="center" vertical="center" wrapText="1"/>
    </xf>
    <xf numFmtId="167" fontId="13" fillId="0" borderId="12" applyAlignment="1" pivotButton="0" quotePrefix="0" xfId="2">
      <alignment horizontal="center" vertical="center" wrapText="1"/>
    </xf>
    <xf numFmtId="164" fontId="4" fillId="5" borderId="12" applyAlignment="1" pivotButton="0" quotePrefix="0" xfId="2">
      <alignment horizontal="center" vertical="center" wrapText="1"/>
    </xf>
    <xf numFmtId="0" fontId="20" fillId="0" borderId="11" applyAlignment="1" pivotButton="0" quotePrefix="0" xfId="0">
      <alignment horizontal="left" vertical="center" wrapText="1"/>
    </xf>
    <xf numFmtId="49" fontId="6" fillId="3" borderId="12" applyAlignment="1" pivotButton="0" quotePrefix="0" xfId="2">
      <alignment horizontal="center" vertical="center" wrapText="1"/>
    </xf>
    <xf numFmtId="0" fontId="19" fillId="0" borderId="9" applyAlignment="1" pivotButton="0" quotePrefix="0" xfId="0">
      <alignment horizontal="center" vertical="center" wrapText="1"/>
    </xf>
    <xf numFmtId="167" fontId="13" fillId="3" borderId="12" applyAlignment="1" pivotButton="0" quotePrefix="0" xfId="2">
      <alignment horizontal="center" vertical="center" wrapText="1"/>
    </xf>
    <xf numFmtId="4" fontId="12" fillId="0" borderId="12" applyAlignment="1" pivotButton="0" quotePrefix="0" xfId="0">
      <alignment horizontal="center" vertical="center" wrapText="1"/>
    </xf>
    <xf numFmtId="0" fontId="19" fillId="0" borderId="1" applyAlignment="1" pivotButton="0" quotePrefix="0" xfId="0">
      <alignment horizontal="center" vertical="center" wrapText="1"/>
    </xf>
    <xf numFmtId="167" fontId="10" fillId="3" borderId="12" applyAlignment="1" pivotButton="0" quotePrefix="1" xfId="2">
      <alignment horizontal="center" vertical="center" wrapText="1"/>
    </xf>
    <xf numFmtId="0" fontId="15" fillId="8" borderId="12" applyAlignment="1" pivotButton="0" quotePrefix="0" xfId="2">
      <alignment horizontal="center" vertical="center" wrapText="1" readingOrder="1"/>
    </xf>
    <xf numFmtId="0" fontId="4" fillId="0" borderId="12" applyAlignment="1" pivotButton="0" quotePrefix="0" xfId="2">
      <alignment horizontal="center" vertical="top" wrapText="1"/>
    </xf>
    <xf numFmtId="0" fontId="18" fillId="0" borderId="3" applyAlignment="1" pivotButton="0" quotePrefix="0" xfId="0">
      <alignment horizontal="left" vertical="center" wrapText="1"/>
    </xf>
    <xf numFmtId="0" fontId="13" fillId="6" borderId="12" applyAlignment="1" pivotButton="0" quotePrefix="0" xfId="2">
      <alignment vertical="center" wrapText="1" readingOrder="1"/>
    </xf>
    <xf numFmtId="0" fontId="17" fillId="0" borderId="9" applyAlignment="1" pivotButton="0" quotePrefix="0" xfId="0">
      <alignment horizontal="center" vertical="center" wrapText="1"/>
    </xf>
    <xf numFmtId="165" fontId="9" fillId="4" borderId="12" applyAlignment="1" pivotButton="0" quotePrefix="0" xfId="3">
      <alignment horizontal="center" vertical="center" wrapText="1"/>
    </xf>
    <xf numFmtId="168" fontId="10" fillId="3" borderId="12" applyAlignment="1" pivotButton="0" quotePrefix="1" xfId="2">
      <alignment horizontal="center" vertical="center" wrapText="1"/>
    </xf>
    <xf numFmtId="0" fontId="18" fillId="0" borderId="6" applyAlignment="1" pivotButton="0" quotePrefix="1" xfId="0">
      <alignment horizontal="left" vertical="center" wrapText="1"/>
    </xf>
    <xf numFmtId="4" fontId="11" fillId="0" borderId="4" applyAlignment="1" pivotButton="0" quotePrefix="0" xfId="2">
      <alignment horizontal="center" vertical="center" wrapText="1"/>
    </xf>
    <xf numFmtId="4" fontId="12" fillId="0" borderId="4" applyAlignment="1" pivotButton="0" quotePrefix="0" xfId="0">
      <alignment horizontal="center" vertical="center" wrapText="1"/>
    </xf>
    <xf numFmtId="0" fontId="21" fillId="0" borderId="11" applyAlignment="1" pivotButton="0" quotePrefix="0" xfId="0">
      <alignment horizontal="left" vertical="center" wrapText="1"/>
    </xf>
    <xf numFmtId="0" fontId="15" fillId="6" borderId="12" applyAlignment="1" pivotButton="0" quotePrefix="1" xfId="2">
      <alignment horizontal="center" vertical="center" wrapText="1"/>
    </xf>
    <xf numFmtId="15" fontId="3" fillId="3" borderId="4" applyAlignment="1" pivotButton="0" quotePrefix="0" xfId="1">
      <alignment horizontal="center" vertical="center" wrapText="1"/>
    </xf>
    <xf numFmtId="165" fontId="9" fillId="4" borderId="4" applyAlignment="1" pivotButton="0" quotePrefix="0" xfId="3">
      <alignment horizontal="center" vertical="center" wrapText="1"/>
    </xf>
    <xf numFmtId="0" fontId="7" fillId="3" borderId="12" applyAlignment="1" pivotButton="0" quotePrefix="0" xfId="2">
      <alignment horizontal="center" vertical="center" wrapText="1"/>
    </xf>
    <xf numFmtId="15" fontId="3" fillId="0" borderId="8" applyAlignment="1" pivotButton="0" quotePrefix="0" xfId="1">
      <alignment horizontal="center" vertical="center" wrapText="1"/>
    </xf>
    <xf numFmtId="168" fontId="10" fillId="3" borderId="12" applyAlignment="1" pivotButton="0" quotePrefix="1" xfId="2">
      <alignment horizontal="center" vertical="center" wrapText="1"/>
    </xf>
    <xf numFmtId="167" fontId="13" fillId="3" borderId="12" applyAlignment="1" pivotButton="0" quotePrefix="0" xfId="2">
      <alignment horizontal="center" vertical="center" wrapText="1"/>
    </xf>
    <xf numFmtId="167" fontId="13" fillId="0" borderId="12" applyAlignment="1" pivotButton="0" quotePrefix="0" xfId="2">
      <alignment horizontal="center" vertical="center" wrapText="1"/>
    </xf>
    <xf numFmtId="167" fontId="10" fillId="3" borderId="12" applyAlignment="1" pivotButton="0" quotePrefix="1" xfId="2">
      <alignment horizontal="center" vertical="center" wrapText="1"/>
    </xf>
    <xf numFmtId="165" fontId="9" fillId="4" borderId="4" applyAlignment="1" pivotButton="0" quotePrefix="0" xfId="3">
      <alignment horizontal="center" vertical="center" wrapText="1"/>
    </xf>
    <xf numFmtId="0" fontId="13" fillId="0" borderId="12" applyAlignment="1" pivotButton="0" quotePrefix="0" xfId="2">
      <alignment vertical="center" wrapText="1" readingOrder="1"/>
    </xf>
    <xf numFmtId="166" fontId="13" fillId="6" borderId="12" applyAlignment="1" pivotButton="0" quotePrefix="1" xfId="2">
      <alignment horizontal="center" vertical="center" wrapText="1" readingOrder="1"/>
    </xf>
    <xf numFmtId="165" fontId="9" fillId="4" borderId="8" applyAlignment="1" pivotButton="0" quotePrefix="0" xfId="3">
      <alignment horizontal="centerContinuous" vertical="center" wrapText="1"/>
    </xf>
    <xf numFmtId="165" fontId="9" fillId="4" borderId="12" applyAlignment="1" pivotButton="0" quotePrefix="0" xfId="3">
      <alignment horizontal="center" vertical="center" wrapText="1"/>
    </xf>
  </cellXfs>
  <cellStyles count="4">
    <cellStyle name="Normal" xfId="0" builtinId="0"/>
    <cellStyle name="Good" xfId="1" builtinId="26"/>
    <cellStyle name="Normal 4" xfId="2"/>
    <cellStyle name="Comma 2" xfId="3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Relationship Type="http://schemas.openxmlformats.org/officeDocument/2006/relationships/image" Target="/xl/media/image2.png" Id="rId2" /><Relationship Type="http://schemas.openxmlformats.org/officeDocument/2006/relationships/image" Target="/xl/media/image3.png" Id="rId3" /><Relationship Type="http://schemas.openxmlformats.org/officeDocument/2006/relationships/image" Target="/xl/media/image4.png" Id="rId4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14</col>
      <colOff>533400</colOff>
      <row>0</row>
      <rowOff>876300</rowOff>
    </from>
    <to>
      <col>17</col>
      <colOff>1434125</colOff>
      <row>0</row>
      <rowOff>2552700</rowOff>
    </to>
    <pic>
      <nvPicPr>
        <cNvPr id="5" name="Picture 4"/>
        <cNvPicPr>
          <a:picLocks noChangeAspect="1"/>
        </cNvPicPr>
      </nvPicPr>
      <blipFill>
        <a:blip r:embed="rId4"/>
        <a:stretch>
          <a:fillRect/>
        </a:stretch>
      </blipFill>
      <spPr>
        <a:xfrm>
          <a:off x="35375850" y="876300"/>
          <a:ext cx="6720500" cy="1676400"/>
        </a:xfrm>
        <a:prstGeom prst="rect">
          <avLst/>
        </a:prstGeom>
        <a:ln>
          <a:prstDash val="solid"/>
        </a:ln>
      </spPr>
    </pic>
    <clientData/>
  </twoCellAnchor>
  <oneCellAnchor>
    <from>
      <col>19</col>
      <colOff>38100</colOff>
      <row>0</row>
      <rowOff>1371600</rowOff>
    </from>
    <ext cx="1981200" cy="1791336"/>
    <pic>
      <nvPicPr>
        <cNvPr id="2" name="Picture 1"/>
        <cNvPicPr>
          <a:picLocks noChangeAspect="1"/>
        </cNvPicPr>
      </nvPicPr>
      <blipFill>
        <a:blip r:embed="rId1"/>
        <a:stretch>
          <a:fillRect/>
        </a:stretch>
      </blipFill>
      <spPr>
        <a:xfrm>
          <a:off x="44567475" y="1371600"/>
          <a:ext cx="1981200" cy="1791336"/>
        </a:xfrm>
        <a:prstGeom prst="rect">
          <avLst/>
        </a:prstGeom>
        <a:ln>
          <a:prstDash val="solid"/>
        </a:ln>
      </spPr>
    </pic>
    <clientData/>
  </oneCellAnchor>
  <oneCellAnchor>
    <from>
      <col>1</col>
      <colOff>990600</colOff>
      <row>0</row>
      <rowOff>1828800</rowOff>
    </from>
    <ext cx="4336066" cy="1710000"/>
    <pic>
      <nvPicPr>
        <cNvPr id="3" name="Picture 2"/>
        <cNvPicPr>
          <a:picLocks noChangeAspect="1"/>
        </cNvPicPr>
      </nvPicPr>
      <blipFill rotWithShape="1">
        <a:blip cstate="print" r:embed="rId2"/>
        <a:srcRect l="10694" t="28179" r="10403" b="27369"/>
        <a:stretch>
          <a:fillRect/>
        </a:stretch>
      </blipFill>
      <spPr>
        <a:xfrm>
          <a:off x="3505200" y="1828800"/>
          <a:ext cx="4336066" cy="1710000"/>
        </a:xfrm>
        <a:prstGeom prst="rect">
          <avLst/>
        </a:prstGeom>
        <a:ln>
          <a:prstDash val="solid"/>
        </a:ln>
      </spPr>
    </pic>
    <clientData/>
  </oneCellAnchor>
  <oneCellAnchor>
    <from>
      <col>1</col>
      <colOff>990600</colOff>
      <row>0</row>
      <rowOff>1828800</rowOff>
    </from>
    <ext cx="4336066" cy="1710000"/>
    <pic>
      <nvPicPr>
        <cNvPr id="4" name="Picture 3"/>
        <cNvPicPr>
          <a:picLocks noChangeAspect="1"/>
        </cNvPicPr>
      </nvPicPr>
      <blipFill rotWithShape="1">
        <a:blip cstate="print" r:embed="rId3"/>
        <a:srcRect l="10694" t="28179" r="10403" b="27369"/>
        <a:stretch>
          <a:fillRect/>
        </a:stretch>
      </blipFill>
      <spPr>
        <a:xfrm>
          <a:off x="3505200" y="1828800"/>
          <a:ext cx="4336066" cy="1710000"/>
        </a:xfrm>
        <a:prstGeom prst="rect">
          <avLst/>
        </a:prstGeom>
        <a:ln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V722"/>
  <sheetViews>
    <sheetView tabSelected="1" view="pageBreakPreview" topLeftCell="A12" zoomScale="25" zoomScaleNormal="30" zoomScaleSheetLayoutView="25" workbookViewId="0">
      <selection activeCell="A16" sqref="A16:B16"/>
    </sheetView>
  </sheetViews>
  <sheetFormatPr baseColWidth="8" defaultColWidth="10.42578125" defaultRowHeight="15"/>
  <cols>
    <col width="37.7109375" customWidth="1" style="1" min="1" max="1"/>
    <col width="72.85546875" customWidth="1" style="1" min="2" max="2"/>
    <col width="50.42578125" customWidth="1" style="1" min="3" max="3"/>
    <col width="28.42578125" customWidth="1" style="1" min="4" max="4"/>
    <col width="18.42578125" customWidth="1" style="1" min="5" max="5"/>
    <col width="22.140625" customWidth="1" style="1" min="6" max="7"/>
    <col width="38.7109375" customWidth="1" style="1" min="8" max="8"/>
    <col width="43.85546875" customWidth="1" style="1" min="9" max="9"/>
    <col width="43.85546875" customWidth="1" style="11" min="10" max="10"/>
    <col width="44.7109375" customWidth="1" style="1" min="11" max="11"/>
    <col width="41.28515625" customWidth="1" style="1" min="12" max="12"/>
    <col width="29.28515625" customWidth="1" style="1" min="13" max="13"/>
    <col width="28.7109375" customWidth="1" style="1" min="14" max="14"/>
    <col width="29.28515625" customWidth="1" style="1" min="15" max="15"/>
    <col width="28.7109375" customWidth="1" style="1" min="16" max="16"/>
    <col width="29.28515625" customWidth="1" style="1" min="17" max="17"/>
    <col width="28.7109375" customWidth="1" style="1" min="18" max="18"/>
    <col width="29.28515625" customWidth="1" style="1" min="19" max="19"/>
    <col width="28.7109375" customWidth="1" style="1" min="20" max="20"/>
    <col width="29.28515625" customWidth="1" style="1" min="21" max="21"/>
    <col width="110.7109375" customWidth="1" style="1" min="22" max="22"/>
    <col width="10.42578125" customWidth="1" style="1" min="23" max="50"/>
    <col width="10.42578125" customWidth="1" style="1" min="51" max="16384"/>
  </cols>
  <sheetData>
    <row r="1" ht="336" customHeight="1">
      <c r="A1" s="84" t="n"/>
      <c r="B1" s="56" t="n"/>
      <c r="C1" s="38" t="n"/>
      <c r="D1" s="73" t="inlineStr">
        <is>
          <t xml:space="preserve">
YTD GRI 
Goal 95.3 %
by 31 Dec. 2026</t>
        </is>
      </c>
      <c r="E1" s="56" t="n"/>
      <c r="F1" s="56" t="n"/>
      <c r="G1" s="38" t="n"/>
      <c r="H1" s="73" t="inlineStr">
        <is>
          <t xml:space="preserve">
YTD NPS
Goal 71.9 %
by 31 Dec. 2026</t>
        </is>
      </c>
      <c r="I1" s="38" t="n"/>
      <c r="J1" s="73" t="inlineStr">
        <is>
          <t xml:space="preserve">
MTD GRI
.
Goal 95.3 %
by 31 Dec. 2026</t>
        </is>
      </c>
      <c r="K1" s="38" t="n"/>
      <c r="L1" s="73" t="inlineStr">
        <is>
          <t xml:space="preserve">
MTD NPS
Goal 71.9 %
by 31 Dec. 2026</t>
        </is>
      </c>
      <c r="M1" s="56" t="n"/>
      <c r="N1" s="38" t="n"/>
      <c r="O1" s="55" t="inlineStr">
        <is>
          <t xml:space="preserve">
Enrollment Done: -
MTD = -
Monthly Target = -
YTD = -</t>
        </is>
      </c>
      <c r="P1" s="56" t="n"/>
      <c r="Q1" s="56" t="n"/>
      <c r="R1" s="38" t="n"/>
      <c r="S1" s="55" t="inlineStr">
        <is>
          <t xml:space="preserve">
Hotel in Khao Lak 
(- hotels)
Rank #-
Goal #1</t>
        </is>
      </c>
      <c r="T1" s="56" t="n"/>
      <c r="U1" s="38" t="n"/>
      <c r="V1" s="66" t="inlineStr">
        <is>
          <t>Show Room
-
Early Departure
-</t>
        </is>
      </c>
    </row>
    <row r="2" ht="306.6" customHeight="1">
      <c r="A2" s="87" t="inlineStr">
        <is>
          <t>Daily Briefing
( Day ) July ( Date ), 2026</t>
        </is>
      </c>
      <c r="B2" s="57" t="n"/>
      <c r="C2" s="40" t="n"/>
      <c r="D2" s="39" t="n"/>
      <c r="E2" s="57" t="n"/>
      <c r="F2" s="57" t="n"/>
      <c r="G2" s="40" t="n"/>
      <c r="H2" s="39" t="n"/>
      <c r="I2" s="40" t="n"/>
      <c r="J2" s="39" t="n"/>
      <c r="K2" s="40" t="n"/>
      <c r="L2" s="39" t="n"/>
      <c r="M2" s="57" t="n"/>
      <c r="N2" s="40" t="n"/>
      <c r="O2" s="39" t="n"/>
      <c r="P2" s="57" t="n"/>
      <c r="Q2" s="57" t="n"/>
      <c r="R2" s="40" t="n"/>
      <c r="S2" s="39" t="n"/>
      <c r="T2" s="57" t="n"/>
      <c r="U2" s="40" t="n"/>
      <c r="V2" s="34" t="n"/>
    </row>
    <row r="3" ht="99" customFormat="1" customHeight="1" s="2">
      <c r="A3" s="61" t="inlineStr">
        <is>
          <t>Yesterday</t>
        </is>
      </c>
      <c r="B3" s="56" t="n"/>
      <c r="C3" s="38" t="n"/>
      <c r="D3" s="61" t="inlineStr">
        <is>
          <t>TODAY</t>
        </is>
      </c>
      <c r="E3" s="28" t="n"/>
      <c r="F3" s="28" t="n"/>
      <c r="G3" s="23" t="n"/>
      <c r="H3" s="49" t="n"/>
      <c r="I3" s="28" t="n"/>
      <c r="J3" s="28" t="n"/>
      <c r="K3" s="23" t="n"/>
      <c r="L3" s="61" t="inlineStr">
        <is>
          <t>Next 5 days</t>
        </is>
      </c>
      <c r="M3" s="28" t="n"/>
      <c r="N3" s="28" t="n"/>
      <c r="O3" s="28" t="n"/>
      <c r="P3" s="28" t="n"/>
      <c r="Q3" s="28" t="n"/>
      <c r="R3" s="28" t="n"/>
      <c r="S3" s="28" t="n"/>
      <c r="T3" s="28" t="n"/>
      <c r="U3" s="28" t="n"/>
      <c r="V3" s="23" t="n"/>
    </row>
    <row r="4" ht="88.5" customHeight="1">
      <c r="A4" s="39" t="n"/>
      <c r="B4" s="57" t="n"/>
      <c r="C4" s="40" t="n"/>
      <c r="D4" s="64" t="inlineStr">
        <is>
          <t>25-Jul</t>
        </is>
      </c>
      <c r="E4" s="28" t="n"/>
      <c r="F4" s="28" t="n"/>
      <c r="G4" s="23" t="n"/>
      <c r="H4" s="3" t="inlineStr">
        <is>
          <t>Details</t>
        </is>
      </c>
      <c r="I4" s="3" t="inlineStr">
        <is>
          <t>Yesterday</t>
        </is>
      </c>
      <c r="J4" s="3" t="inlineStr">
        <is>
          <t>Actual MTD</t>
        </is>
      </c>
      <c r="K4" s="3" t="inlineStr">
        <is>
          <t>Target</t>
        </is>
      </c>
      <c r="L4" s="4" t="n"/>
      <c r="M4" s="47">
        <f>D4+1</f>
        <v/>
      </c>
      <c r="N4" s="38" t="n"/>
      <c r="O4" s="47">
        <f>M4+1</f>
        <v/>
      </c>
      <c r="P4" s="38" t="n"/>
      <c r="Q4" s="47">
        <f>O4+1</f>
        <v/>
      </c>
      <c r="R4" s="38" t="n"/>
      <c r="S4" s="47">
        <f>Q4+1</f>
        <v/>
      </c>
      <c r="T4" s="38" t="n"/>
      <c r="U4" s="47">
        <f>S4+1</f>
        <v/>
      </c>
      <c r="V4" s="38" t="n"/>
    </row>
    <row r="5" ht="55.5" customHeight="1">
      <c r="A5" s="35" t="inlineStr">
        <is>
          <t>COMP.</t>
        </is>
      </c>
      <c r="B5" s="22" t="inlineStr">
        <is>
          <t>3</t>
        </is>
      </c>
      <c r="C5" s="38" t="n"/>
      <c r="D5" s="51" t="inlineStr">
        <is>
          <t>ARR.</t>
        </is>
      </c>
      <c r="E5" s="22" t="inlineStr">
        <is>
          <t>99</t>
        </is>
      </c>
      <c r="F5" s="22" t="inlineStr">
        <is>
          <t>115</t>
        </is>
      </c>
      <c r="G5" s="38" t="n"/>
      <c r="H5" s="35" t="inlineStr">
        <is>
          <t>Room 
Upselling</t>
        </is>
      </c>
      <c r="I5" s="41" t="n">
        <v>3875.32</v>
      </c>
      <c r="J5" s="41" t="n">
        <v>79801.19</v>
      </c>
      <c r="K5" s="69" t="n">
        <v>205427.65</v>
      </c>
      <c r="L5" s="51" t="inlineStr">
        <is>
          <t>ARR.</t>
        </is>
      </c>
      <c r="M5" s="37" t="inlineStr">
        <is>
          <t>123</t>
        </is>
      </c>
      <c r="N5" s="37" t="inlineStr">
        <is>
          <t>132</t>
        </is>
      </c>
      <c r="O5" s="37" t="inlineStr">
        <is>
          <t>59</t>
        </is>
      </c>
      <c r="P5" s="37" t="inlineStr">
        <is>
          <t>70</t>
        </is>
      </c>
      <c r="Q5" s="37" t="inlineStr">
        <is>
          <t>134</t>
        </is>
      </c>
      <c r="R5" s="37" t="inlineStr">
        <is>
          <t>156</t>
        </is>
      </c>
      <c r="S5" s="37" t="inlineStr">
        <is>
          <t>50</t>
        </is>
      </c>
      <c r="T5" s="37" t="inlineStr">
        <is>
          <t>57</t>
        </is>
      </c>
      <c r="U5" s="37" t="inlineStr">
        <is>
          <t>63</t>
        </is>
      </c>
      <c r="V5" s="37" t="inlineStr">
        <is>
          <t>74</t>
        </is>
      </c>
    </row>
    <row r="6" ht="55.5" customHeight="1">
      <c r="A6" s="34" t="n"/>
      <c r="B6" s="39" t="n"/>
      <c r="C6" s="40" t="n"/>
      <c r="D6" s="51" t="inlineStr">
        <is>
          <t>AVC</t>
        </is>
      </c>
      <c r="E6" s="22">
        <f>F5-E5</f>
        <v/>
      </c>
      <c r="F6" s="39" t="n"/>
      <c r="G6" s="40" t="n"/>
      <c r="H6" s="34" t="n"/>
      <c r="I6" s="34" t="n"/>
      <c r="J6" s="34" t="n"/>
      <c r="K6" s="34" t="n"/>
      <c r="L6" s="51" t="inlineStr">
        <is>
          <t>AVC</t>
        </is>
      </c>
      <c r="M6" s="37">
        <f>N5-M5</f>
        <v/>
      </c>
      <c r="N6" s="34" t="n"/>
      <c r="O6" s="37">
        <f>P5-O5</f>
        <v/>
      </c>
      <c r="P6" s="34" t="n"/>
      <c r="Q6" s="37">
        <f>R5-Q5</f>
        <v/>
      </c>
      <c r="R6" s="34" t="n"/>
      <c r="S6" s="37">
        <f>T5-S5</f>
        <v/>
      </c>
      <c r="T6" s="34" t="n"/>
      <c r="U6" s="37">
        <f>V5-U5</f>
        <v/>
      </c>
      <c r="V6" s="34" t="n"/>
    </row>
    <row r="7" ht="55.5" customHeight="1">
      <c r="A7" s="35" t="inlineStr">
        <is>
          <t>HOU</t>
        </is>
      </c>
      <c r="B7" s="22" t="n">
        <v>2</v>
      </c>
      <c r="C7" s="38" t="n"/>
      <c r="D7" s="51" t="inlineStr">
        <is>
          <t>DEP.</t>
        </is>
      </c>
      <c r="E7" s="22" t="inlineStr">
        <is>
          <t>71</t>
        </is>
      </c>
      <c r="F7" s="22" t="inlineStr">
        <is>
          <t>81</t>
        </is>
      </c>
      <c r="G7" s="38" t="n"/>
      <c r="H7" s="35" t="inlineStr">
        <is>
          <t>Late C/O</t>
        </is>
      </c>
      <c r="I7" s="41" t="inlineStr">
        <is>
          <t>-</t>
        </is>
      </c>
      <c r="J7" s="41" t="n">
        <v>46773.37</v>
      </c>
      <c r="K7" s="69" t="n">
        <v>29000</v>
      </c>
      <c r="L7" s="51" t="inlineStr">
        <is>
          <t>DEP.</t>
        </is>
      </c>
      <c r="M7" s="37" t="inlineStr">
        <is>
          <t>65</t>
        </is>
      </c>
      <c r="N7" s="37" t="inlineStr">
        <is>
          <t>72</t>
        </is>
      </c>
      <c r="O7" s="37" t="inlineStr">
        <is>
          <t>108</t>
        </is>
      </c>
      <c r="P7" s="37" t="inlineStr">
        <is>
          <t>116</t>
        </is>
      </c>
      <c r="Q7" s="37" t="inlineStr">
        <is>
          <t>82</t>
        </is>
      </c>
      <c r="R7" s="37" t="inlineStr">
        <is>
          <t>96</t>
        </is>
      </c>
      <c r="S7" s="37" t="inlineStr">
        <is>
          <t>114</t>
        </is>
      </c>
      <c r="T7" s="37" t="inlineStr">
        <is>
          <t>132</t>
        </is>
      </c>
      <c r="U7" s="37" t="inlineStr">
        <is>
          <t>61</t>
        </is>
      </c>
      <c r="V7" s="37" t="inlineStr">
        <is>
          <t>68</t>
        </is>
      </c>
    </row>
    <row r="8" ht="55.5" customHeight="1">
      <c r="A8" s="34" t="n"/>
      <c r="B8" s="39" t="n"/>
      <c r="C8" s="40" t="n"/>
      <c r="D8" s="51" t="inlineStr">
        <is>
          <t>AVC</t>
        </is>
      </c>
      <c r="E8" s="22">
        <f>F7-E7</f>
        <v/>
      </c>
      <c r="F8" s="39" t="n"/>
      <c r="G8" s="40" t="n"/>
      <c r="H8" s="34" t="n"/>
      <c r="I8" s="34" t="n"/>
      <c r="J8" s="34" t="n"/>
      <c r="K8" s="34" t="n"/>
      <c r="L8" s="51" t="inlineStr">
        <is>
          <t>AVC</t>
        </is>
      </c>
      <c r="M8" s="37">
        <f>N7-M7</f>
        <v/>
      </c>
      <c r="N8" s="34" t="n"/>
      <c r="O8" s="37">
        <f>P7-O7</f>
        <v/>
      </c>
      <c r="P8" s="34" t="n"/>
      <c r="Q8" s="37">
        <f>R7-Q7</f>
        <v/>
      </c>
      <c r="R8" s="34" t="n"/>
      <c r="S8" s="37">
        <f>T7-S7</f>
        <v/>
      </c>
      <c r="T8" s="34" t="n"/>
      <c r="U8" s="37">
        <f>V7-U7</f>
        <v/>
      </c>
      <c r="V8" s="34" t="n"/>
    </row>
    <row r="9" ht="57" customHeight="1">
      <c r="A9" s="35" t="inlineStr">
        <is>
          <t>No Show</t>
        </is>
      </c>
      <c r="B9" s="22" t="inlineStr">
        <is>
          <t>-</t>
        </is>
      </c>
      <c r="C9" s="38" t="n"/>
      <c r="D9" s="52" t="inlineStr">
        <is>
          <t>RM Occ.</t>
        </is>
      </c>
      <c r="E9" s="22" t="n">
        <v>221</v>
      </c>
      <c r="F9" s="56" t="n"/>
      <c r="G9" s="38" t="n"/>
      <c r="H9" s="35" t="inlineStr">
        <is>
          <t>Excursion
Comm. target</t>
        </is>
      </c>
      <c r="I9" s="54" t="n">
        <v>1267</v>
      </c>
      <c r="J9" s="54" t="n">
        <v>65214</v>
      </c>
      <c r="K9" s="69" t="n">
        <v>160368</v>
      </c>
      <c r="L9" s="52" t="inlineStr">
        <is>
          <t>RM Occ.</t>
        </is>
      </c>
      <c r="M9" s="37" t="n">
        <v>281</v>
      </c>
      <c r="N9" s="38" t="n"/>
      <c r="O9" s="37" t="n">
        <v>235</v>
      </c>
      <c r="P9" s="38" t="n"/>
      <c r="Q9" s="37" t="n">
        <v>295</v>
      </c>
      <c r="R9" s="38" t="n"/>
      <c r="S9" s="37" t="n">
        <v>220</v>
      </c>
      <c r="T9" s="38" t="n"/>
      <c r="U9" s="37" t="n">
        <v>228</v>
      </c>
      <c r="V9" s="38" t="n"/>
    </row>
    <row r="10" ht="57" customHeight="1">
      <c r="A10" s="34" t="n"/>
      <c r="B10" s="39" t="n"/>
      <c r="C10" s="40" t="n"/>
      <c r="D10" s="34" t="n"/>
      <c r="E10" s="39" t="n"/>
      <c r="F10" s="57" t="n"/>
      <c r="G10" s="40" t="n"/>
      <c r="H10" s="53" t="n"/>
      <c r="I10" s="53" t="n"/>
      <c r="J10" s="53" t="n"/>
      <c r="K10" s="53" t="n"/>
      <c r="L10" s="34" t="n"/>
      <c r="M10" s="39" t="n"/>
      <c r="N10" s="40" t="n"/>
      <c r="O10" s="39" t="n"/>
      <c r="P10" s="40" t="n"/>
      <c r="Q10" s="39" t="n"/>
      <c r="R10" s="40" t="n"/>
      <c r="S10" s="39" t="n"/>
      <c r="T10" s="40" t="n"/>
      <c r="U10" s="39" t="n"/>
      <c r="V10" s="40" t="n"/>
    </row>
    <row r="11" ht="105" customHeight="1">
      <c r="A11" s="35" t="inlineStr">
        <is>
          <t>ADR</t>
        </is>
      </c>
      <c r="B11" s="88" t="n">
        <v>3595.79</v>
      </c>
      <c r="C11" s="23" t="n"/>
      <c r="D11" s="43" t="inlineStr">
        <is>
          <t>Occ %</t>
        </is>
      </c>
      <c r="E11" s="89" t="n">
        <v>66.06</v>
      </c>
      <c r="F11" s="28" t="n"/>
      <c r="G11" s="23" t="n"/>
      <c r="H11" s="34" t="n"/>
      <c r="I11" s="34" t="n"/>
      <c r="J11" s="34" t="n"/>
      <c r="K11" s="34" t="n"/>
      <c r="L11" s="5" t="inlineStr">
        <is>
          <t>OCC %</t>
        </is>
      </c>
      <c r="M11" s="90" t="n">
        <v>85.84615384615385</v>
      </c>
      <c r="N11" s="23" t="n"/>
      <c r="O11" s="90" t="n">
        <v>71.69230769230769</v>
      </c>
      <c r="P11" s="23" t="n"/>
      <c r="Q11" s="90" t="n">
        <v>90.15384615384615</v>
      </c>
      <c r="R11" s="23" t="n"/>
      <c r="S11" s="90" t="n">
        <v>66.9753086419753</v>
      </c>
      <c r="T11" s="23" t="n"/>
      <c r="U11" s="90" t="n">
        <v>69.53846153846153</v>
      </c>
      <c r="V11" s="23" t="n"/>
    </row>
    <row r="12" ht="55.5" customHeight="1">
      <c r="A12" s="35" t="inlineStr">
        <is>
          <t>Occ%</t>
        </is>
      </c>
      <c r="B12" s="91" t="n">
        <v>71.53</v>
      </c>
      <c r="C12" s="38" t="n"/>
      <c r="D12" s="43" t="inlineStr">
        <is>
          <t>Guest In 
House</t>
        </is>
      </c>
      <c r="E12" s="33" t="inlineStr">
        <is>
          <t>374</t>
        </is>
      </c>
      <c r="F12" s="33">
        <f>E12+E13</f>
        <v/>
      </c>
      <c r="G12" s="33" t="inlineStr">
        <is>
          <t>648</t>
        </is>
      </c>
      <c r="H12" s="35" t="inlineStr">
        <is>
          <t>Gallery</t>
        </is>
      </c>
      <c r="I12" s="80" t="n">
        <v>3928.97</v>
      </c>
      <c r="J12" s="41" t="n">
        <v>70219.72</v>
      </c>
      <c r="K12" s="81" t="n">
        <v>180414</v>
      </c>
      <c r="L12" s="58" t="inlineStr">
        <is>
          <t>Guest In 
House</t>
        </is>
      </c>
      <c r="M12" s="37" t="inlineStr">
        <is>
          <t>780</t>
        </is>
      </c>
      <c r="N12" s="38" t="n"/>
      <c r="O12" s="37" t="inlineStr">
        <is>
          <t>693</t>
        </is>
      </c>
      <c r="P12" s="38" t="n"/>
      <c r="Q12" s="37" t="inlineStr">
        <is>
          <t>797</t>
        </is>
      </c>
      <c r="R12" s="38" t="n"/>
      <c r="S12" s="37" t="inlineStr">
        <is>
          <t>632</t>
        </is>
      </c>
      <c r="T12" s="38" t="n"/>
      <c r="U12" s="37" t="inlineStr">
        <is>
          <t>615</t>
        </is>
      </c>
      <c r="V12" s="38" t="n"/>
    </row>
    <row r="13" ht="55.5" customHeight="1">
      <c r="A13" s="34" t="n"/>
      <c r="B13" s="39" t="n"/>
      <c r="C13" s="40" t="n"/>
      <c r="D13" s="34" t="n"/>
      <c r="E13" s="33" t="inlineStr">
        <is>
          <t>87</t>
        </is>
      </c>
      <c r="F13" s="34" t="n"/>
      <c r="G13" s="34" t="n"/>
      <c r="H13" s="34" t="n"/>
      <c r="I13" s="53" t="n"/>
      <c r="J13" s="34" t="n"/>
      <c r="K13" s="53" t="n"/>
      <c r="L13" s="59" t="n"/>
      <c r="M13" s="39" t="n"/>
      <c r="N13" s="40" t="n"/>
      <c r="O13" s="39" t="n"/>
      <c r="P13" s="40" t="n"/>
      <c r="Q13" s="39" t="n"/>
      <c r="R13" s="40" t="n"/>
      <c r="S13" s="39" t="n"/>
      <c r="T13" s="40" t="n"/>
      <c r="U13" s="39" t="n"/>
      <c r="V13" s="40" t="n"/>
    </row>
    <row r="14" ht="99" customFormat="1" customHeight="1" s="2">
      <c r="A14" s="92" t="inlineStr">
        <is>
          <t>VIP ARRIVAL</t>
        </is>
      </c>
      <c r="B14" s="56" t="n"/>
      <c r="C14" s="56" t="n"/>
      <c r="D14" s="56" t="n"/>
      <c r="E14" s="56" t="n"/>
      <c r="F14" s="56" t="n"/>
      <c r="G14" s="56" t="n"/>
      <c r="H14" s="56" t="n"/>
      <c r="I14" s="56" t="n"/>
      <c r="J14" s="56" t="n"/>
      <c r="K14" s="56" t="n"/>
      <c r="L14" s="56" t="n"/>
      <c r="M14" s="56" t="n"/>
      <c r="N14" s="56" t="n"/>
      <c r="O14" s="56" t="n"/>
      <c r="P14" s="56" t="n"/>
      <c r="Q14" s="56" t="n"/>
      <c r="R14" s="56" t="n"/>
      <c r="S14" s="56" t="n"/>
      <c r="T14" s="56" t="n"/>
      <c r="U14" s="56" t="n"/>
      <c r="V14" s="38" t="n"/>
    </row>
    <row r="15" ht="96" customHeight="1">
      <c r="A15" s="26" t="inlineStr">
        <is>
          <t xml:space="preserve"> Name</t>
        </is>
      </c>
      <c r="B15" s="23" t="n"/>
      <c r="C15" s="26" t="inlineStr">
        <is>
          <t>Country</t>
        </is>
      </c>
      <c r="D15" s="26" t="inlineStr">
        <is>
          <t>Room No.</t>
        </is>
      </c>
      <c r="E15" s="23" t="n"/>
      <c r="F15" s="26" t="inlineStr">
        <is>
          <t>VIP</t>
        </is>
      </c>
      <c r="G15" s="23" t="n"/>
      <c r="H15" s="26" t="inlineStr">
        <is>
          <t>Pax</t>
        </is>
      </c>
      <c r="I15" s="26" t="inlineStr">
        <is>
          <t xml:space="preserve">ARR </t>
        </is>
      </c>
      <c r="J15" s="6" t="inlineStr">
        <is>
          <t xml:space="preserve">DEP </t>
        </is>
      </c>
      <c r="K15" s="6" t="inlineStr">
        <is>
          <t>Flight</t>
        </is>
      </c>
      <c r="L15" s="26" t="inlineStr">
        <is>
          <t>ETA</t>
        </is>
      </c>
      <c r="M15" s="23" t="n"/>
      <c r="N15" s="26" t="inlineStr">
        <is>
          <t>TRSF</t>
        </is>
      </c>
      <c r="O15" s="23" t="n"/>
      <c r="P15" s="26" t="inlineStr">
        <is>
          <t>Remark</t>
        </is>
      </c>
      <c r="Q15" s="28" t="n"/>
      <c r="R15" s="28" t="n"/>
      <c r="S15" s="28" t="n"/>
      <c r="T15" s="28" t="n"/>
      <c r="U15" s="28" t="n"/>
      <c r="V15" s="23" t="n"/>
    </row>
    <row r="16" ht="114" customHeight="1">
      <c r="A16" s="93" t="inlineStr">
        <is>
          <t>Mr. Udi Barzelay</t>
        </is>
      </c>
      <c r="B16" s="23" t="n"/>
      <c r="C16" s="7" t="inlineStr">
        <is>
          <t>-</t>
        </is>
      </c>
      <c r="D16" s="24" t="inlineStr">
        <is>
          <t>0009</t>
        </is>
      </c>
      <c r="E16" s="23" t="n"/>
      <c r="F16" s="24" t="inlineStr">
        <is>
          <t>-</t>
        </is>
      </c>
      <c r="G16" s="23" t="n"/>
      <c r="H16" s="8" t="inlineStr">
        <is>
          <t>3+2</t>
        </is>
      </c>
      <c r="I16" s="9" t="inlineStr">
        <is>
          <t>25/07/26</t>
        </is>
      </c>
      <c r="J16" s="9" t="inlineStr">
        <is>
          <t>27/07/26</t>
        </is>
      </c>
      <c r="K16" s="8" t="inlineStr">
        <is>
          <t>-</t>
        </is>
      </c>
      <c r="L16" s="94" t="inlineStr">
        <is>
          <t>12.00</t>
        </is>
      </c>
      <c r="M16" s="23" t="n"/>
      <c r="N16" s="22" t="inlineStr">
        <is>
          <t>-</t>
        </is>
      </c>
      <c r="O16" s="23" t="n"/>
      <c r="P16" s="27" t="inlineStr">
        <is>
          <t>PAID RB/3A2C THB 15,050.00+++(25-26/07/26) per night
- 2 kids (age TBA)
Direct booking benefit
• 20% savings on dining (excluding In-Room Dining, minibar &amp; alcoholic beverages) 
• 20% savings on spa treatment at Avani Spa (excluding Coco Breeze Salas)
• 20% savings on laundry service</t>
        </is>
      </c>
      <c r="Q16" s="28" t="n"/>
      <c r="R16" s="28" t="n"/>
      <c r="S16" s="28" t="n"/>
      <c r="T16" s="28" t="n"/>
      <c r="U16" s="28" t="n"/>
      <c r="V16" s="23" t="n"/>
    </row>
    <row r="17" ht="114" customHeight="1">
      <c r="A17" s="93" t="inlineStr">
        <is>
          <t>Mr. Laurenca David Burgess</t>
        </is>
      </c>
      <c r="B17" s="23" t="n"/>
      <c r="C17" s="7" t="inlineStr">
        <is>
          <t>-</t>
        </is>
      </c>
      <c r="D17" s="24" t="inlineStr">
        <is>
          <t>0019</t>
        </is>
      </c>
      <c r="E17" s="23" t="n"/>
      <c r="F17" s="24" t="inlineStr">
        <is>
          <t>VIPG
SILVER</t>
        </is>
      </c>
      <c r="G17" s="23" t="n"/>
      <c r="H17" s="8" t="inlineStr">
        <is>
          <t>4</t>
        </is>
      </c>
      <c r="I17" s="9" t="inlineStr">
        <is>
          <t>25/07/26</t>
        </is>
      </c>
      <c r="J17" s="9" t="inlineStr">
        <is>
          <t>01/08/26</t>
        </is>
      </c>
      <c r="K17" s="8" t="inlineStr">
        <is>
          <t>-</t>
        </is>
      </c>
      <c r="L17" s="50" t="inlineStr">
        <is>
          <t>15.00</t>
        </is>
      </c>
      <c r="M17" s="23" t="n"/>
      <c r="N17" s="22" t="inlineStr">
        <is>
          <t>-</t>
        </is>
      </c>
      <c r="O17" s="23" t="n"/>
      <c r="P17" s="27" t="inlineStr">
        <is>
          <t>RB4A Paid 63,0000 2U1XKT SPC rate 10%  Disc offer for inhouse extend stay FOC Upgrade to 2U2XKT due to fully booked 
** 20% FB, SPA</t>
        </is>
      </c>
      <c r="Q17" s="28" t="n"/>
      <c r="R17" s="28" t="n"/>
      <c r="S17" s="28" t="n"/>
      <c r="T17" s="28" t="n"/>
      <c r="U17" s="28" t="n"/>
      <c r="V17" s="23" t="n"/>
    </row>
    <row r="18" ht="114" customHeight="1">
      <c r="A18" s="93" t="inlineStr">
        <is>
          <t>Ms. Taniga Kanwatjana</t>
        </is>
      </c>
      <c r="B18" s="23" t="n"/>
      <c r="C18" s="7" t="inlineStr">
        <is>
          <t>-</t>
        </is>
      </c>
      <c r="D18" s="24" t="inlineStr">
        <is>
          <t>0020</t>
        </is>
      </c>
      <c r="E18" s="23" t="n"/>
      <c r="F18" s="24" t="inlineStr">
        <is>
          <t>VIPG
SILVER</t>
        </is>
      </c>
      <c r="G18" s="23" t="n"/>
      <c r="H18" s="8" t="inlineStr">
        <is>
          <t>6+1</t>
        </is>
      </c>
      <c r="I18" s="9" t="inlineStr">
        <is>
          <t>25/07/26</t>
        </is>
      </c>
      <c r="J18" s="9" t="inlineStr">
        <is>
          <t>26/07/26</t>
        </is>
      </c>
      <c r="K18" s="8" t="inlineStr">
        <is>
          <t>-</t>
        </is>
      </c>
      <c r="L18" s="94" t="inlineStr">
        <is>
          <t>15.00</t>
        </is>
      </c>
      <c r="M18" s="23" t="n"/>
      <c r="N18" s="22" t="inlineStr">
        <is>
          <t>-</t>
        </is>
      </c>
      <c r="O18" s="23" t="n"/>
      <c r="P18" s="27" t="inlineStr">
        <is>
          <t>PAID (PG) RB/6A THB 21,600+++ per night + 1 x CBF at THB 375 net per child per night
- CHD (Ages 8)
- Line name: Ning&amp;Tan&amp;Khun
- Repeat guest - last stay: 11/08/25
BOOK DIRECT BENEFITS:
Stays of 1-4 nights
• 20% savings on dining (excluding In-Room Dining, minibar &amp; alcoholic beverages)
• 20% savings on spa treatment at AvaniSpa (excluding Coco Breeze Salas)
• 20% savings on laundry service</t>
        </is>
      </c>
      <c r="Q18" s="28" t="n"/>
      <c r="R18" s="28" t="n"/>
      <c r="S18" s="28" t="n"/>
      <c r="T18" s="28" t="n"/>
      <c r="U18" s="28" t="n"/>
      <c r="V18" s="23" t="n"/>
    </row>
    <row r="19" ht="114" customHeight="1">
      <c r="A19" s="93" t="inlineStr">
        <is>
          <t>Mr. Krit Rakmai</t>
        </is>
      </c>
      <c r="B19" s="23" t="n"/>
      <c r="C19" s="7" t="inlineStr">
        <is>
          <t>-</t>
        </is>
      </c>
      <c r="D19" s="24" t="inlineStr">
        <is>
          <t>0024</t>
        </is>
      </c>
      <c r="E19" s="23" t="n"/>
      <c r="F19" s="24" t="inlineStr">
        <is>
          <t>-</t>
        </is>
      </c>
      <c r="G19" s="23" t="n"/>
      <c r="H19" s="8" t="inlineStr">
        <is>
          <t>2+4</t>
        </is>
      </c>
      <c r="I19" s="9" t="inlineStr">
        <is>
          <t>25/07/26</t>
        </is>
      </c>
      <c r="J19" s="9" t="inlineStr">
        <is>
          <t>27/07/26</t>
        </is>
      </c>
      <c r="K19" s="8" t="inlineStr">
        <is>
          <t>-</t>
        </is>
      </c>
      <c r="L19" s="94" t="inlineStr">
        <is>
          <t>15.00</t>
        </is>
      </c>
      <c r="M19" s="23" t="n"/>
      <c r="N19" s="22" t="inlineStr">
        <is>
          <t>-</t>
        </is>
      </c>
      <c r="O19" s="23" t="n"/>
      <c r="P19" s="27" t="inlineStr">
        <is>
          <t>PAID(PG) RB/2A2C THB 7,500 net per night + 1 x CBF THB 375 net per night + GTD UPG to 2U3XKT THB 4,500 net per night (THB 24,750 net)
Offer GTD UPG to 2U3XKT  THB 4,500 net/night by Call/ Duangkaeo (RES13)  21.07.26
- 3 CHD (4,4,5 yrs.)
- FOC 1 CHD 1 yr.
STAY &amp; BENEFITS 
-Accommodation
-Daily breakfast for 4 persons
-20% off dining
-20% off selected treatments at AvaniSpa
-Proof of Thai residency must be presented at check-in
-THB 500 resort credit per room for every night of your stay**FO Cost allocation to 81108**</t>
        </is>
      </c>
      <c r="Q19" s="28" t="n"/>
      <c r="R19" s="28" t="n"/>
      <c r="S19" s="28" t="n"/>
      <c r="T19" s="28" t="n"/>
      <c r="U19" s="28" t="n"/>
      <c r="V19" s="23" t="n"/>
    </row>
    <row r="20" ht="114" customHeight="1">
      <c r="A20" s="93" t="inlineStr">
        <is>
          <t>Mr. Mark Ian Jones</t>
        </is>
      </c>
      <c r="B20" s="23" t="n"/>
      <c r="C20" s="7" t="inlineStr">
        <is>
          <t>-</t>
        </is>
      </c>
      <c r="D20" s="24" t="inlineStr">
        <is>
          <t>0027</t>
        </is>
      </c>
      <c r="E20" s="23" t="n"/>
      <c r="F20" s="24" t="inlineStr">
        <is>
          <t>VIPR
SILVER</t>
        </is>
      </c>
      <c r="G20" s="23" t="n"/>
      <c r="H20" s="8" t="inlineStr">
        <is>
          <t>3+3</t>
        </is>
      </c>
      <c r="I20" s="9" t="inlineStr">
        <is>
          <t>25/07/26</t>
        </is>
      </c>
      <c r="J20" s="9" t="inlineStr">
        <is>
          <t>29/07/26</t>
        </is>
      </c>
      <c r="K20" s="8" t="inlineStr">
        <is>
          <t>-</t>
        </is>
      </c>
      <c r="L20" s="94" t="inlineStr">
        <is>
          <t>15.00</t>
        </is>
      </c>
      <c r="M20" s="23" t="n"/>
      <c r="N20" s="22" t="inlineStr">
        <is>
          <t>-</t>
        </is>
      </c>
      <c r="O20" s="23" t="n"/>
      <c r="P20" s="27" t="inlineStr">
        <is>
          <t>POA RB/3A+3C THB 7,160.91+++per night (THB 8500 net per night) // Pls collect payment upon arrival total 34,000 net 
- 2 CHD age 9,7 Yrs old   
- FOC 1 Infants  
- Guaruntee upgrade to Two Bedroom Family Pool Suite
- Rate Offer by Khun Pattiya Klinchaem/  Cluster Director of Revenue  
- Guest are frind of Khun Ian - Executive Chef Anantara mai khao</t>
        </is>
      </c>
      <c r="Q20" s="28" t="n"/>
      <c r="R20" s="28" t="n"/>
      <c r="S20" s="28" t="n"/>
      <c r="T20" s="28" t="n"/>
      <c r="U20" s="28" t="n"/>
      <c r="V20" s="23" t="n"/>
    </row>
    <row r="21" ht="114" customHeight="1">
      <c r="A21" s="93" t="inlineStr">
        <is>
          <t>Mr. Sahachart Atichosakun</t>
        </is>
      </c>
      <c r="B21" s="23" t="n"/>
      <c r="C21" s="7" t="inlineStr">
        <is>
          <t>-</t>
        </is>
      </c>
      <c r="D21" s="24" t="inlineStr">
        <is>
          <t>0028</t>
        </is>
      </c>
      <c r="E21" s="23" t="n"/>
      <c r="F21" s="24" t="inlineStr">
        <is>
          <t>-</t>
        </is>
      </c>
      <c r="G21" s="23" t="n"/>
      <c r="H21" s="8" t="inlineStr">
        <is>
          <t>3</t>
        </is>
      </c>
      <c r="I21" s="9" t="inlineStr">
        <is>
          <t>25/07/26</t>
        </is>
      </c>
      <c r="J21" s="9" t="inlineStr">
        <is>
          <t>28/07/26</t>
        </is>
      </c>
      <c r="K21" s="8" t="inlineStr">
        <is>
          <t>-</t>
        </is>
      </c>
      <c r="L21" s="94" t="inlineStr">
        <is>
          <t>15.00</t>
        </is>
      </c>
      <c r="M21" s="23" t="n"/>
      <c r="N21" s="22" t="inlineStr">
        <is>
          <t>-</t>
        </is>
      </c>
      <c r="O21" s="23" t="n"/>
      <c r="P21" s="27" t="inlineStr">
        <is>
          <t>CTC RO/3A + 3 x ABF at THB 570 net/pax/nt **Billing to MI Squared Limited**</t>
        </is>
      </c>
      <c r="Q21" s="28" t="n"/>
      <c r="R21" s="28" t="n"/>
      <c r="S21" s="28" t="n"/>
      <c r="T21" s="28" t="n"/>
      <c r="U21" s="28" t="n"/>
      <c r="V21" s="23" t="n"/>
    </row>
    <row r="22" ht="114" customHeight="1">
      <c r="A22" s="93" t="inlineStr">
        <is>
          <t>Mr. Johannes Steckel</t>
        </is>
      </c>
      <c r="B22" s="23" t="n"/>
      <c r="C22" s="7" t="inlineStr">
        <is>
          <t>-</t>
        </is>
      </c>
      <c r="D22" s="24" t="inlineStr">
        <is>
          <t>0035</t>
        </is>
      </c>
      <c r="E22" s="23" t="n"/>
      <c r="F22" s="24" t="inlineStr">
        <is>
          <t>-</t>
        </is>
      </c>
      <c r="G22" s="23" t="n"/>
      <c r="H22" s="8" t="inlineStr">
        <is>
          <t>3+2</t>
        </is>
      </c>
      <c r="I22" s="9" t="inlineStr">
        <is>
          <t>25/07/26</t>
        </is>
      </c>
      <c r="J22" s="9" t="inlineStr">
        <is>
          <t>31/07/26</t>
        </is>
      </c>
      <c r="K22" s="8" t="inlineStr">
        <is>
          <t>-</t>
        </is>
      </c>
      <c r="L22" s="94" t="inlineStr">
        <is>
          <t>15.00</t>
        </is>
      </c>
      <c r="M22" s="23" t="n"/>
      <c r="N22" s="22" t="inlineStr">
        <is>
          <t>-</t>
        </is>
      </c>
      <c r="O22" s="23" t="n"/>
      <c r="P22" s="27" t="inlineStr">
        <is>
          <t>POA RB/3A2C THB12,000 net per night**Settle payment upon arrival***
-2C age TBA
-in case no show charge to master account</t>
        </is>
      </c>
      <c r="Q22" s="28" t="n"/>
      <c r="R22" s="28" t="n"/>
      <c r="S22" s="28" t="n"/>
      <c r="T22" s="28" t="n"/>
      <c r="U22" s="28" t="n"/>
      <c r="V22" s="23" t="n"/>
    </row>
    <row r="23" ht="114" customHeight="1">
      <c r="A23" s="93" t="inlineStr">
        <is>
          <t>Mr. Ben Mason</t>
        </is>
      </c>
      <c r="B23" s="23" t="n"/>
      <c r="C23" s="7" t="inlineStr">
        <is>
          <t>-</t>
        </is>
      </c>
      <c r="D23" s="24" t="inlineStr">
        <is>
          <t>0038</t>
        </is>
      </c>
      <c r="E23" s="23" t="n"/>
      <c r="F23" s="24" t="inlineStr">
        <is>
          <t>-</t>
        </is>
      </c>
      <c r="G23" s="23" t="n"/>
      <c r="H23" s="8" t="inlineStr">
        <is>
          <t>2+2</t>
        </is>
      </c>
      <c r="I23" s="9" t="inlineStr">
        <is>
          <t>25/07/26</t>
        </is>
      </c>
      <c r="J23" s="9" t="inlineStr">
        <is>
          <t>27/07/26</t>
        </is>
      </c>
      <c r="K23" s="8" t="inlineStr">
        <is>
          <t>-</t>
        </is>
      </c>
      <c r="L23" s="94" t="inlineStr">
        <is>
          <t>15.00</t>
        </is>
      </c>
      <c r="M23" s="23" t="n"/>
      <c r="N23" s="22" t="inlineStr">
        <is>
          <t>-</t>
        </is>
      </c>
      <c r="O23" s="23" t="n"/>
      <c r="P23" s="27" t="inlineStr">
        <is>
          <t>COA (see trace) RB/2A2C THB 19,297.72+++ per night
-18% comm kickback THB 8,176.83 net
-Chd age 5 and 8 yrs old</t>
        </is>
      </c>
      <c r="Q23" s="28" t="n"/>
      <c r="R23" s="28" t="n"/>
      <c r="S23" s="28" t="n"/>
      <c r="T23" s="28" t="n"/>
      <c r="U23" s="28" t="n"/>
      <c r="V23" s="23" t="n"/>
    </row>
    <row r="24" ht="114" customHeight="1">
      <c r="A24" s="93" t="inlineStr">
        <is>
          <t>Mr. Gabriel Marian Marian</t>
        </is>
      </c>
      <c r="B24" s="23" t="n"/>
      <c r="C24" s="7" t="inlineStr">
        <is>
          <t>-</t>
        </is>
      </c>
      <c r="D24" s="24" t="inlineStr">
        <is>
          <t>0049</t>
        </is>
      </c>
      <c r="E24" s="23" t="n"/>
      <c r="F24" s="24" t="inlineStr">
        <is>
          <t>-</t>
        </is>
      </c>
      <c r="G24" s="23" t="n"/>
      <c r="H24" s="8" t="inlineStr">
        <is>
          <t>4</t>
        </is>
      </c>
      <c r="I24" s="9" t="inlineStr">
        <is>
          <t>25/07/26</t>
        </is>
      </c>
      <c r="J24" s="9" t="inlineStr">
        <is>
          <t>26/07/26</t>
        </is>
      </c>
      <c r="K24" s="8" t="inlineStr">
        <is>
          <t>-</t>
        </is>
      </c>
      <c r="L24" s="94" t="inlineStr">
        <is>
          <t>11.35</t>
        </is>
      </c>
      <c r="M24" s="23" t="n"/>
      <c r="N24" s="22" t="inlineStr">
        <is>
          <t>-</t>
        </is>
      </c>
      <c r="O24" s="23" t="n"/>
      <c r="P24" s="27" t="inlineStr">
        <is>
          <t>PAID (PG) RB/4A THB 13,479+++per night (total THB 16,000 net)
POA APT TRSF THB 5,600 net per van per way by Toyota Ventury 
Consecutive booking (pls assign same room)
-on 25-26/07/26 with #850011371
-on 26/07-05/08/26 with #846787639
BOOK DIRECT BENEFITS:
Stays of 1-4 nights
• 20% savings on dining (excluding In-Room Dining, minibar &amp; alcoholic beverages)
• 20% savings on spa treatment at AvaniSpa (excluding Coco Breeze Salas)
• 20% savings on laundry service</t>
        </is>
      </c>
      <c r="Q24" s="28" t="n"/>
      <c r="R24" s="28" t="n"/>
      <c r="S24" s="28" t="n"/>
      <c r="T24" s="28" t="n"/>
      <c r="U24" s="28" t="n"/>
      <c r="V24" s="23" t="n"/>
    </row>
    <row r="25" ht="114" customHeight="1">
      <c r="A25" s="93" t="inlineStr">
        <is>
          <t>Mrs. Clare-Marie Umit</t>
        </is>
      </c>
      <c r="B25" s="23" t="n"/>
      <c r="C25" s="7" t="inlineStr">
        <is>
          <t>-</t>
        </is>
      </c>
      <c r="D25" s="24" t="inlineStr">
        <is>
          <t>0054</t>
        </is>
      </c>
      <c r="E25" s="23" t="n"/>
      <c r="F25" s="24" t="inlineStr">
        <is>
          <t>VIPG
SILVER</t>
        </is>
      </c>
      <c r="G25" s="23" t="n"/>
      <c r="H25" s="8" t="inlineStr">
        <is>
          <t>3+1</t>
        </is>
      </c>
      <c r="I25" s="9" t="inlineStr">
        <is>
          <t>25/07/26</t>
        </is>
      </c>
      <c r="J25" s="9" t="inlineStr">
        <is>
          <t>28/07/26</t>
        </is>
      </c>
      <c r="K25" s="8" t="inlineStr">
        <is>
          <t>-</t>
        </is>
      </c>
      <c r="L25" s="94" t="inlineStr">
        <is>
          <t>12.10</t>
        </is>
      </c>
      <c r="M25" s="23" t="n"/>
      <c r="N25" s="22" t="inlineStr">
        <is>
          <t>-</t>
        </is>
      </c>
      <c r="O25" s="23" t="n"/>
      <c r="P25" s="27" t="inlineStr">
        <is>
          <t>PAID(PG) RB/3A1C THB 9,849.60+++ per night
POA Airport TRSF THB 2,700 net per van per way**settle upon arrival**
-1 CHD: 11 yrs.old
ABOUT YOUR BOOK DIRECT BENEFITS:
Stays of 1-4 nights
•  20% savings on spa treatment at AvaniSpa 
•  20% savings on dining (excluding In-Room Dining, minibar &amp; alcoholic beverages) 
•  20% savings on laundry service</t>
        </is>
      </c>
      <c r="Q25" s="28" t="n"/>
      <c r="R25" s="28" t="n"/>
      <c r="S25" s="28" t="n"/>
      <c r="T25" s="28" t="n"/>
      <c r="U25" s="28" t="n"/>
      <c r="V25" s="23" t="n"/>
    </row>
    <row r="26" ht="114" customHeight="1">
      <c r="A26" s="93" t="inlineStr">
        <is>
          <t>Mr. Rongrong Zou</t>
        </is>
      </c>
      <c r="B26" s="23" t="n"/>
      <c r="C26" s="7" t="inlineStr">
        <is>
          <t>-</t>
        </is>
      </c>
      <c r="D26" s="24" t="inlineStr">
        <is>
          <t>0062</t>
        </is>
      </c>
      <c r="E26" s="23" t="n"/>
      <c r="F26" s="24" t="inlineStr">
        <is>
          <t>VIPO</t>
        </is>
      </c>
      <c r="G26" s="23" t="n"/>
      <c r="H26" s="8" t="inlineStr">
        <is>
          <t>2</t>
        </is>
      </c>
      <c r="I26" s="9" t="inlineStr">
        <is>
          <t>25/07/26</t>
        </is>
      </c>
      <c r="J26" s="9" t="inlineStr">
        <is>
          <t>26/07/26</t>
        </is>
      </c>
      <c r="K26" s="8" t="inlineStr">
        <is>
          <t>-</t>
        </is>
      </c>
      <c r="L26" s="94" t="inlineStr">
        <is>
          <t>15.00</t>
        </is>
      </c>
      <c r="M26" s="23" t="n"/>
      <c r="N26" s="22" t="inlineStr">
        <is>
          <t>-</t>
        </is>
      </c>
      <c r="O26" s="23" t="n"/>
      <c r="P26" s="27" t="inlineStr">
        <is>
          <t>CTC RO/2A **Billing to AVC**
- Party 2 rms.
“Diamond” Club Benefits 
- 15% discount F&amp;B (including alcohol) and Spa Treatment (Excluding Products) 
- 15% discount on Best Available Rate on Rental (not Club Point) Bookings (Subject to blackout date) 
- Daily Housekeeping and Room Service - VIP amenities 
- Complimentary Early Check-In 12:00 hrs. (Subject to availability) 
- Complimentary Late Check-Out 14:00 hrs. (Subject to availability) 
- In Room or Fast Track Check-In</t>
        </is>
      </c>
      <c r="Q26" s="28" t="n"/>
      <c r="R26" s="28" t="n"/>
      <c r="S26" s="28" t="n"/>
      <c r="T26" s="28" t="n"/>
      <c r="U26" s="28" t="n"/>
      <c r="V26" s="23" t="n"/>
    </row>
    <row r="27" ht="114" customHeight="1">
      <c r="A27" s="93" t="inlineStr">
        <is>
          <t>Mr. Yosapol Arttachariya</t>
        </is>
      </c>
      <c r="B27" s="23" t="n"/>
      <c r="C27" s="7" t="inlineStr">
        <is>
          <t>-</t>
        </is>
      </c>
      <c r="D27" s="24" t="inlineStr">
        <is>
          <t>0065</t>
        </is>
      </c>
      <c r="E27" s="23" t="n"/>
      <c r="F27" s="24" t="inlineStr">
        <is>
          <t>-</t>
        </is>
      </c>
      <c r="G27" s="23" t="n"/>
      <c r="H27" s="8" t="inlineStr">
        <is>
          <t>2</t>
        </is>
      </c>
      <c r="I27" s="9" t="inlineStr">
        <is>
          <t>25/07/26</t>
        </is>
      </c>
      <c r="J27" s="9" t="inlineStr">
        <is>
          <t>26/07/26</t>
        </is>
      </c>
      <c r="K27" s="8" t="inlineStr">
        <is>
          <t>-</t>
        </is>
      </c>
      <c r="L27" s="94" t="inlineStr">
        <is>
          <t>15.00</t>
        </is>
      </c>
      <c r="M27" s="23" t="n"/>
      <c r="N27" s="22" t="inlineStr">
        <is>
          <t>-</t>
        </is>
      </c>
      <c r="O27" s="23" t="n"/>
      <c r="P27" s="27" t="inlineStr">
        <is>
          <t>CTC RO/2A + 2 x ABF @ 570 THB net per nt per pax **Billing to MI Squared Limited**
Consecutive bookings:
1.) 25-26/07/26: DSR025FDVG866
2.) 26-27/07/26: DSR055H9426FW
3.) 27-28/07/26: DSR025H947UU8</t>
        </is>
      </c>
      <c r="Q27" s="28" t="n"/>
      <c r="R27" s="28" t="n"/>
      <c r="S27" s="28" t="n"/>
      <c r="T27" s="28" t="n"/>
      <c r="U27" s="28" t="n"/>
      <c r="V27" s="23" t="n"/>
    </row>
    <row r="28" ht="114" customHeight="1">
      <c r="A28" s="93" t="inlineStr">
        <is>
          <t>Mr. Maintenance Maintenance</t>
        </is>
      </c>
      <c r="B28" s="23" t="n"/>
      <c r="C28" s="7" t="inlineStr">
        <is>
          <t>-</t>
        </is>
      </c>
      <c r="D28" s="24" t="inlineStr">
        <is>
          <t>0067</t>
        </is>
      </c>
      <c r="E28" s="23" t="n"/>
      <c r="F28" s="24" t="inlineStr">
        <is>
          <t>VIPO</t>
        </is>
      </c>
      <c r="G28" s="23" t="n"/>
      <c r="H28" s="8" t="inlineStr">
        <is>
          <t>2</t>
        </is>
      </c>
      <c r="I28" s="9" t="inlineStr">
        <is>
          <t>25/07/26</t>
        </is>
      </c>
      <c r="J28" s="9" t="inlineStr">
        <is>
          <t>01/08/26</t>
        </is>
      </c>
      <c r="K28" s="8" t="inlineStr">
        <is>
          <t>-</t>
        </is>
      </c>
      <c r="L28" s="94" t="inlineStr">
        <is>
          <t>15.00</t>
        </is>
      </c>
      <c r="M28" s="23" t="n"/>
      <c r="N28" s="22" t="inlineStr">
        <is>
          <t>-</t>
        </is>
      </c>
      <c r="O28" s="23" t="n"/>
      <c r="P28" s="27" t="inlineStr">
        <is>
          <t>CTC RO/2A + 2 x ABF @ 570 THB net per nt per pax **Billing to MI Squared Limited**</t>
        </is>
      </c>
      <c r="Q28" s="28" t="n"/>
      <c r="R28" s="28" t="n"/>
      <c r="S28" s="28" t="n"/>
      <c r="T28" s="28" t="n"/>
      <c r="U28" s="28" t="n"/>
      <c r="V28" s="23" t="n"/>
    </row>
    <row r="29" ht="114" customHeight="1">
      <c r="A29" s="93" t="inlineStr">
        <is>
          <t>Ms. Nantana Raksiltham</t>
        </is>
      </c>
      <c r="B29" s="23" t="n"/>
      <c r="C29" s="7" t="inlineStr">
        <is>
          <t>-</t>
        </is>
      </c>
      <c r="D29" s="24" t="inlineStr">
        <is>
          <t>0068</t>
        </is>
      </c>
      <c r="E29" s="23" t="n"/>
      <c r="F29" s="24" t="inlineStr">
        <is>
          <t>-</t>
        </is>
      </c>
      <c r="G29" s="23" t="n"/>
      <c r="H29" s="8" t="inlineStr">
        <is>
          <t>4+1</t>
        </is>
      </c>
      <c r="I29" s="9" t="inlineStr">
        <is>
          <t>25/07/26</t>
        </is>
      </c>
      <c r="J29" s="9" t="inlineStr">
        <is>
          <t>28/07/26</t>
        </is>
      </c>
      <c r="K29" s="8" t="inlineStr">
        <is>
          <t>-</t>
        </is>
      </c>
      <c r="L29" s="94" t="inlineStr">
        <is>
          <t>11.00</t>
        </is>
      </c>
      <c r="M29" s="23" t="n"/>
      <c r="N29" s="22" t="inlineStr">
        <is>
          <t>-</t>
        </is>
      </c>
      <c r="O29" s="23" t="n"/>
      <c r="P29" s="27" t="inlineStr">
        <is>
          <t>CTC RO/4A1C + 4 x ABF at THB 570 net/pax/nt **Billing to MI Squared Limited**
- 1 child (ages 2): FOC CBF</t>
        </is>
      </c>
      <c r="Q29" s="28" t="n"/>
      <c r="R29" s="28" t="n"/>
      <c r="S29" s="28" t="n"/>
      <c r="T29" s="28" t="n"/>
      <c r="U29" s="28" t="n"/>
      <c r="V29" s="23" t="n"/>
    </row>
    <row r="30" ht="114" customHeight="1">
      <c r="A30" s="93" t="inlineStr">
        <is>
          <t>Ms. Katkaew Kaewthaisong</t>
        </is>
      </c>
      <c r="B30" s="23" t="n"/>
      <c r="C30" s="7" t="inlineStr">
        <is>
          <t>-</t>
        </is>
      </c>
      <c r="D30" s="24" t="inlineStr">
        <is>
          <t>0071</t>
        </is>
      </c>
      <c r="E30" s="23" t="n"/>
      <c r="F30" s="24" t="inlineStr">
        <is>
          <t>-</t>
        </is>
      </c>
      <c r="G30" s="23" t="n"/>
      <c r="H30" s="8" t="inlineStr">
        <is>
          <t>4</t>
        </is>
      </c>
      <c r="I30" s="9" t="inlineStr">
        <is>
          <t>25/07/26</t>
        </is>
      </c>
      <c r="J30" s="9" t="inlineStr">
        <is>
          <t>28/07/26</t>
        </is>
      </c>
      <c r="K30" s="8" t="inlineStr">
        <is>
          <t>-</t>
        </is>
      </c>
      <c r="L30" s="94" t="inlineStr">
        <is>
          <t>15.00</t>
        </is>
      </c>
      <c r="M30" s="23" t="n"/>
      <c r="N30" s="22" t="inlineStr">
        <is>
          <t>-</t>
        </is>
      </c>
      <c r="O30" s="23" t="n"/>
      <c r="P30" s="27" t="inlineStr">
        <is>
          <t>CTC RO/4A + 4 x ABF @ 570 THB net per nt per pax **Billing to MI Squared Limited**</t>
        </is>
      </c>
      <c r="Q30" s="28" t="n"/>
      <c r="R30" s="28" t="n"/>
      <c r="S30" s="28" t="n"/>
      <c r="T30" s="28" t="n"/>
      <c r="U30" s="28" t="n"/>
      <c r="V30" s="23" t="n"/>
    </row>
    <row r="31" ht="114" customHeight="1">
      <c r="A31" s="93" t="inlineStr">
        <is>
          <t>Ms. Nattaporn Charoenpak</t>
        </is>
      </c>
      <c r="B31" s="23" t="n"/>
      <c r="C31" s="7" t="inlineStr">
        <is>
          <t>-</t>
        </is>
      </c>
      <c r="D31" s="24" t="inlineStr">
        <is>
          <t>0073</t>
        </is>
      </c>
      <c r="E31" s="23" t="n"/>
      <c r="F31" s="24" t="inlineStr">
        <is>
          <t>VIPO
GOLD</t>
        </is>
      </c>
      <c r="G31" s="23" t="n"/>
      <c r="H31" s="8" t="inlineStr">
        <is>
          <t>2</t>
        </is>
      </c>
      <c r="I31" s="9" t="inlineStr">
        <is>
          <t>25/07/26</t>
        </is>
      </c>
      <c r="J31" s="9" t="inlineStr">
        <is>
          <t>27/07/26</t>
        </is>
      </c>
      <c r="K31" s="8" t="inlineStr">
        <is>
          <t>-</t>
        </is>
      </c>
      <c r="L31" s="94" t="inlineStr">
        <is>
          <t>15.00</t>
        </is>
      </c>
      <c r="M31" s="23" t="n"/>
      <c r="N31" s="22" t="inlineStr">
        <is>
          <t>-</t>
        </is>
      </c>
      <c r="O31" s="23" t="n"/>
      <c r="P31" s="27" t="inlineStr">
        <is>
          <t>CTC RO/2A1C **Billing to AVC** - 1 CHD is infant  “Jade/Ruby” Club Benefits - 15% discount F&amp;B (including alcohol) and Spa Treatment (Excluding Products) - 15% discount on Best Available Rate on Rental (not Club Point) Bookings (Subject to blackout date) - Daily Housekeeping and Room Service - Welcome drink</t>
        </is>
      </c>
      <c r="Q31" s="28" t="n"/>
      <c r="R31" s="28" t="n"/>
      <c r="S31" s="28" t="n"/>
      <c r="T31" s="28" t="n"/>
      <c r="U31" s="28" t="n"/>
      <c r="V31" s="23" t="n"/>
    </row>
    <row r="32" ht="114" customHeight="1">
      <c r="A32" s="93" t="inlineStr">
        <is>
          <t>Ms. Chompunut Jenpoomjai</t>
        </is>
      </c>
      <c r="B32" s="23" t="n"/>
      <c r="C32" s="7" t="inlineStr">
        <is>
          <t>-</t>
        </is>
      </c>
      <c r="D32" s="24" t="inlineStr">
        <is>
          <t>0075</t>
        </is>
      </c>
      <c r="E32" s="23" t="n"/>
      <c r="F32" s="24" t="inlineStr">
        <is>
          <t>VIPO</t>
        </is>
      </c>
      <c r="G32" s="23" t="n"/>
      <c r="H32" s="8" t="inlineStr">
        <is>
          <t>5</t>
        </is>
      </c>
      <c r="I32" s="9" t="inlineStr">
        <is>
          <t>25/07/26</t>
        </is>
      </c>
      <c r="J32" s="9" t="inlineStr">
        <is>
          <t>26/07/26</t>
        </is>
      </c>
      <c r="K32" s="8" t="inlineStr">
        <is>
          <t>-</t>
        </is>
      </c>
      <c r="L32" s="94" t="inlineStr">
        <is>
          <t>15.00</t>
        </is>
      </c>
      <c r="M32" s="23" t="n"/>
      <c r="N32" s="22" t="inlineStr">
        <is>
          <t>-</t>
        </is>
      </c>
      <c r="O32" s="23" t="n"/>
      <c r="P32" s="27" t="inlineStr">
        <is>
          <t>CTC RO/5A **Billing to AVC**
“Diamond” Club Benefits
- 15% discount F&amp;B (including alcohol) and Spa Treatment (Excluding Products)
- 15% discount on Best Available Rate on Rental (not Club Point) Bookings (Subject to blackout date)
- Daily Housekeeping and Room Service
- VIP amenities
- Complimentary Early Check-In 12:00 hrs. (Subject to availability)
- Complimentary Late Check-Out 14:00 hrs. (Subject to availability)
- In Room or Fast Track Check-In</t>
        </is>
      </c>
      <c r="Q32" s="28" t="n"/>
      <c r="R32" s="28" t="n"/>
      <c r="S32" s="28" t="n"/>
      <c r="T32" s="28" t="n"/>
      <c r="U32" s="28" t="n"/>
      <c r="V32" s="23" t="n"/>
    </row>
    <row r="33" ht="114" customHeight="1">
      <c r="A33" s="93" t="inlineStr">
        <is>
          <t>Mr. Teerawut Eksorakul</t>
        </is>
      </c>
      <c r="B33" s="23" t="n"/>
      <c r="C33" s="7" t="inlineStr">
        <is>
          <t>-</t>
        </is>
      </c>
      <c r="D33" s="24" t="inlineStr">
        <is>
          <t>0076</t>
        </is>
      </c>
      <c r="E33" s="23" t="n"/>
      <c r="F33" s="24" t="inlineStr">
        <is>
          <t>VIPG
SILVER</t>
        </is>
      </c>
      <c r="G33" s="23" t="n"/>
      <c r="H33" s="8" t="inlineStr">
        <is>
          <t>2+1</t>
        </is>
      </c>
      <c r="I33" s="9" t="inlineStr">
        <is>
          <t>25/07/26</t>
        </is>
      </c>
      <c r="J33" s="9" t="inlineStr">
        <is>
          <t>28/07/26</t>
        </is>
      </c>
      <c r="K33" s="8" t="inlineStr">
        <is>
          <t>-</t>
        </is>
      </c>
      <c r="L33" s="94" t="inlineStr">
        <is>
          <t>13.05</t>
        </is>
      </c>
      <c r="M33" s="23" t="n"/>
      <c r="N33" s="22" t="inlineStr">
        <is>
          <t>-</t>
        </is>
      </c>
      <c r="O33" s="23" t="n"/>
      <c r="P33" s="27" t="inlineStr">
        <is>
          <t>CTC RO/2A1C + 2 x ABF @ 570 THB net per nt per pax + 1 CBF at THB 285 net per person **Billing to MI Squared Limited** 
-1 kid (Ages 5)</t>
        </is>
      </c>
      <c r="Q33" s="28" t="n"/>
      <c r="R33" s="28" t="n"/>
      <c r="S33" s="28" t="n"/>
      <c r="T33" s="28" t="n"/>
      <c r="U33" s="28" t="n"/>
      <c r="V33" s="23" t="n"/>
    </row>
    <row r="34" ht="114" customHeight="1">
      <c r="A34" s="93" t="inlineStr">
        <is>
          <t>Mr. Kajornpong Poolsawad</t>
        </is>
      </c>
      <c r="B34" s="23" t="n"/>
      <c r="C34" s="7" t="inlineStr">
        <is>
          <t>-</t>
        </is>
      </c>
      <c r="D34" s="24" t="inlineStr">
        <is>
          <t>0077</t>
        </is>
      </c>
      <c r="E34" s="23" t="n"/>
      <c r="F34" s="24" t="inlineStr">
        <is>
          <t>-</t>
        </is>
      </c>
      <c r="G34" s="23" t="n"/>
      <c r="H34" s="8" t="inlineStr">
        <is>
          <t>4+2</t>
        </is>
      </c>
      <c r="I34" s="9" t="inlineStr">
        <is>
          <t>25/07/26</t>
        </is>
      </c>
      <c r="J34" s="9" t="inlineStr">
        <is>
          <t>28/07/26</t>
        </is>
      </c>
      <c r="K34" s="8" t="inlineStr">
        <is>
          <t>-</t>
        </is>
      </c>
      <c r="L34" s="94" t="inlineStr">
        <is>
          <t>15.00</t>
        </is>
      </c>
      <c r="M34" s="23" t="n"/>
      <c r="N34" s="22" t="inlineStr">
        <is>
          <t>-</t>
        </is>
      </c>
      <c r="O34" s="23" t="n"/>
      <c r="P34" s="27" t="inlineStr">
        <is>
          <t>CTC RO/4A2C + 4 x ABF at THB 570 net/pax/nt + 1 x CBF at THB 285 net/child/nt **Billing to MI Squared Limited**
- 2 children (ages 2, 4)
- FOC 1 x CBF (2 Yrs.)</t>
        </is>
      </c>
      <c r="Q34" s="28" t="n"/>
      <c r="R34" s="28" t="n"/>
      <c r="S34" s="28" t="n"/>
      <c r="T34" s="28" t="n"/>
      <c r="U34" s="28" t="n"/>
      <c r="V34" s="23" t="n"/>
    </row>
    <row r="35" ht="114" customHeight="1">
      <c r="A35" s="93" t="inlineStr">
        <is>
          <t>Mr. Sornthep Sodsri</t>
        </is>
      </c>
      <c r="B35" s="23" t="n"/>
      <c r="C35" s="7" t="inlineStr">
        <is>
          <t>-</t>
        </is>
      </c>
      <c r="D35" s="24" t="inlineStr">
        <is>
          <t>1201</t>
        </is>
      </c>
      <c r="E35" s="23" t="n"/>
      <c r="F35" s="24" t="inlineStr">
        <is>
          <t>-</t>
        </is>
      </c>
      <c r="G35" s="23" t="n"/>
      <c r="H35" s="8" t="inlineStr">
        <is>
          <t>2</t>
        </is>
      </c>
      <c r="I35" s="9" t="inlineStr">
        <is>
          <t>25/07/26</t>
        </is>
      </c>
      <c r="J35" s="9" t="inlineStr">
        <is>
          <t>26/07/26</t>
        </is>
      </c>
      <c r="K35" s="8" t="inlineStr">
        <is>
          <t>-</t>
        </is>
      </c>
      <c r="L35" s="94" t="inlineStr">
        <is>
          <t>15.00</t>
        </is>
      </c>
      <c r="M35" s="23" t="n"/>
      <c r="N35" s="22" t="inlineStr">
        <is>
          <t>-</t>
        </is>
      </c>
      <c r="O35" s="23" t="n"/>
      <c r="P35" s="27" t="inlineStr">
        <is>
          <t>COA (see trace) RB/2A THB 2,732.08+++ per night
-17.5% comm prepaid THB 478.11 net</t>
        </is>
      </c>
      <c r="Q35" s="28" t="n"/>
      <c r="R35" s="28" t="n"/>
      <c r="S35" s="28" t="n"/>
      <c r="T35" s="28" t="n"/>
      <c r="U35" s="28" t="n"/>
      <c r="V35" s="23" t="n"/>
    </row>
    <row r="36" ht="114" customHeight="1">
      <c r="A36" s="93" t="inlineStr">
        <is>
          <t>Ms. Siwaporn Kuhamuk</t>
        </is>
      </c>
      <c r="B36" s="23" t="n"/>
      <c r="C36" s="7" t="inlineStr">
        <is>
          <t>-</t>
        </is>
      </c>
      <c r="D36" s="24" t="inlineStr">
        <is>
          <t>1202</t>
        </is>
      </c>
      <c r="E36" s="23" t="n"/>
      <c r="F36" s="24" t="inlineStr">
        <is>
          <t>VIPG
GOLD</t>
        </is>
      </c>
      <c r="G36" s="23" t="n"/>
      <c r="H36" s="8" t="inlineStr">
        <is>
          <t>2</t>
        </is>
      </c>
      <c r="I36" s="9" t="inlineStr">
        <is>
          <t>25/07/26</t>
        </is>
      </c>
      <c r="J36" s="9" t="inlineStr">
        <is>
          <t>26/07/26</t>
        </is>
      </c>
      <c r="K36" s="8" t="inlineStr">
        <is>
          <t>-</t>
        </is>
      </c>
      <c r="L36" s="94" t="inlineStr">
        <is>
          <t>15.00</t>
        </is>
      </c>
      <c r="M36" s="23" t="n"/>
      <c r="N36" s="22" t="inlineStr">
        <is>
          <t>-</t>
        </is>
      </c>
      <c r="O36" s="23" t="n"/>
      <c r="P36" s="27" t="inlineStr">
        <is>
          <t>PAID (Credit from PM Megatix) RB/2A THB 2,500 net per night (Booked from Travel Agency)
***Please assist in screening the guest's QR Code to redeem the voucher
-8.2 % comm prepaid THB 200.60 net
Tiew Thai Deal Includes:
-Accommodation
-Daily Breakfast
-20% savings on food and beverages
-20% savings on selected treatments at Avani Spa</t>
        </is>
      </c>
      <c r="Q36" s="28" t="n"/>
      <c r="R36" s="28" t="n"/>
      <c r="S36" s="28" t="n"/>
      <c r="T36" s="28" t="n"/>
      <c r="U36" s="28" t="n"/>
      <c r="V36" s="23" t="n"/>
    </row>
    <row r="37" ht="114" customHeight="1">
      <c r="A37" s="93" t="inlineStr">
        <is>
          <t>Ms. Kanlayanee Rattanapong</t>
        </is>
      </c>
      <c r="B37" s="23" t="n"/>
      <c r="C37" s="7" t="inlineStr">
        <is>
          <t>-</t>
        </is>
      </c>
      <c r="D37" s="24" t="inlineStr">
        <is>
          <t>1203</t>
        </is>
      </c>
      <c r="E37" s="23" t="n"/>
      <c r="F37" s="24" t="inlineStr">
        <is>
          <t>VIPG
SILVER</t>
        </is>
      </c>
      <c r="G37" s="23" t="n"/>
      <c r="H37" s="8" t="inlineStr">
        <is>
          <t>2</t>
        </is>
      </c>
      <c r="I37" s="9" t="inlineStr">
        <is>
          <t>25/07/26</t>
        </is>
      </c>
      <c r="J37" s="9" t="inlineStr">
        <is>
          <t>26/07/26</t>
        </is>
      </c>
      <c r="K37" s="8" t="inlineStr">
        <is>
          <t>-</t>
        </is>
      </c>
      <c r="L37" s="94" t="inlineStr">
        <is>
          <t>15.00</t>
        </is>
      </c>
      <c r="M37" s="23" t="n"/>
      <c r="N37" s="22" t="inlineStr">
        <is>
          <t>-</t>
        </is>
      </c>
      <c r="O37" s="23" t="n"/>
      <c r="P37" s="27" t="inlineStr">
        <is>
          <t>PAID RB/2A THB 2,646+++ per night
- party 3 rooms
Direct Booking benefit
• 20% savings on dining (excluding In-Room Dining, minibar &amp; alcoholic beverages) 
• 20% savings on spa treatment at Avani Spa (excluding Coco Breeze Salas)
• 20% savings on laundry service</t>
        </is>
      </c>
      <c r="Q37" s="28" t="n"/>
      <c r="R37" s="28" t="n"/>
      <c r="S37" s="28" t="n"/>
      <c r="T37" s="28" t="n"/>
      <c r="U37" s="28" t="n"/>
      <c r="V37" s="23" t="n"/>
    </row>
    <row r="38" ht="114" customHeight="1">
      <c r="A38" s="93" t="inlineStr">
        <is>
          <t>Ms. Kanlayanee Rattanapong</t>
        </is>
      </c>
      <c r="B38" s="23" t="n"/>
      <c r="C38" s="7" t="inlineStr">
        <is>
          <t>-</t>
        </is>
      </c>
      <c r="D38" s="24" t="inlineStr">
        <is>
          <t>1204</t>
        </is>
      </c>
      <c r="E38" s="23" t="n"/>
      <c r="F38" s="24" t="inlineStr">
        <is>
          <t>VIPG
SILVER</t>
        </is>
      </c>
      <c r="G38" s="23" t="n"/>
      <c r="H38" s="8" t="inlineStr">
        <is>
          <t>2</t>
        </is>
      </c>
      <c r="I38" s="9" t="inlineStr">
        <is>
          <t>25/07/26</t>
        </is>
      </c>
      <c r="J38" s="9" t="inlineStr">
        <is>
          <t>26/07/26</t>
        </is>
      </c>
      <c r="K38" s="8" t="inlineStr">
        <is>
          <t>-</t>
        </is>
      </c>
      <c r="L38" s="94" t="inlineStr">
        <is>
          <t>15.00</t>
        </is>
      </c>
      <c r="M38" s="23" t="n"/>
      <c r="N38" s="22" t="inlineStr">
        <is>
          <t>-</t>
        </is>
      </c>
      <c r="O38" s="23" t="n"/>
      <c r="P38" s="27" t="inlineStr">
        <is>
          <t>PAID (#850845683) RB/2A THB 2,646+++ per night
- Party 3 rooms
Direct Booking benefit
• 20% savings on dining (excluding In-Room Dining, minibar &amp; alcoholic beverages) 
• 20% savings on spa treatment at Avani Spa (excluding Coco Breeze Salas)
• 20% savings on laundry service</t>
        </is>
      </c>
      <c r="Q38" s="28" t="n"/>
      <c r="R38" s="28" t="n"/>
      <c r="S38" s="28" t="n"/>
      <c r="T38" s="28" t="n"/>
      <c r="U38" s="28" t="n"/>
      <c r="V38" s="23" t="n"/>
    </row>
    <row r="39" ht="114" customHeight="1">
      <c r="A39" s="93" t="inlineStr">
        <is>
          <t>Ms. Kanlayanee Rattanapong</t>
        </is>
      </c>
      <c r="B39" s="23" t="n"/>
      <c r="C39" s="7" t="inlineStr">
        <is>
          <t>-</t>
        </is>
      </c>
      <c r="D39" s="24" t="inlineStr">
        <is>
          <t>1205</t>
        </is>
      </c>
      <c r="E39" s="23" t="n"/>
      <c r="F39" s="24" t="inlineStr">
        <is>
          <t>VIPG
SILVER</t>
        </is>
      </c>
      <c r="G39" s="23" t="n"/>
      <c r="H39" s="8" t="inlineStr">
        <is>
          <t>2</t>
        </is>
      </c>
      <c r="I39" s="9" t="inlineStr">
        <is>
          <t>25/07/26</t>
        </is>
      </c>
      <c r="J39" s="9" t="inlineStr">
        <is>
          <t>26/07/26</t>
        </is>
      </c>
      <c r="K39" s="8" t="inlineStr">
        <is>
          <t>-</t>
        </is>
      </c>
      <c r="L39" s="94" t="inlineStr">
        <is>
          <t>15.00</t>
        </is>
      </c>
      <c r="M39" s="23" t="n"/>
      <c r="N39" s="22" t="inlineStr">
        <is>
          <t>-</t>
        </is>
      </c>
      <c r="O39" s="23" t="n"/>
      <c r="P39" s="27" t="inlineStr">
        <is>
          <t>PAID (#850845683) RB/2A THB 2,646+++ per night
- Party 3 rooms
Direct Booking benefit
• 20% savings on dining (excluding In-Room Dining, minibar &amp; alcoholic beverages) 
• 20% savings on spa treatment at Avani Spa (excluding Coco Breeze Salas)
• 20% savings on laundry service</t>
        </is>
      </c>
      <c r="Q39" s="28" t="n"/>
      <c r="R39" s="28" t="n"/>
      <c r="S39" s="28" t="n"/>
      <c r="T39" s="28" t="n"/>
      <c r="U39" s="28" t="n"/>
      <c r="V39" s="23" t="n"/>
    </row>
    <row r="40" ht="114" customHeight="1">
      <c r="A40" s="93" t="inlineStr">
        <is>
          <t>Mrs. Margarita Mirsaitova</t>
        </is>
      </c>
      <c r="B40" s="23" t="n"/>
      <c r="C40" s="7" t="inlineStr">
        <is>
          <t>-</t>
        </is>
      </c>
      <c r="D40" s="24" t="inlineStr">
        <is>
          <t>1206</t>
        </is>
      </c>
      <c r="E40" s="23" t="n"/>
      <c r="F40" s="24" t="inlineStr">
        <is>
          <t>VIPG
SILVER</t>
        </is>
      </c>
      <c r="G40" s="23" t="n"/>
      <c r="H40" s="8" t="inlineStr">
        <is>
          <t>2+2</t>
        </is>
      </c>
      <c r="I40" s="9" t="inlineStr">
        <is>
          <t>25/07/26</t>
        </is>
      </c>
      <c r="J40" s="9" t="inlineStr">
        <is>
          <t>26/07/26</t>
        </is>
      </c>
      <c r="K40" s="8" t="inlineStr">
        <is>
          <t>-</t>
        </is>
      </c>
      <c r="L40" s="94" t="inlineStr">
        <is>
          <t>15.00</t>
        </is>
      </c>
      <c r="M40" s="23" t="n"/>
      <c r="N40" s="22" t="inlineStr">
        <is>
          <t>-</t>
        </is>
      </c>
      <c r="O40" s="23" t="n"/>
      <c r="P40" s="27" t="inlineStr">
        <is>
          <t>PAID (PG) RB/2A THB 2,500 net per night
POA The 1st child with compulsory EXB at THB 882.75 net/chd/day **COL payment upon arrival**
Comp 1*ABF for 1 chd
-Chd age 7 and 9 yrs old
DISCOVERY – THAILAND RESIDENTS RATE
-Accommodation
-Daily breakfast
-20% off dining
-20% off selected treatments at AvaniSpa
-Proof of Thai residency must be presented at check-in, if not present the best flexible rate will be applied.</t>
        </is>
      </c>
      <c r="Q40" s="28" t="n"/>
      <c r="R40" s="28" t="n"/>
      <c r="S40" s="28" t="n"/>
      <c r="T40" s="28" t="n"/>
      <c r="U40" s="28" t="n"/>
      <c r="V40" s="23" t="n"/>
    </row>
    <row r="41" ht="114" customHeight="1">
      <c r="A41" s="93" t="inlineStr">
        <is>
          <t>Ms. Nattaporn Charoenpak</t>
        </is>
      </c>
      <c r="B41" s="23" t="n"/>
      <c r="C41" s="7" t="inlineStr">
        <is>
          <t>-</t>
        </is>
      </c>
      <c r="D41" s="24" t="inlineStr">
        <is>
          <t>1207</t>
        </is>
      </c>
      <c r="E41" s="23" t="n"/>
      <c r="F41" s="24" t="inlineStr">
        <is>
          <t>VIPO
GOLD</t>
        </is>
      </c>
      <c r="G41" s="23" t="n"/>
      <c r="H41" s="8" t="inlineStr">
        <is>
          <t>2</t>
        </is>
      </c>
      <c r="I41" s="9" t="inlineStr">
        <is>
          <t>25/07/26</t>
        </is>
      </c>
      <c r="J41" s="9" t="inlineStr">
        <is>
          <t>26/07/26</t>
        </is>
      </c>
      <c r="K41" s="8" t="inlineStr">
        <is>
          <t>-</t>
        </is>
      </c>
      <c r="L41" s="94" t="inlineStr">
        <is>
          <t>15.00</t>
        </is>
      </c>
      <c r="M41" s="23" t="n"/>
      <c r="N41" s="22" t="inlineStr">
        <is>
          <t>-</t>
        </is>
      </c>
      <c r="O41" s="23" t="n"/>
      <c r="P41" s="27" t="inlineStr">
        <is>
          <t>PAID (PG) RB/2A THB 2,700 net per night    DISCOVERY – THAILAND RESIDENTS RATE - Accommodation  - Daily breakfast  - 20% off dining  - 20% off selected treatments at AvaniSpa  - Proof of Thai residency must be presented at check-in</t>
        </is>
      </c>
      <c r="Q41" s="28" t="n"/>
      <c r="R41" s="28" t="n"/>
      <c r="S41" s="28" t="n"/>
      <c r="T41" s="28" t="n"/>
      <c r="U41" s="28" t="n"/>
      <c r="V41" s="23" t="n"/>
    </row>
    <row r="42" ht="114" customHeight="1">
      <c r="A42" s="93" t="inlineStr">
        <is>
          <t>Ms. Olga Goncharenko</t>
        </is>
      </c>
      <c r="B42" s="23" t="n"/>
      <c r="C42" s="7" t="inlineStr">
        <is>
          <t>-</t>
        </is>
      </c>
      <c r="D42" s="24" t="inlineStr">
        <is>
          <t>1209</t>
        </is>
      </c>
      <c r="E42" s="23" t="n"/>
      <c r="F42" s="24" t="inlineStr">
        <is>
          <t>VIPR
GOLD</t>
        </is>
      </c>
      <c r="G42" s="23" t="n"/>
      <c r="H42" s="8" t="inlineStr">
        <is>
          <t>2</t>
        </is>
      </c>
      <c r="I42" s="9" t="inlineStr">
        <is>
          <t>25/07/26</t>
        </is>
      </c>
      <c r="J42" s="9" t="inlineStr">
        <is>
          <t>26/07/26</t>
        </is>
      </c>
      <c r="K42" s="8" t="inlineStr">
        <is>
          <t>-</t>
        </is>
      </c>
      <c r="L42" s="94" t="inlineStr">
        <is>
          <t>13.00</t>
        </is>
      </c>
      <c r="M42" s="23" t="n"/>
      <c r="N42" s="22" t="inlineStr">
        <is>
          <t>-</t>
        </is>
      </c>
      <c r="O42" s="23" t="n"/>
      <c r="P42" s="27" t="inlineStr">
        <is>
          <t>PAID (PG) RB/2A THB 2,500 net per night
-Chek in time about 13:00 if possible
DISCOVERY – THAILAND RESIDENTS RATE
-Accommodation
-Daily breakfast
-20% off dining
-20% off selected treatments at AvaniSpa
-Proof of Thai residency must be presented at check-in, if not present the best flexible rate will be applied.</t>
        </is>
      </c>
      <c r="Q42" s="28" t="n"/>
      <c r="R42" s="28" t="n"/>
      <c r="S42" s="28" t="n"/>
      <c r="T42" s="28" t="n"/>
      <c r="U42" s="28" t="n"/>
      <c r="V42" s="23" t="n"/>
    </row>
    <row r="43" ht="114" customHeight="1">
      <c r="A43" s="93" t="inlineStr">
        <is>
          <t>Mr. Thammasak Masapsomboon</t>
        </is>
      </c>
      <c r="B43" s="23" t="n"/>
      <c r="C43" s="7" t="inlineStr">
        <is>
          <t>-</t>
        </is>
      </c>
      <c r="D43" s="24" t="inlineStr">
        <is>
          <t>1302</t>
        </is>
      </c>
      <c r="E43" s="23" t="n"/>
      <c r="F43" s="24" t="inlineStr">
        <is>
          <t>VIPG
SILVER</t>
        </is>
      </c>
      <c r="G43" s="23" t="n"/>
      <c r="H43" s="8" t="inlineStr">
        <is>
          <t>2+1</t>
        </is>
      </c>
      <c r="I43" s="9" t="inlineStr">
        <is>
          <t>25/07/26</t>
        </is>
      </c>
      <c r="J43" s="9" t="inlineStr">
        <is>
          <t>26/07/26</t>
        </is>
      </c>
      <c r="K43" s="8" t="inlineStr">
        <is>
          <t>-</t>
        </is>
      </c>
      <c r="L43" s="94" t="inlineStr">
        <is>
          <t>15.00</t>
        </is>
      </c>
      <c r="M43" s="23" t="n"/>
      <c r="N43" s="22" t="inlineStr">
        <is>
          <t>-</t>
        </is>
      </c>
      <c r="O43" s="23" t="n"/>
      <c r="P43" s="27" t="inlineStr">
        <is>
          <t>PAID (PG) RB/2A THB 2,500 net per night  -15% comm kickback THB 315.92 net  -FOC 1 infant    DISCOVERY – THAILAND RESIDENTS RATE  -Accommodation -Daily breakfast  -20% off dining  -20% off selected treatments at AvaniSpa  -Proof of Thai residency must be presented at check-in</t>
        </is>
      </c>
      <c r="Q43" s="28" t="n"/>
      <c r="R43" s="28" t="n"/>
      <c r="S43" s="28" t="n"/>
      <c r="T43" s="28" t="n"/>
      <c r="U43" s="28" t="n"/>
      <c r="V43" s="23" t="n"/>
    </row>
    <row r="44" ht="114" customHeight="1">
      <c r="A44" s="93" t="inlineStr">
        <is>
          <t>Mrs. Sawadee Yaemkanchoo</t>
        </is>
      </c>
      <c r="B44" s="23" t="n"/>
      <c r="C44" s="7" t="inlineStr">
        <is>
          <t>-</t>
        </is>
      </c>
      <c r="D44" s="24" t="inlineStr">
        <is>
          <t>1304</t>
        </is>
      </c>
      <c r="E44" s="23" t="n"/>
      <c r="F44" s="24" t="inlineStr">
        <is>
          <t>VIPG
SILVER</t>
        </is>
      </c>
      <c r="G44" s="23" t="n"/>
      <c r="H44" s="8" t="inlineStr">
        <is>
          <t>2+1</t>
        </is>
      </c>
      <c r="I44" s="9" t="inlineStr">
        <is>
          <t>25/07/26</t>
        </is>
      </c>
      <c r="J44" s="9" t="inlineStr">
        <is>
          <t>26/07/26</t>
        </is>
      </c>
      <c r="K44" s="8" t="inlineStr">
        <is>
          <t>-</t>
        </is>
      </c>
      <c r="L44" s="94" t="inlineStr">
        <is>
          <t>15.00</t>
        </is>
      </c>
      <c r="M44" s="23" t="n"/>
      <c r="N44" s="22" t="inlineStr">
        <is>
          <t>-</t>
        </is>
      </c>
      <c r="O44" s="23" t="n"/>
      <c r="P44" s="27" t="inlineStr">
        <is>
          <t>PAID RB/2A1C THB 2,900 net per night
- CHD (Ages below 3 yrs.)
- Line name: Noodee
- Strongly request quiet room + away from elevator
- INH guest BK#849953724: 20-25/07/26 extend stay same room
STAY &amp; BENEFITS: Bonus Credit Escape
- Daily Breakfast
- THB 500 resort credit per night **FO Cost allocation to 81108**
- No minimum length of stay required
- 20% savings on food and beverages
- 20% savings on selected treatments at AvaniSpa
**Received a THB 500 net Resort Credit via LINE Wallet (Laguna Group special). #Charge to S&amp;M. Please ask the guest present the voucher upon redemption**</t>
        </is>
      </c>
      <c r="Q44" s="28" t="n"/>
      <c r="R44" s="28" t="n"/>
      <c r="S44" s="28" t="n"/>
      <c r="T44" s="28" t="n"/>
      <c r="U44" s="28" t="n"/>
      <c r="V44" s="23" t="n"/>
    </row>
    <row r="45" ht="114" customHeight="1">
      <c r="A45" s="93" t="inlineStr">
        <is>
          <t>Mrs. Jitsopin Khumrak</t>
        </is>
      </c>
      <c r="B45" s="23" t="n"/>
      <c r="C45" s="7" t="inlineStr">
        <is>
          <t>-</t>
        </is>
      </c>
      <c r="D45" s="24" t="inlineStr">
        <is>
          <t>1305</t>
        </is>
      </c>
      <c r="E45" s="23" t="n"/>
      <c r="F45" s="24" t="inlineStr">
        <is>
          <t>-</t>
        </is>
      </c>
      <c r="G45" s="23" t="n"/>
      <c r="H45" s="8" t="inlineStr">
        <is>
          <t>2</t>
        </is>
      </c>
      <c r="I45" s="9" t="inlineStr">
        <is>
          <t>25/07/26</t>
        </is>
      </c>
      <c r="J45" s="9" t="inlineStr">
        <is>
          <t>26/07/26</t>
        </is>
      </c>
      <c r="K45" s="8" t="inlineStr">
        <is>
          <t>-</t>
        </is>
      </c>
      <c r="L45" s="94" t="inlineStr">
        <is>
          <t>15.00</t>
        </is>
      </c>
      <c r="M45" s="23" t="n"/>
      <c r="N45" s="22" t="inlineStr">
        <is>
          <t>-</t>
        </is>
      </c>
      <c r="O45" s="23" t="n"/>
      <c r="P45" s="27" t="inlineStr">
        <is>
          <t>PAID RB/2A THB 2,900 net per night 
- Party 5 rms.
STAY &amp; BENEFITS: Bonus Credit Escape
- Daily Breakfast
- THB 500 resort credit per night **FO Cost allocation to 81108**
- No minimum length of stay required
- Purchase your voucher today and choose your stay dates later
- 20% savings on food and beverages
- 20% savings on selected treatments at AvaniSpa</t>
        </is>
      </c>
      <c r="Q45" s="28" t="n"/>
      <c r="R45" s="28" t="n"/>
      <c r="S45" s="28" t="n"/>
      <c r="T45" s="28" t="n"/>
      <c r="U45" s="28" t="n"/>
      <c r="V45" s="23" t="n"/>
    </row>
    <row r="46" ht="114" customHeight="1">
      <c r="A46" s="93" t="inlineStr">
        <is>
          <t>Mrs. Jitsopin Khumrak</t>
        </is>
      </c>
      <c r="B46" s="23" t="n"/>
      <c r="C46" s="7" t="inlineStr">
        <is>
          <t>-</t>
        </is>
      </c>
      <c r="D46" s="24" t="inlineStr">
        <is>
          <t>1306</t>
        </is>
      </c>
      <c r="E46" s="23" t="n"/>
      <c r="F46" s="24" t="inlineStr">
        <is>
          <t>-</t>
        </is>
      </c>
      <c r="G46" s="23" t="n"/>
      <c r="H46" s="8" t="inlineStr">
        <is>
          <t>2+2</t>
        </is>
      </c>
      <c r="I46" s="9" t="inlineStr">
        <is>
          <t>25/07/26</t>
        </is>
      </c>
      <c r="J46" s="9" t="inlineStr">
        <is>
          <t>26/07/26</t>
        </is>
      </c>
      <c r="K46" s="8" t="inlineStr">
        <is>
          <t>-</t>
        </is>
      </c>
      <c r="L46" s="94" t="inlineStr">
        <is>
          <t>15.00</t>
        </is>
      </c>
      <c r="M46" s="23" t="n"/>
      <c r="N46" s="22" t="inlineStr">
        <is>
          <t>-</t>
        </is>
      </c>
      <c r="O46" s="23" t="n"/>
      <c r="P46" s="27" t="inlineStr">
        <is>
          <t>PAID (PG) RB/2A THB 2,500 net per night + 1 x CBF at THB 375 net per night 
- 2 CHD (Ages 9,2)
- FOC 1 CHD (Ages 2)
- Party 4 rms.
Hello 365 Days Review – Exclusive Benefits
-Daily breakfast for 2 persons
-Children under 4 stay free (sharing existing bed)
-20% discount on food &amp; beverage (excluding alcohol, in-room dinning and minibar)
-20% discount on treatment at AvaniSpa (excluding ongoing promotions)</t>
        </is>
      </c>
      <c r="Q46" s="28" t="n"/>
      <c r="R46" s="28" t="n"/>
      <c r="S46" s="28" t="n"/>
      <c r="T46" s="28" t="n"/>
      <c r="U46" s="28" t="n"/>
      <c r="V46" s="23" t="n"/>
    </row>
    <row r="47" ht="114" customHeight="1">
      <c r="A47" s="93" t="inlineStr">
        <is>
          <t>Mrs. Jitsopin Khumrak</t>
        </is>
      </c>
      <c r="B47" s="23" t="n"/>
      <c r="C47" s="7" t="inlineStr">
        <is>
          <t>-</t>
        </is>
      </c>
      <c r="D47" s="24" t="inlineStr">
        <is>
          <t>1307</t>
        </is>
      </c>
      <c r="E47" s="23" t="n"/>
      <c r="F47" s="24" t="inlineStr">
        <is>
          <t>-</t>
        </is>
      </c>
      <c r="G47" s="23" t="n"/>
      <c r="H47" s="8" t="inlineStr">
        <is>
          <t>2+2</t>
        </is>
      </c>
      <c r="I47" s="9" t="inlineStr">
        <is>
          <t>25/07/26</t>
        </is>
      </c>
      <c r="J47" s="9" t="inlineStr">
        <is>
          <t>26/07/26</t>
        </is>
      </c>
      <c r="K47" s="8" t="inlineStr">
        <is>
          <t>-</t>
        </is>
      </c>
      <c r="L47" s="94" t="inlineStr">
        <is>
          <t>15.00</t>
        </is>
      </c>
      <c r="M47" s="23" t="n"/>
      <c r="N47" s="22" t="inlineStr">
        <is>
          <t>-</t>
        </is>
      </c>
      <c r="O47" s="23" t="n"/>
      <c r="P47" s="27" t="inlineStr">
        <is>
          <t>PAID(PG) RB/2A THB 2,500 net per night + 2 x CBF at THB 375 net per night 
- 2 CHD (5y 5y)
- Party 4 rms.
Hello 365 Days Review – Exclusive Benefits
-Daily breakfast for 2 persons
-Children under 4 stay free (sharing existing bed)
-20% discount on food &amp; beverage (excluding alcohol, in-room dinning and minibar)
-20% discount on treatment at AvaniSpa (excluding ongoing promotions)</t>
        </is>
      </c>
      <c r="Q47" s="28" t="n"/>
      <c r="R47" s="28" t="n"/>
      <c r="S47" s="28" t="n"/>
      <c r="T47" s="28" t="n"/>
      <c r="U47" s="28" t="n"/>
      <c r="V47" s="23" t="n"/>
    </row>
    <row r="48" ht="114" customHeight="1">
      <c r="A48" s="93" t="inlineStr">
        <is>
          <t>Mrs. Jitsopin Khumrak</t>
        </is>
      </c>
      <c r="B48" s="23" t="n"/>
      <c r="C48" s="7" t="inlineStr">
        <is>
          <t>-</t>
        </is>
      </c>
      <c r="D48" s="24" t="inlineStr">
        <is>
          <t>1308</t>
        </is>
      </c>
      <c r="E48" s="23" t="n"/>
      <c r="F48" s="24" t="inlineStr">
        <is>
          <t>-</t>
        </is>
      </c>
      <c r="G48" s="23" t="n"/>
      <c r="H48" s="8" t="inlineStr">
        <is>
          <t>2+2</t>
        </is>
      </c>
      <c r="I48" s="9" t="inlineStr">
        <is>
          <t>25/07/26</t>
        </is>
      </c>
      <c r="J48" s="9" t="inlineStr">
        <is>
          <t>26/07/26</t>
        </is>
      </c>
      <c r="K48" s="8" t="inlineStr">
        <is>
          <t>-</t>
        </is>
      </c>
      <c r="L48" s="94" t="inlineStr">
        <is>
          <t>15.00</t>
        </is>
      </c>
      <c r="M48" s="23" t="n"/>
      <c r="N48" s="22" t="inlineStr">
        <is>
          <t>-</t>
        </is>
      </c>
      <c r="O48" s="23" t="n"/>
      <c r="P48" s="27" t="inlineStr">
        <is>
          <t>PAID (PG) RB/2A THB 2,500 net per night + 1 x CBF at THB 375 net per night 
- 2C 5y 3y
- FOC 1C 3y
- Party 4 rms.
Hello 365 Days Review – Exclusive Benefits
-Daily breakfast for 2 persons
-Children under 4 stay free (sharing existing bed)
-20% discount on food &amp; beverage (excluding alcohol, in-room dinning and minibar)
-20% discount on treatment at AvaniSpa (excluding ongoing promotions)</t>
        </is>
      </c>
      <c r="Q48" s="28" t="n"/>
      <c r="R48" s="28" t="n"/>
      <c r="S48" s="28" t="n"/>
      <c r="T48" s="28" t="n"/>
      <c r="U48" s="28" t="n"/>
      <c r="V48" s="23" t="n"/>
    </row>
    <row r="49" ht="114" customHeight="1">
      <c r="A49" s="93" t="inlineStr">
        <is>
          <t>Mrs. Jitsopin Khumrak</t>
        </is>
      </c>
      <c r="B49" s="23" t="n"/>
      <c r="C49" s="7" t="inlineStr">
        <is>
          <t>-</t>
        </is>
      </c>
      <c r="D49" s="24" t="inlineStr">
        <is>
          <t>1309</t>
        </is>
      </c>
      <c r="E49" s="23" t="n"/>
      <c r="F49" s="24" t="inlineStr">
        <is>
          <t>-</t>
        </is>
      </c>
      <c r="G49" s="23" t="n"/>
      <c r="H49" s="8" t="inlineStr">
        <is>
          <t>2</t>
        </is>
      </c>
      <c r="I49" s="9" t="inlineStr">
        <is>
          <t>25/07/26</t>
        </is>
      </c>
      <c r="J49" s="9" t="inlineStr">
        <is>
          <t>26/07/26</t>
        </is>
      </c>
      <c r="K49" s="8" t="inlineStr">
        <is>
          <t>-</t>
        </is>
      </c>
      <c r="L49" s="94" t="inlineStr">
        <is>
          <t>15.00</t>
        </is>
      </c>
      <c r="M49" s="23" t="n"/>
      <c r="N49" s="22" t="inlineStr">
        <is>
          <t>-</t>
        </is>
      </c>
      <c r="O49" s="23" t="n"/>
      <c r="P49" s="27" t="inlineStr">
        <is>
          <t>PAID (PG) RB/2A THB 2,500 net per night 
- Party 4 rms.
THAILAND RESIDENTS RATE :
- Accommodation
- Daily breakfast
- 20% off dining
- 20% off selected treatments at AvaniSpa
- Proof of Thai residency must be presented at check-in</t>
        </is>
      </c>
      <c r="Q49" s="28" t="n"/>
      <c r="R49" s="28" t="n"/>
      <c r="S49" s="28" t="n"/>
      <c r="T49" s="28" t="n"/>
      <c r="U49" s="28" t="n"/>
      <c r="V49" s="23" t="n"/>
    </row>
    <row r="50" ht="114" customHeight="1">
      <c r="A50" s="93" t="inlineStr">
        <is>
          <t>Mrs. Nataliia Soladtenko</t>
        </is>
      </c>
      <c r="B50" s="23" t="n"/>
      <c r="C50" s="7" t="inlineStr">
        <is>
          <t>-</t>
        </is>
      </c>
      <c r="D50" s="24" t="inlineStr">
        <is>
          <t>1314</t>
        </is>
      </c>
      <c r="E50" s="23" t="n"/>
      <c r="F50" s="24" t="inlineStr">
        <is>
          <t>VIPG
SILVER</t>
        </is>
      </c>
      <c r="G50" s="23" t="n"/>
      <c r="H50" s="8" t="inlineStr">
        <is>
          <t>1+2</t>
        </is>
      </c>
      <c r="I50" s="9" t="inlineStr">
        <is>
          <t>25/07/26</t>
        </is>
      </c>
      <c r="J50" s="9" t="inlineStr">
        <is>
          <t>26/07/26</t>
        </is>
      </c>
      <c r="K50" s="8" t="inlineStr">
        <is>
          <t>-</t>
        </is>
      </c>
      <c r="L50" s="94" t="inlineStr">
        <is>
          <t>15.00</t>
        </is>
      </c>
      <c r="M50" s="23" t="n"/>
      <c r="N50" s="22" t="inlineStr">
        <is>
          <t>-</t>
        </is>
      </c>
      <c r="O50" s="23" t="n"/>
      <c r="P50" s="27" t="inlineStr">
        <is>
          <t>PAID (PG) RB/1A2C THB 3,650 net per night
- Need extra bed
- CHD age 6 and 10 yrs old
DISCOVERY – THAILAND RESIDENTS RATE
-Accommodation
-Daily breakfast
-20% off dining
-20% off selected treatments at AvaniSpa
-Proof of Thai residency must be presented at check-in, if not present, the best flexible rate will be applied.</t>
        </is>
      </c>
      <c r="Q50" s="28" t="n"/>
      <c r="R50" s="28" t="n"/>
      <c r="S50" s="28" t="n"/>
      <c r="T50" s="28" t="n"/>
      <c r="U50" s="28" t="n"/>
      <c r="V50" s="23" t="n"/>
    </row>
    <row r="51" ht="114" customHeight="1">
      <c r="A51" s="93" t="inlineStr">
        <is>
          <t>Ms. Nittaya Ekpinijpittya</t>
        </is>
      </c>
      <c r="B51" s="23" t="n"/>
      <c r="C51" s="7" t="inlineStr">
        <is>
          <t>-</t>
        </is>
      </c>
      <c r="D51" s="24" t="inlineStr">
        <is>
          <t>1417</t>
        </is>
      </c>
      <c r="E51" s="23" t="n"/>
      <c r="F51" s="24" t="inlineStr">
        <is>
          <t>-</t>
        </is>
      </c>
      <c r="G51" s="23" t="n"/>
      <c r="H51" s="8" t="inlineStr">
        <is>
          <t>3</t>
        </is>
      </c>
      <c r="I51" s="9" t="inlineStr">
        <is>
          <t>25/07/26</t>
        </is>
      </c>
      <c r="J51" s="9" t="inlineStr">
        <is>
          <t>26/07/26</t>
        </is>
      </c>
      <c r="K51" s="8" t="inlineStr">
        <is>
          <t>-</t>
        </is>
      </c>
      <c r="L51" s="94" t="inlineStr">
        <is>
          <t>15.00</t>
        </is>
      </c>
      <c r="M51" s="23" t="n"/>
      <c r="N51" s="22" t="inlineStr">
        <is>
          <t>-</t>
        </is>
      </c>
      <c r="O51" s="23" t="n"/>
      <c r="P51" s="27" t="inlineStr">
        <is>
          <t>PAID RB/3A THB 4,400 net per night
- Party 3 rooms
STAY &amp; BENEFITS: Bonus Credit Escape
- Daily Breakfast
- THB 500 resort credit per night **FO Cost allocation to 81108**
- No minimum length of stay required
- Purchase your voucher today and choose your stay dates later
- 20% savings on food and beverages
- 20% savings on selected treatments at AvaniSpa</t>
        </is>
      </c>
      <c r="Q51" s="28" t="n"/>
      <c r="R51" s="28" t="n"/>
      <c r="S51" s="28" t="n"/>
      <c r="T51" s="28" t="n"/>
      <c r="U51" s="28" t="n"/>
      <c r="V51" s="23" t="n"/>
    </row>
    <row r="52" ht="114" customHeight="1">
      <c r="A52" s="93" t="inlineStr">
        <is>
          <t>Ms. Nittaya Ekpinijpittya</t>
        </is>
      </c>
      <c r="B52" s="23" t="n"/>
      <c r="C52" s="7" t="inlineStr">
        <is>
          <t>-</t>
        </is>
      </c>
      <c r="D52" s="24" t="inlineStr">
        <is>
          <t>1418</t>
        </is>
      </c>
      <c r="E52" s="23" t="n"/>
      <c r="F52" s="24" t="inlineStr">
        <is>
          <t>-</t>
        </is>
      </c>
      <c r="G52" s="23" t="n"/>
      <c r="H52" s="8" t="inlineStr">
        <is>
          <t>2</t>
        </is>
      </c>
      <c r="I52" s="9" t="inlineStr">
        <is>
          <t>25/07/26</t>
        </is>
      </c>
      <c r="J52" s="9" t="inlineStr">
        <is>
          <t>26/07/26</t>
        </is>
      </c>
      <c r="K52" s="8" t="inlineStr">
        <is>
          <t>-</t>
        </is>
      </c>
      <c r="L52" s="94" t="inlineStr">
        <is>
          <t>15.00</t>
        </is>
      </c>
      <c r="M52" s="23" t="n"/>
      <c r="N52" s="22" t="inlineStr">
        <is>
          <t>-</t>
        </is>
      </c>
      <c r="O52" s="23" t="n"/>
      <c r="P52" s="27" t="inlineStr">
        <is>
          <t>PAID RB/2A THB 2,900 net per night
- Party 3 rooms
STAY &amp; BENEFITS: Bonus Credit Escape
- Daily Breakfast
- THB 500 resort credit per night **FO Cost allocation to 81108**
- No minimum length of stay required
- Purchase your voucher today and choose your stay dates later
- 20% savings on food and beverages
- 20% savings on selected treatments at AvaniSpa</t>
        </is>
      </c>
      <c r="Q52" s="28" t="n"/>
      <c r="R52" s="28" t="n"/>
      <c r="S52" s="28" t="n"/>
      <c r="T52" s="28" t="n"/>
      <c r="U52" s="28" t="n"/>
      <c r="V52" s="23" t="n"/>
    </row>
    <row r="53" ht="114" customHeight="1">
      <c r="A53" s="93" t="inlineStr">
        <is>
          <t>Ms. Nittaya Ekpinijpittya</t>
        </is>
      </c>
      <c r="B53" s="23" t="n"/>
      <c r="C53" s="7" t="inlineStr">
        <is>
          <t>-</t>
        </is>
      </c>
      <c r="D53" s="24" t="inlineStr">
        <is>
          <t>1419</t>
        </is>
      </c>
      <c r="E53" s="23" t="n"/>
      <c r="F53" s="24" t="inlineStr">
        <is>
          <t>-</t>
        </is>
      </c>
      <c r="G53" s="23" t="n"/>
      <c r="H53" s="8" t="inlineStr">
        <is>
          <t>2</t>
        </is>
      </c>
      <c r="I53" s="9" t="inlineStr">
        <is>
          <t>25/07/26</t>
        </is>
      </c>
      <c r="J53" s="9" t="inlineStr">
        <is>
          <t>26/07/26</t>
        </is>
      </c>
      <c r="K53" s="8" t="inlineStr">
        <is>
          <t>-</t>
        </is>
      </c>
      <c r="L53" s="94" t="inlineStr">
        <is>
          <t>15.00</t>
        </is>
      </c>
      <c r="M53" s="23" t="n"/>
      <c r="N53" s="22" t="inlineStr">
        <is>
          <t>-</t>
        </is>
      </c>
      <c r="O53" s="23" t="n"/>
      <c r="P53" s="27" t="inlineStr">
        <is>
          <t>PAID RB/2A THB 2,900 net per night
- Party 3 rooms
STAY &amp; BENEFITS: Bonus Credit Escape
- Daily Breakfast
- THB 500 resort credit per night **FO Cost allocation to 81108**
- No minimum length of stay required
- Purchase your voucher today and choose your stay dates later
- 20% savings on food and beverages
- 20% savings on selected treatments at AvaniSpa</t>
        </is>
      </c>
      <c r="Q53" s="28" t="n"/>
      <c r="R53" s="28" t="n"/>
      <c r="S53" s="28" t="n"/>
      <c r="T53" s="28" t="n"/>
      <c r="U53" s="28" t="n"/>
      <c r="V53" s="23" t="n"/>
    </row>
    <row r="54" ht="114" customHeight="1">
      <c r="A54" s="93" t="inlineStr">
        <is>
          <t>Mr. Atthaphon Pattanee</t>
        </is>
      </c>
      <c r="B54" s="23" t="n"/>
      <c r="C54" s="7" t="inlineStr">
        <is>
          <t>-</t>
        </is>
      </c>
      <c r="D54" s="24" t="inlineStr">
        <is>
          <t>1420</t>
        </is>
      </c>
      <c r="E54" s="23" t="n"/>
      <c r="F54" s="24" t="inlineStr">
        <is>
          <t>-</t>
        </is>
      </c>
      <c r="G54" s="23" t="n"/>
      <c r="H54" s="8" t="inlineStr">
        <is>
          <t>2+1</t>
        </is>
      </c>
      <c r="I54" s="9" t="inlineStr">
        <is>
          <t>25/07/26</t>
        </is>
      </c>
      <c r="J54" s="9" t="inlineStr">
        <is>
          <t>26/07/26</t>
        </is>
      </c>
      <c r="K54" s="8" t="inlineStr">
        <is>
          <t>-</t>
        </is>
      </c>
      <c r="L54" s="94" t="inlineStr">
        <is>
          <t>15.00</t>
        </is>
      </c>
      <c r="M54" s="23" t="n"/>
      <c r="N54" s="22" t="inlineStr">
        <is>
          <t>-</t>
        </is>
      </c>
      <c r="O54" s="23" t="n"/>
      <c r="P54" s="27" t="inlineStr">
        <is>
          <t>PAID RB/2A THB 2,500 net per night
-  FOC 1 CHD (Ages 3 yrs )
- Party 3 RMS.
THAILAND RESIDENTS RATE - "Hello 365 Days Review"
• Daily breakfast for 2 persons
• Children under 4 stay free (sharing existing bedding)
• 20% discount on food &amp; beverages (excluding alcohol, in-room dining, and minibar)
• 20% discount on treatments at AvaniSpa (excluding ongoing promotions)</t>
        </is>
      </c>
      <c r="Q54" s="28" t="n"/>
      <c r="R54" s="28" t="n"/>
      <c r="S54" s="28" t="n"/>
      <c r="T54" s="28" t="n"/>
      <c r="U54" s="28" t="n"/>
      <c r="V54" s="23" t="n"/>
    </row>
    <row r="55" ht="114" customHeight="1">
      <c r="A55" s="93" t="inlineStr">
        <is>
          <t>Mrs. Amornrat Krohlek</t>
        </is>
      </c>
      <c r="B55" s="23" t="n"/>
      <c r="C55" s="7" t="inlineStr">
        <is>
          <t>-</t>
        </is>
      </c>
      <c r="D55" s="24" t="inlineStr">
        <is>
          <t>1421</t>
        </is>
      </c>
      <c r="E55" s="23" t="n"/>
      <c r="F55" s="24" t="inlineStr">
        <is>
          <t>-</t>
        </is>
      </c>
      <c r="G55" s="23" t="n"/>
      <c r="H55" s="8" t="inlineStr">
        <is>
          <t>2+1</t>
        </is>
      </c>
      <c r="I55" s="9" t="inlineStr">
        <is>
          <t>25/07/26</t>
        </is>
      </c>
      <c r="J55" s="9" t="inlineStr">
        <is>
          <t>26/07/26</t>
        </is>
      </c>
      <c r="K55" s="8" t="inlineStr">
        <is>
          <t>-</t>
        </is>
      </c>
      <c r="L55" s="94" t="inlineStr">
        <is>
          <t>15.00</t>
        </is>
      </c>
      <c r="M55" s="23" t="n"/>
      <c r="N55" s="22" t="inlineStr">
        <is>
          <t>-</t>
        </is>
      </c>
      <c r="O55" s="23" t="n"/>
      <c r="P55" s="27" t="inlineStr">
        <is>
          <t>PAID RB/2A THB 2,500 net per night + 1 CBF THB 375 net per day
- CHD (Ages 9 yrs)
- Party 3 RMS.
THAILAND RESIDENTS RATE - "Hello 365 Days Review"
• Daily breakfast for 2 persons
• Children under 4 stay free (sharing existing bedding)
• 20% discount on food &amp; beverages (excluding alcohol, in-room dining, and minibar)
• 20% discount on treatments at AvaniSpa (excluding ongoing promotions)</t>
        </is>
      </c>
      <c r="Q55" s="28" t="n"/>
      <c r="R55" s="28" t="n"/>
      <c r="S55" s="28" t="n"/>
      <c r="T55" s="28" t="n"/>
      <c r="U55" s="28" t="n"/>
      <c r="V55" s="23" t="n"/>
    </row>
    <row r="56" ht="114" customHeight="1">
      <c r="A56" s="93" t="inlineStr">
        <is>
          <t>Ms. Umaree Krolek</t>
        </is>
      </c>
      <c r="B56" s="23" t="n"/>
      <c r="C56" s="7" t="inlineStr">
        <is>
          <t>-</t>
        </is>
      </c>
      <c r="D56" s="24" t="inlineStr">
        <is>
          <t>1422</t>
        </is>
      </c>
      <c r="E56" s="23" t="n"/>
      <c r="F56" s="24" t="inlineStr">
        <is>
          <t>-</t>
        </is>
      </c>
      <c r="G56" s="23" t="n"/>
      <c r="H56" s="8" t="inlineStr">
        <is>
          <t>2</t>
        </is>
      </c>
      <c r="I56" s="9" t="inlineStr">
        <is>
          <t>25/07/26</t>
        </is>
      </c>
      <c r="J56" s="9" t="inlineStr">
        <is>
          <t>26/07/26</t>
        </is>
      </c>
      <c r="K56" s="8" t="inlineStr">
        <is>
          <t>-</t>
        </is>
      </c>
      <c r="L56" s="94" t="inlineStr">
        <is>
          <t>15.00</t>
        </is>
      </c>
      <c r="M56" s="23" t="n"/>
      <c r="N56" s="22" t="inlineStr">
        <is>
          <t>-</t>
        </is>
      </c>
      <c r="O56" s="23" t="n"/>
      <c r="P56" s="27" t="inlineStr">
        <is>
          <t>PAID RB/2A THB 2,500 net per night
- Party 3 RMS.
THAILAND RESIDENTS RATE - "Hello 365 Days Review"
• Daily breakfast for 2 persons
• Children under 4 stay free (sharing existing bedding)
• 20% discount on food &amp; beverages (excluding alcohol, in-room dining, and minibar)
• 20% discount on treatments at AvaniSpa (excluding ongoing promotions)</t>
        </is>
      </c>
      <c r="Q56" s="28" t="n"/>
      <c r="R56" s="28" t="n"/>
      <c r="S56" s="28" t="n"/>
      <c r="T56" s="28" t="n"/>
      <c r="U56" s="28" t="n"/>
      <c r="V56" s="23" t="n"/>
    </row>
    <row r="57" ht="114" customHeight="1">
      <c r="A57" s="93" t="inlineStr">
        <is>
          <t>Ms. Aumarin Bunkrai</t>
        </is>
      </c>
      <c r="B57" s="23" t="n"/>
      <c r="C57" s="7" t="inlineStr">
        <is>
          <t>-</t>
        </is>
      </c>
      <c r="D57" s="24" t="inlineStr">
        <is>
          <t>1425</t>
        </is>
      </c>
      <c r="E57" s="23" t="n"/>
      <c r="F57" s="24" t="inlineStr">
        <is>
          <t>-</t>
        </is>
      </c>
      <c r="G57" s="23" t="n"/>
      <c r="H57" s="8" t="inlineStr">
        <is>
          <t>2</t>
        </is>
      </c>
      <c r="I57" s="9" t="inlineStr">
        <is>
          <t>25/07/26</t>
        </is>
      </c>
      <c r="J57" s="9" t="inlineStr">
        <is>
          <t>26/07/26</t>
        </is>
      </c>
      <c r="K57" s="8" t="inlineStr">
        <is>
          <t>-</t>
        </is>
      </c>
      <c r="L57" s="94" t="inlineStr">
        <is>
          <t>15.00</t>
        </is>
      </c>
      <c r="M57" s="23" t="n"/>
      <c r="N57" s="22" t="inlineStr">
        <is>
          <t>-</t>
        </is>
      </c>
      <c r="O57" s="23" t="n"/>
      <c r="P57" s="27" t="inlineStr">
        <is>
          <t>PAID (Bank Transfer) RB/2A THB 2,500 net per night
Hello 365 Days Review – Exclusive Benefits
-Daily breakfast for 2 persons
-Children under 4 stay free (sharing existing bed)
-20% discount on food &amp; beverage (excluding alcohol, in-room dinning and minibar)
-20% discount on treatment at AvaniSpa (excluding ongoing promotions)</t>
        </is>
      </c>
      <c r="Q57" s="28" t="n"/>
      <c r="R57" s="28" t="n"/>
      <c r="S57" s="28" t="n"/>
      <c r="T57" s="28" t="n"/>
      <c r="U57" s="28" t="n"/>
      <c r="V57" s="23" t="n"/>
    </row>
    <row r="58" ht="114" customHeight="1">
      <c r="A58" s="93" t="inlineStr">
        <is>
          <t>Mrs. Yoo Seung Lee</t>
        </is>
      </c>
      <c r="B58" s="23" t="n"/>
      <c r="C58" s="7" t="inlineStr">
        <is>
          <t>-</t>
        </is>
      </c>
      <c r="D58" s="24" t="inlineStr">
        <is>
          <t>1510</t>
        </is>
      </c>
      <c r="E58" s="23" t="n"/>
      <c r="F58" s="24" t="inlineStr">
        <is>
          <t>VIPO
SILVER</t>
        </is>
      </c>
      <c r="G58" s="23" t="n"/>
      <c r="H58" s="8" t="inlineStr">
        <is>
          <t>2+1</t>
        </is>
      </c>
      <c r="I58" s="9" t="inlineStr">
        <is>
          <t>25/07/26</t>
        </is>
      </c>
      <c r="J58" s="9" t="inlineStr">
        <is>
          <t>29/07/26</t>
        </is>
      </c>
      <c r="K58" s="8" t="inlineStr">
        <is>
          <t>-</t>
        </is>
      </c>
      <c r="L58" s="94" t="inlineStr">
        <is>
          <t>15.00</t>
        </is>
      </c>
      <c r="M58" s="23" t="n"/>
      <c r="N58" s="22" t="inlineStr">
        <is>
          <t>-</t>
        </is>
      </c>
      <c r="O58" s="23" t="n"/>
      <c r="P58" s="27" t="inlineStr">
        <is>
          <t>CTC RO/2A1C + 1 ABF at THB 570 net per person per nt  + One way Airport Transfer Toyota Commuter at THB 2,000 net per way **Billing to AVC**
- 1 child (ages 11)   
- One-way TRSF will arrival on 24 July 2026 (1 Pax: for Ms. Yoo Seung Lee)
Consecutive booking: 
- 1st 23-25/7/2026 #DSRAF5D4YHK2B  
- 2nd 25-29/7/2026 #DSR025D4YMVK4  
“Jade/Ruby” Club Benefits 
- 15% discount F&amp;B (including alcohol) and Spa Treatment (Excluding Products) 
- 15% discount on Best Available Rate on Rental (not Club Point) Bookings (Subject to blackout date) 
- Daily Housekeeping and Room Service 
- Welcome drink</t>
        </is>
      </c>
      <c r="Q58" s="28" t="n"/>
      <c r="R58" s="28" t="n"/>
      <c r="S58" s="28" t="n"/>
      <c r="T58" s="28" t="n"/>
      <c r="U58" s="28" t="n"/>
      <c r="V58" s="23" t="n"/>
    </row>
    <row r="59" ht="114" customHeight="1">
      <c r="A59" s="93" t="inlineStr">
        <is>
          <t>Ms. Suvadee Visutharumanee</t>
        </is>
      </c>
      <c r="B59" s="23" t="n"/>
      <c r="C59" s="7" t="inlineStr">
        <is>
          <t>-</t>
        </is>
      </c>
      <c r="D59" s="24" t="inlineStr">
        <is>
          <t>1511</t>
        </is>
      </c>
      <c r="E59" s="23" t="n"/>
      <c r="F59" s="24" t="inlineStr">
        <is>
          <t>VIPO</t>
        </is>
      </c>
      <c r="G59" s="23" t="n"/>
      <c r="H59" s="8" t="inlineStr">
        <is>
          <t>2+1</t>
        </is>
      </c>
      <c r="I59" s="9" t="inlineStr">
        <is>
          <t>25/07/26</t>
        </is>
      </c>
      <c r="J59" s="9" t="inlineStr">
        <is>
          <t>28/07/26</t>
        </is>
      </c>
      <c r="K59" s="8" t="inlineStr">
        <is>
          <t>-</t>
        </is>
      </c>
      <c r="L59" s="94" t="inlineStr">
        <is>
          <t>15.00</t>
        </is>
      </c>
      <c r="M59" s="23" t="n"/>
      <c r="N59" s="22" t="inlineStr">
        <is>
          <t>-</t>
        </is>
      </c>
      <c r="O59" s="23" t="n"/>
      <c r="P59" s="27" t="inlineStr">
        <is>
          <t>CTC RO/2A1C **Billing to AVC**
-1 child (ages 9)
“Jade/Ruby” Club Benefits
- 15% discount F&amp;B (including alcohol) and Spa Treatment (Excluding Products)
- 15% discount on Best Available Rate on Rental (not Club Point) Bookings (Subject to blackout date)
- Daily Housekeeping and Room Service
- Welcome drink</t>
        </is>
      </c>
      <c r="Q59" s="28" t="n"/>
      <c r="R59" s="28" t="n"/>
      <c r="S59" s="28" t="n"/>
      <c r="T59" s="28" t="n"/>
      <c r="U59" s="28" t="n"/>
      <c r="V59" s="23" t="n"/>
    </row>
    <row r="60" ht="114" customHeight="1">
      <c r="A60" s="93" t="inlineStr">
        <is>
          <t>Mr. Rongrong Zou</t>
        </is>
      </c>
      <c r="B60" s="23" t="n"/>
      <c r="C60" s="7" t="inlineStr">
        <is>
          <t>-</t>
        </is>
      </c>
      <c r="D60" s="24" t="inlineStr">
        <is>
          <t>1513</t>
        </is>
      </c>
      <c r="E60" s="23" t="n"/>
      <c r="F60" s="24" t="inlineStr">
        <is>
          <t>VIPO</t>
        </is>
      </c>
      <c r="G60" s="23" t="n"/>
      <c r="H60" s="8" t="inlineStr">
        <is>
          <t>2</t>
        </is>
      </c>
      <c r="I60" s="9" t="inlineStr">
        <is>
          <t>25/07/26</t>
        </is>
      </c>
      <c r="J60" s="9" t="inlineStr">
        <is>
          <t>26/07/26</t>
        </is>
      </c>
      <c r="K60" s="8" t="inlineStr">
        <is>
          <t>-</t>
        </is>
      </c>
      <c r="L60" s="94" t="inlineStr">
        <is>
          <t>15.00</t>
        </is>
      </c>
      <c r="M60" s="23" t="n"/>
      <c r="N60" s="22" t="inlineStr">
        <is>
          <t>-</t>
        </is>
      </c>
      <c r="O60" s="23" t="n"/>
      <c r="P60" s="27" t="inlineStr">
        <is>
          <t>CTC RO/2A **Billing to AVC**
- Party 2 rms.
“Diamond” Club Benefits 
- 15% discount F&amp;B (including alcohol) and Spa Treatment (Excluding Products) 
- 15% discount on Best Available Rate on Rental (not Club Point) Bookings (Subject to blackout date) 
- Daily Housekeeping and Room Service - VIP amenities 
- Complimentary Early Check-In 12:00 hrs. (Subject to availability) 
- Complimentary Late Check-Out 14:00 hrs. (Subject to availability) 
- In Room or Fast Track Check-In</t>
        </is>
      </c>
      <c r="Q60" s="28" t="n"/>
      <c r="R60" s="28" t="n"/>
      <c r="S60" s="28" t="n"/>
      <c r="T60" s="28" t="n"/>
      <c r="U60" s="28" t="n"/>
      <c r="V60" s="23" t="n"/>
    </row>
    <row r="61" ht="114" customHeight="1">
      <c r="A61" s="93" t="inlineStr">
        <is>
          <t>Ms. Nanticha Suwannarat</t>
        </is>
      </c>
      <c r="B61" s="23" t="n"/>
      <c r="C61" s="7" t="inlineStr">
        <is>
          <t>-</t>
        </is>
      </c>
      <c r="D61" s="24" t="inlineStr">
        <is>
          <t>1514</t>
        </is>
      </c>
      <c r="E61" s="23" t="n"/>
      <c r="F61" s="24" t="inlineStr">
        <is>
          <t>-</t>
        </is>
      </c>
      <c r="G61" s="23" t="n"/>
      <c r="H61" s="8" t="inlineStr">
        <is>
          <t>2</t>
        </is>
      </c>
      <c r="I61" s="9" t="inlineStr">
        <is>
          <t>25/07/26</t>
        </is>
      </c>
      <c r="J61" s="9" t="inlineStr">
        <is>
          <t>27/07/26</t>
        </is>
      </c>
      <c r="K61" s="8" t="inlineStr">
        <is>
          <t>-</t>
        </is>
      </c>
      <c r="L61" s="94" t="inlineStr">
        <is>
          <t>15.00</t>
        </is>
      </c>
      <c r="M61" s="23" t="n"/>
      <c r="N61" s="22" t="inlineStr">
        <is>
          <t>-</t>
        </is>
      </c>
      <c r="O61" s="23" t="n"/>
      <c r="P61" s="27" t="inlineStr">
        <is>
          <t>COA(see trace) RB/2A THB 2,651.83+++(25/07/26)+THB 3,157.11+++(26/07/26) per night
- 20% comm prepaid at 1,161.79 THB
- party 4 rooms
- RQ king bed
Payment Method: VirtualCard, Remittance Model: Net, Expedia Collect Booking, 1 King Bed, Non-Smoking, Multi-room booking. Primary traveler:Suwannarat, Nanticha. 1 of 4 rooms., Remittance amount: 5,733.43, Virtual card will be activated from the day of Check-in.</t>
        </is>
      </c>
      <c r="Q61" s="28" t="n"/>
      <c r="R61" s="28" t="n"/>
      <c r="S61" s="28" t="n"/>
      <c r="T61" s="28" t="n"/>
      <c r="U61" s="28" t="n"/>
      <c r="V61" s="23" t="n"/>
    </row>
    <row r="62" ht="114" customHeight="1">
      <c r="A62" s="93" t="inlineStr">
        <is>
          <t>Ms. Nanticha Suwannarat</t>
        </is>
      </c>
      <c r="B62" s="23" t="n"/>
      <c r="C62" s="7" t="inlineStr">
        <is>
          <t>-</t>
        </is>
      </c>
      <c r="D62" s="24" t="inlineStr">
        <is>
          <t>1515</t>
        </is>
      </c>
      <c r="E62" s="23" t="n"/>
      <c r="F62" s="24" t="inlineStr">
        <is>
          <t>-</t>
        </is>
      </c>
      <c r="G62" s="23" t="n"/>
      <c r="H62" s="8" t="inlineStr">
        <is>
          <t>2</t>
        </is>
      </c>
      <c r="I62" s="9" t="inlineStr">
        <is>
          <t>25/07/26</t>
        </is>
      </c>
      <c r="J62" s="9" t="inlineStr">
        <is>
          <t>27/07/26</t>
        </is>
      </c>
      <c r="K62" s="8" t="inlineStr">
        <is>
          <t>-</t>
        </is>
      </c>
      <c r="L62" s="94" t="inlineStr">
        <is>
          <t>15.00</t>
        </is>
      </c>
      <c r="M62" s="23" t="n"/>
      <c r="N62" s="22" t="inlineStr">
        <is>
          <t>-</t>
        </is>
      </c>
      <c r="O62" s="23" t="n"/>
      <c r="P62" s="27" t="inlineStr">
        <is>
          <t>COA(see trace) RB/2A THB 2,651.83+++(25/07/26)+THB 3,157.11+++(26/07/26) per night
- 20% comm prepaid at 1,161.79 THB
- party 4 rooms
- RQ king bed
Payment Method: VirtualCard, Remittance Model: Net, Expedia Collect Booking, 1 King Bed, Non-Smoking, Multi-room booking. Primary traveler:Suwannarat, Nanticha. 3 of 4 rooms., Remittance amount: 5,733.43, Virtual card will be activated from the day of Check-in.</t>
        </is>
      </c>
      <c r="Q62" s="28" t="n"/>
      <c r="R62" s="28" t="n"/>
      <c r="S62" s="28" t="n"/>
      <c r="T62" s="28" t="n"/>
      <c r="U62" s="28" t="n"/>
      <c r="V62" s="23" t="n"/>
    </row>
    <row r="63" ht="114" customHeight="1">
      <c r="A63" s="93" t="inlineStr">
        <is>
          <t>Ms. Nanticha Suwannarat</t>
        </is>
      </c>
      <c r="B63" s="23" t="n"/>
      <c r="C63" s="7" t="inlineStr">
        <is>
          <t>-</t>
        </is>
      </c>
      <c r="D63" s="24" t="inlineStr">
        <is>
          <t>1516</t>
        </is>
      </c>
      <c r="E63" s="23" t="n"/>
      <c r="F63" s="24" t="inlineStr">
        <is>
          <t>-</t>
        </is>
      </c>
      <c r="G63" s="23" t="n"/>
      <c r="H63" s="8" t="inlineStr">
        <is>
          <t>2</t>
        </is>
      </c>
      <c r="I63" s="9" t="inlineStr">
        <is>
          <t>25/07/26</t>
        </is>
      </c>
      <c r="J63" s="9" t="inlineStr">
        <is>
          <t>27/07/26</t>
        </is>
      </c>
      <c r="K63" s="8" t="inlineStr">
        <is>
          <t>-</t>
        </is>
      </c>
      <c r="L63" s="94" t="inlineStr">
        <is>
          <t>15.00</t>
        </is>
      </c>
      <c r="M63" s="23" t="n"/>
      <c r="N63" s="22" t="inlineStr">
        <is>
          <t>-</t>
        </is>
      </c>
      <c r="O63" s="23" t="n"/>
      <c r="P63" s="27" t="inlineStr">
        <is>
          <t>COA(see trace) RB/2A THB 2,651.83+++(25/07/26)+THB 3,157.11+++(26/07/26) per night
- 20% comm prepaid at 1,161.79 THB
- party 4 rooms
- RQ king bed
Payment Method: VirtualCard, Remittance Model: Net, Expedia Collect Booking, 1 King Bed, Non-Smoking, Multi-room booking. Primary traveler:Suwannarat, Nanticha. 2 of 4 rooms., Remittance amount: 5,733.43, Virtual card will be activated from the day of Check-in.</t>
        </is>
      </c>
      <c r="Q63" s="28" t="n"/>
      <c r="R63" s="28" t="n"/>
      <c r="S63" s="28" t="n"/>
      <c r="T63" s="28" t="n"/>
      <c r="U63" s="28" t="n"/>
      <c r="V63" s="23" t="n"/>
    </row>
    <row r="64" ht="114" customHeight="1">
      <c r="A64" s="93" t="inlineStr">
        <is>
          <t>Ms. Nanticha Suwannarat</t>
        </is>
      </c>
      <c r="B64" s="23" t="n"/>
      <c r="C64" s="7" t="inlineStr">
        <is>
          <t>-</t>
        </is>
      </c>
      <c r="D64" s="24" t="inlineStr">
        <is>
          <t>1517</t>
        </is>
      </c>
      <c r="E64" s="23" t="n"/>
      <c r="F64" s="24" t="inlineStr">
        <is>
          <t>-</t>
        </is>
      </c>
      <c r="G64" s="23" t="n"/>
      <c r="H64" s="8" t="inlineStr">
        <is>
          <t>2</t>
        </is>
      </c>
      <c r="I64" s="9" t="inlineStr">
        <is>
          <t>25/07/26</t>
        </is>
      </c>
      <c r="J64" s="9" t="inlineStr">
        <is>
          <t>27/07/26</t>
        </is>
      </c>
      <c r="K64" s="8" t="inlineStr">
        <is>
          <t>-</t>
        </is>
      </c>
      <c r="L64" s="94" t="inlineStr">
        <is>
          <t>15.00</t>
        </is>
      </c>
      <c r="M64" s="23" t="n"/>
      <c r="N64" s="22" t="inlineStr">
        <is>
          <t>-</t>
        </is>
      </c>
      <c r="O64" s="23" t="n"/>
      <c r="P64" s="27" t="inlineStr">
        <is>
          <t>COA(see trace) RB/2A THB 2,651.83+++(25/07/26)+THB 3,157.11+++(26/07/26) per night
- 20% comm prepaid at 1,161.79 THB
- party 4 rooms
- RQ king bed
Payment Method: VirtualCard, Remittance Model: Net, Expedia Collect Booking, 1 King Bed, Non-Smoking, Multi-room booking. Primary traveler:Suwannarat, Nanticha. 4 of 4 rooms., Remittance amount: 5,733.43, Virtual card will be activated from the day of Check-in.</t>
        </is>
      </c>
      <c r="Q64" s="28" t="n"/>
      <c r="R64" s="28" t="n"/>
      <c r="S64" s="28" t="n"/>
      <c r="T64" s="28" t="n"/>
      <c r="U64" s="28" t="n"/>
      <c r="V64" s="23" t="n"/>
    </row>
    <row r="65" ht="114" customHeight="1">
      <c r="A65" s="93" t="inlineStr">
        <is>
          <t>Mr. Anusak Wiboonsabtawee</t>
        </is>
      </c>
      <c r="B65" s="23" t="n"/>
      <c r="C65" s="7" t="inlineStr">
        <is>
          <t>-</t>
        </is>
      </c>
      <c r="D65" s="24" t="inlineStr">
        <is>
          <t>1601</t>
        </is>
      </c>
      <c r="E65" s="23" t="n"/>
      <c r="F65" s="24" t="inlineStr">
        <is>
          <t>-</t>
        </is>
      </c>
      <c r="G65" s="23" t="n"/>
      <c r="H65" s="8" t="inlineStr">
        <is>
          <t>4</t>
        </is>
      </c>
      <c r="I65" s="9" t="inlineStr">
        <is>
          <t>25/07/26</t>
        </is>
      </c>
      <c r="J65" s="9" t="inlineStr">
        <is>
          <t>28/07/26</t>
        </is>
      </c>
      <c r="K65" s="8" t="inlineStr">
        <is>
          <t>-</t>
        </is>
      </c>
      <c r="L65" s="94" t="inlineStr">
        <is>
          <t>18.00</t>
        </is>
      </c>
      <c r="M65" s="23" t="n"/>
      <c r="N65" s="22" t="inlineStr">
        <is>
          <t>-</t>
        </is>
      </c>
      <c r="O65" s="23" t="n"/>
      <c r="P65" s="27" t="inlineStr">
        <is>
          <t>CTC RO/4A + 4 x ABF @ 570 THB net per nt per pax **Billing to MI Squared Limited**</t>
        </is>
      </c>
      <c r="Q65" s="28" t="n"/>
      <c r="R65" s="28" t="n"/>
      <c r="S65" s="28" t="n"/>
      <c r="T65" s="28" t="n"/>
      <c r="U65" s="28" t="n"/>
      <c r="V65" s="23" t="n"/>
    </row>
    <row r="66" ht="114" customHeight="1">
      <c r="A66" s="93" t="inlineStr">
        <is>
          <t>Ms. Apinya Tutsiexusakoon</t>
        </is>
      </c>
      <c r="B66" s="23" t="n"/>
      <c r="C66" s="7" t="inlineStr">
        <is>
          <t>-</t>
        </is>
      </c>
      <c r="D66" s="24" t="inlineStr">
        <is>
          <t>1605</t>
        </is>
      </c>
      <c r="E66" s="23" t="n"/>
      <c r="F66" s="24" t="inlineStr">
        <is>
          <t>VIPO</t>
        </is>
      </c>
      <c r="G66" s="23" t="n"/>
      <c r="H66" s="8" t="inlineStr">
        <is>
          <t>2+1</t>
        </is>
      </c>
      <c r="I66" s="9" t="inlineStr">
        <is>
          <t>25/07/26</t>
        </is>
      </c>
      <c r="J66" s="9" t="inlineStr">
        <is>
          <t>28/07/26</t>
        </is>
      </c>
      <c r="K66" s="8" t="inlineStr">
        <is>
          <t>-</t>
        </is>
      </c>
      <c r="L66" s="94" t="inlineStr">
        <is>
          <t>15.00</t>
        </is>
      </c>
      <c r="M66" s="23" t="n"/>
      <c r="N66" s="22" t="inlineStr">
        <is>
          <t>-</t>
        </is>
      </c>
      <c r="O66" s="23" t="n"/>
      <c r="P66" s="27" t="inlineStr">
        <is>
          <t>CTC RO/2A1C + 2 x ABF at THB 570 net/pax/nt + 1 x CBF at THB 285 net/child/nt **Billing to AVC**
- 1 child (ages 4)
“Jade/Ruby” Club Benefits 
- 15% discount F&amp;B (including alcohol) and Spa Treatment (Excluding Products) 
- 15% discount on Best Available Rate on Rental (not Club Point) Bookings (Subject to blackout date) 
- Daily Housekeeping and Room Service 
- Welcome drink</t>
        </is>
      </c>
      <c r="Q66" s="28" t="n"/>
      <c r="R66" s="28" t="n"/>
      <c r="S66" s="28" t="n"/>
      <c r="T66" s="28" t="n"/>
      <c r="U66" s="28" t="n"/>
      <c r="V66" s="23" t="n"/>
    </row>
    <row r="67" ht="114" customHeight="1">
      <c r="A67" s="93" t="inlineStr">
        <is>
          <t>Mrs. Chanika Zaltsman</t>
        </is>
      </c>
      <c r="B67" s="23" t="n"/>
      <c r="C67" s="7" t="inlineStr">
        <is>
          <t>-</t>
        </is>
      </c>
      <c r="D67" s="24" t="inlineStr">
        <is>
          <t>1606</t>
        </is>
      </c>
      <c r="E67" s="23" t="n"/>
      <c r="F67" s="24" t="inlineStr">
        <is>
          <t>-</t>
        </is>
      </c>
      <c r="G67" s="23" t="n"/>
      <c r="H67" s="8" t="inlineStr">
        <is>
          <t>2</t>
        </is>
      </c>
      <c r="I67" s="9" t="inlineStr">
        <is>
          <t>25/07/26</t>
        </is>
      </c>
      <c r="J67" s="9" t="inlineStr">
        <is>
          <t>28/07/26</t>
        </is>
      </c>
      <c r="K67" s="8" t="inlineStr">
        <is>
          <t>-</t>
        </is>
      </c>
      <c r="L67" s="94" t="inlineStr">
        <is>
          <t>14.30</t>
        </is>
      </c>
      <c r="M67" s="23" t="n"/>
      <c r="N67" s="22" t="inlineStr">
        <is>
          <t>-</t>
        </is>
      </c>
      <c r="O67" s="23" t="n"/>
      <c r="P67" s="27" t="inlineStr">
        <is>
          <t>CTC RO/2A + 2 x ABF at THB 570 net/pax/nt **Billing to MI Squared Limited**</t>
        </is>
      </c>
      <c r="Q67" s="28" t="n"/>
      <c r="R67" s="28" t="n"/>
      <c r="S67" s="28" t="n"/>
      <c r="T67" s="28" t="n"/>
      <c r="U67" s="28" t="n"/>
      <c r="V67" s="23" t="n"/>
    </row>
    <row r="68" ht="114" customHeight="1">
      <c r="A68" s="93" t="inlineStr">
        <is>
          <t>Ms. Nantida Jutiboot</t>
        </is>
      </c>
      <c r="B68" s="23" t="n"/>
      <c r="C68" s="7" t="inlineStr">
        <is>
          <t>-</t>
        </is>
      </c>
      <c r="D68" s="24" t="inlineStr">
        <is>
          <t>1611</t>
        </is>
      </c>
      <c r="E68" s="23" t="n"/>
      <c r="F68" s="24" t="inlineStr">
        <is>
          <t>-</t>
        </is>
      </c>
      <c r="G68" s="23" t="n"/>
      <c r="H68" s="8" t="inlineStr">
        <is>
          <t>3</t>
        </is>
      </c>
      <c r="I68" s="9" t="inlineStr">
        <is>
          <t>25/07/26</t>
        </is>
      </c>
      <c r="J68" s="9" t="inlineStr">
        <is>
          <t>27/07/26</t>
        </is>
      </c>
      <c r="K68" s="8" t="inlineStr">
        <is>
          <t>-</t>
        </is>
      </c>
      <c r="L68" s="94" t="inlineStr">
        <is>
          <t>15.00</t>
        </is>
      </c>
      <c r="M68" s="23" t="n"/>
      <c r="N68" s="22" t="inlineStr">
        <is>
          <t>-</t>
        </is>
      </c>
      <c r="O68" s="23" t="n"/>
      <c r="P68" s="27" t="inlineStr">
        <is>
          <t>CTC RO/3A + 2 x ABF at THB 570 net/pax/nt **Billing to MI Squared Limited**</t>
        </is>
      </c>
      <c r="Q68" s="28" t="n"/>
      <c r="R68" s="28" t="n"/>
      <c r="S68" s="28" t="n"/>
      <c r="T68" s="28" t="n"/>
      <c r="U68" s="28" t="n"/>
      <c r="V68" s="23" t="n"/>
    </row>
    <row r="69" ht="114" customHeight="1">
      <c r="A69" s="93" t="inlineStr">
        <is>
          <t>Mrs. Sayuri Kawai</t>
        </is>
      </c>
      <c r="B69" s="23" t="n"/>
      <c r="C69" s="7" t="inlineStr">
        <is>
          <t>-</t>
        </is>
      </c>
      <c r="D69" s="24" t="inlineStr">
        <is>
          <t>1621</t>
        </is>
      </c>
      <c r="E69" s="23" t="n"/>
      <c r="F69" s="24" t="inlineStr">
        <is>
          <t>VIPG
SILVER</t>
        </is>
      </c>
      <c r="G69" s="23" t="n"/>
      <c r="H69" s="8" t="inlineStr">
        <is>
          <t>2+1</t>
        </is>
      </c>
      <c r="I69" s="9" t="inlineStr">
        <is>
          <t>25/07/26</t>
        </is>
      </c>
      <c r="J69" s="9" t="inlineStr">
        <is>
          <t>26/07/26</t>
        </is>
      </c>
      <c r="K69" s="8" t="inlineStr">
        <is>
          <t>-</t>
        </is>
      </c>
      <c r="L69" s="94" t="inlineStr">
        <is>
          <t>15.00</t>
        </is>
      </c>
      <c r="M69" s="23" t="n"/>
      <c r="N69" s="22" t="inlineStr">
        <is>
          <t>-</t>
        </is>
      </c>
      <c r="O69" s="23" t="n"/>
      <c r="P69" s="27" t="inlineStr">
        <is>
          <t>PAID (PG) RO/2A THB 2,727+++ per night
-15% comm kickback THB 409.05 net
-Req I want to celebrate my husband birthday 
-FOC chd age 2 yrs old
DISCOVERY – ROOM ONLY ESCAPE
-Accommodation – room only
-Kids under 4 years stay for free when using existing bed
Stays of 1-4 nights
• 20% savings on dining (excluding In-Room Dining, minibar &amp; alcoholic beverages)
• 20% savings on spa treatment at AvaniSpa (excluding Coco Breeze Salas)
• 20% savings on laundry service</t>
        </is>
      </c>
      <c r="Q69" s="28" t="n"/>
      <c r="R69" s="28" t="n"/>
      <c r="S69" s="28" t="n"/>
      <c r="T69" s="28" t="n"/>
      <c r="U69" s="28" t="n"/>
      <c r="V69" s="23" t="n"/>
    </row>
    <row r="70" ht="114" customHeight="1">
      <c r="A70" s="93" t="inlineStr">
        <is>
          <t>Mr. Phanuphong Sartyaem</t>
        </is>
      </c>
      <c r="B70" s="23" t="n"/>
      <c r="C70" s="7" t="inlineStr">
        <is>
          <t>-</t>
        </is>
      </c>
      <c r="D70" s="24" t="inlineStr">
        <is>
          <t>2102</t>
        </is>
      </c>
      <c r="E70" s="23" t="n"/>
      <c r="F70" s="24" t="inlineStr">
        <is>
          <t>VIP2
TITANIUM</t>
        </is>
      </c>
      <c r="G70" s="23" t="n"/>
      <c r="H70" s="8" t="inlineStr">
        <is>
          <t>2+1</t>
        </is>
      </c>
      <c r="I70" s="9" t="inlineStr">
        <is>
          <t>25/07/26</t>
        </is>
      </c>
      <c r="J70" s="9" t="inlineStr">
        <is>
          <t>27/07/26</t>
        </is>
      </c>
      <c r="K70" s="8" t="inlineStr">
        <is>
          <t>-</t>
        </is>
      </c>
      <c r="L70" s="94" t="inlineStr">
        <is>
          <t>15.00</t>
        </is>
      </c>
      <c r="M70" s="23" t="n"/>
      <c r="N70" s="22" t="inlineStr">
        <is>
          <t>-</t>
        </is>
      </c>
      <c r="O70" s="23" t="n"/>
      <c r="P70" s="27" t="inlineStr">
        <is>
          <t>PAID(PG) RB/2A1C THB 3,356+++ per night 
-1 CHD; TBA
- Party 5 rms.
DISCOVERY – THAILAND RESIDENTS RATE
-Accommodation
-Daily breakfast
-Kids under 4 years stay for free when using existing bed
-Stay two nights or more and receive a dining credit of THB 500 per room per stay**Cost deduct to transaction #81108**
-20% savings on dining, excluding alcoholic beverage and in-room dining and minibar
-20% savings on treatments at AvaniSpa, excluding promotional items
-Proof of Thailand residences must be presented at check-in</t>
        </is>
      </c>
      <c r="Q70" s="28" t="n"/>
      <c r="R70" s="28" t="n"/>
      <c r="S70" s="28" t="n"/>
      <c r="T70" s="28" t="n"/>
      <c r="U70" s="28" t="n"/>
      <c r="V70" s="23" t="n"/>
    </row>
    <row r="71" ht="114" customHeight="1">
      <c r="A71" s="93" t="inlineStr">
        <is>
          <t>Mr. Phanuphong Sartyaem</t>
        </is>
      </c>
      <c r="B71" s="23" t="n"/>
      <c r="C71" s="7" t="inlineStr">
        <is>
          <t>-</t>
        </is>
      </c>
      <c r="D71" s="24" t="inlineStr">
        <is>
          <t>2103</t>
        </is>
      </c>
      <c r="E71" s="23" t="n"/>
      <c r="F71" s="24" t="inlineStr">
        <is>
          <t>VIP2
TITANIUM</t>
        </is>
      </c>
      <c r="G71" s="23" t="n"/>
      <c r="H71" s="8" t="inlineStr">
        <is>
          <t>2+1</t>
        </is>
      </c>
      <c r="I71" s="9" t="inlineStr">
        <is>
          <t>25/07/26</t>
        </is>
      </c>
      <c r="J71" s="9" t="inlineStr">
        <is>
          <t>27/07/26</t>
        </is>
      </c>
      <c r="K71" s="8" t="inlineStr">
        <is>
          <t>-</t>
        </is>
      </c>
      <c r="L71" s="94" t="inlineStr">
        <is>
          <t>15.00</t>
        </is>
      </c>
      <c r="M71" s="23" t="n"/>
      <c r="N71" s="22" t="inlineStr">
        <is>
          <t>-</t>
        </is>
      </c>
      <c r="O71" s="23" t="n"/>
      <c r="P71" s="27" t="inlineStr">
        <is>
          <t>PAID(PG) RB/2A1C THB 2,960.27+++ per night 
- CHD (Ages TBA)
- Party 5 rms.
DISCOVERY – THAILAND RESIDENTS RATE:
-Accommodation
-Daily Breakfast
-Kids under 4 years stay for free when using existing bed
-Stay two nights or more and receive a dining credit of THB 500 per room per stay**Cost deduct to transaction #81108**
-20% savings on dining, excluding alcoholic beverage and in-room dining and minibar
-20% savings on treatments at AvaniSpa, excluding promotional items
-Proof of Thailand residences must be presented at check-in</t>
        </is>
      </c>
      <c r="Q71" s="28" t="n"/>
      <c r="R71" s="28" t="n"/>
      <c r="S71" s="28" t="n"/>
      <c r="T71" s="28" t="n"/>
      <c r="U71" s="28" t="n"/>
      <c r="V71" s="23" t="n"/>
    </row>
    <row r="72" ht="114" customHeight="1">
      <c r="A72" s="93" t="inlineStr">
        <is>
          <t>Mr. Phanuphong Sartyaem</t>
        </is>
      </c>
      <c r="B72" s="23" t="n"/>
      <c r="C72" s="7" t="inlineStr">
        <is>
          <t>-</t>
        </is>
      </c>
      <c r="D72" s="24" t="inlineStr">
        <is>
          <t>2104</t>
        </is>
      </c>
      <c r="E72" s="23" t="n"/>
      <c r="F72" s="24" t="inlineStr">
        <is>
          <t>VIP2
TITANIUM</t>
        </is>
      </c>
      <c r="G72" s="23" t="n"/>
      <c r="H72" s="8" t="inlineStr">
        <is>
          <t>2</t>
        </is>
      </c>
      <c r="I72" s="9" t="inlineStr">
        <is>
          <t>25/07/26</t>
        </is>
      </c>
      <c r="J72" s="9" t="inlineStr">
        <is>
          <t>27/07/26</t>
        </is>
      </c>
      <c r="K72" s="8" t="inlineStr">
        <is>
          <t>-</t>
        </is>
      </c>
      <c r="L72" s="94" t="inlineStr">
        <is>
          <t>15.00</t>
        </is>
      </c>
      <c r="M72" s="23" t="n"/>
      <c r="N72" s="22" t="inlineStr">
        <is>
          <t>-</t>
        </is>
      </c>
      <c r="O72" s="23" t="n"/>
      <c r="P72" s="27" t="inlineStr">
        <is>
          <t>PAID(PG) RB/2A THB 2,643+++ per night 
- Party 5 rms.
DISCOVERY – THAILAND RESIDENTS RATE
-Accommodation
-Daily breakfast
-Kids under 4 years stay for free when using existing bed
-Stay two nights or more and receive a dining credit of THB 500 per room per stay**Cost deduct to transaction #81108**
-20% savings on dining, excluding alcoholic beverage and in-room dining and minibar
-20% savings on treatments at AvaniSpa, excluding promotional items
-Proof of Thailand residences must be presented at check-in</t>
        </is>
      </c>
      <c r="Q72" s="28" t="n"/>
      <c r="R72" s="28" t="n"/>
      <c r="S72" s="28" t="n"/>
      <c r="T72" s="28" t="n"/>
      <c r="U72" s="28" t="n"/>
      <c r="V72" s="23" t="n"/>
    </row>
    <row r="73" ht="114" customHeight="1">
      <c r="A73" s="93" t="inlineStr">
        <is>
          <t>Mr. Phanuphong Sartyaem</t>
        </is>
      </c>
      <c r="B73" s="23" t="n"/>
      <c r="C73" s="7" t="inlineStr">
        <is>
          <t>-</t>
        </is>
      </c>
      <c r="D73" s="24" t="inlineStr">
        <is>
          <t>2105</t>
        </is>
      </c>
      <c r="E73" s="23" t="n"/>
      <c r="F73" s="24" t="inlineStr">
        <is>
          <t>VIP2
TITANIUM</t>
        </is>
      </c>
      <c r="G73" s="23" t="n"/>
      <c r="H73" s="8" t="inlineStr">
        <is>
          <t>2</t>
        </is>
      </c>
      <c r="I73" s="9" t="inlineStr">
        <is>
          <t>25/07/26</t>
        </is>
      </c>
      <c r="J73" s="9" t="inlineStr">
        <is>
          <t>27/07/26</t>
        </is>
      </c>
      <c r="K73" s="8" t="inlineStr">
        <is>
          <t>-</t>
        </is>
      </c>
      <c r="L73" s="94" t="inlineStr">
        <is>
          <t>15.00</t>
        </is>
      </c>
      <c r="M73" s="23" t="n"/>
      <c r="N73" s="22" t="inlineStr">
        <is>
          <t>-</t>
        </is>
      </c>
      <c r="O73" s="23" t="n"/>
      <c r="P73" s="27" t="inlineStr">
        <is>
          <t>PAID (PG) RB/2A THB 2,717+++per night  
- Party 5 rooms  
DISCOVERY – THAILAND RESIDENTS RATE:
-Accommodation 
-Daily breakfast 
-Kids under 4 years stay for free when using existing bed 
-Stay two nights or more and receive a dining credit of THB 500 per room per stay**Cost deduct to transaction #81108**
-20% savings on dining, excluding alcoholic beverage and in-room dining and minibar 
-20% savings on treatments at AvaniSpa, excluding promotional items 
-Proof of Thailand residences must be presented at check-in</t>
        </is>
      </c>
      <c r="Q73" s="28" t="n"/>
      <c r="R73" s="28" t="n"/>
      <c r="S73" s="28" t="n"/>
      <c r="T73" s="28" t="n"/>
      <c r="U73" s="28" t="n"/>
      <c r="V73" s="23" t="n"/>
    </row>
    <row r="74" ht="114" customHeight="1">
      <c r="A74" s="93" t="inlineStr">
        <is>
          <t>Mr. Phanuphong Sartyaem</t>
        </is>
      </c>
      <c r="B74" s="23" t="n"/>
      <c r="C74" s="7" t="inlineStr">
        <is>
          <t>-</t>
        </is>
      </c>
      <c r="D74" s="24" t="inlineStr">
        <is>
          <t>2106</t>
        </is>
      </c>
      <c r="E74" s="23" t="n"/>
      <c r="F74" s="24" t="inlineStr">
        <is>
          <t>VIP2
TITANIUM</t>
        </is>
      </c>
      <c r="G74" s="23" t="n"/>
      <c r="H74" s="8" t="inlineStr">
        <is>
          <t>2+1</t>
        </is>
      </c>
      <c r="I74" s="9" t="inlineStr">
        <is>
          <t>25/07/26</t>
        </is>
      </c>
      <c r="J74" s="9" t="inlineStr">
        <is>
          <t>27/07/26</t>
        </is>
      </c>
      <c r="K74" s="8" t="inlineStr">
        <is>
          <t>-</t>
        </is>
      </c>
      <c r="L74" s="94" t="inlineStr">
        <is>
          <t>15.00</t>
        </is>
      </c>
      <c r="M74" s="23" t="n"/>
      <c r="N74" s="22" t="inlineStr">
        <is>
          <t>-</t>
        </is>
      </c>
      <c r="O74" s="23" t="n"/>
      <c r="P74" s="27" t="inlineStr">
        <is>
          <t>PAID(PG) RB/2A1C THB 2,960.27+++ per night
- CHD (Ages TBA) 
- Party 5 rms.
DISCOVERY – THAILAND RESIDENTS RATE
- Accommodation
- Daily breakfast
- Kids under 4 years stay for free when using existing bed
- Stay two nights or more and receive a dining credit of THB 500 per room per stay**Cost deduct to transaction #81108**
- 20% savings on dining, excluding alcoholic beverage and in-room dining and minibar
- 20% savings on treatments at AvaniSpa, excluding promotional items
- Proof of Thailand residences must be presented at check-in</t>
        </is>
      </c>
      <c r="Q74" s="28" t="n"/>
      <c r="R74" s="28" t="n"/>
      <c r="S74" s="28" t="n"/>
      <c r="T74" s="28" t="n"/>
      <c r="U74" s="28" t="n"/>
      <c r="V74" s="23" t="n"/>
    </row>
    <row r="75" ht="114" customHeight="1">
      <c r="A75" s="93" t="inlineStr">
        <is>
          <t>Ms. Busabong Preechanonda</t>
        </is>
      </c>
      <c r="B75" s="23" t="n"/>
      <c r="C75" s="7" t="inlineStr">
        <is>
          <t>-</t>
        </is>
      </c>
      <c r="D75" s="24" t="inlineStr">
        <is>
          <t>2113</t>
        </is>
      </c>
      <c r="E75" s="23" t="n"/>
      <c r="F75" s="24" t="inlineStr">
        <is>
          <t>-</t>
        </is>
      </c>
      <c r="G75" s="23" t="n"/>
      <c r="H75" s="8" t="inlineStr">
        <is>
          <t>2+1</t>
        </is>
      </c>
      <c r="I75" s="9" t="inlineStr">
        <is>
          <t>25/07/26</t>
        </is>
      </c>
      <c r="J75" s="9" t="inlineStr">
        <is>
          <t>26/07/26</t>
        </is>
      </c>
      <c r="K75" s="8" t="inlineStr">
        <is>
          <t>-</t>
        </is>
      </c>
      <c r="L75" s="94" t="inlineStr">
        <is>
          <t>15.00</t>
        </is>
      </c>
      <c r="M75" s="23" t="n"/>
      <c r="N75" s="22" t="inlineStr">
        <is>
          <t>-</t>
        </is>
      </c>
      <c r="O75" s="23" t="n"/>
      <c r="P75" s="27" t="inlineStr">
        <is>
          <t>COA (See Trace) RB/2A+1C THB 6,371.42+++per night 
- 18% COMM Kickback at THB 1,349.85
- 1 CHD age 11 Yrs old
- Pty 2 rooms 
You have received a virtual credit card for this reservation.You may charge it as of 2026-07-22. Approximate time of arrival: between 15:00 and 16:00 ต้องการเตียงเสริมสำหรับเด็กอายุ 11 ปี, booker_is_genius, smoking preference: Non-Smoking</t>
        </is>
      </c>
      <c r="Q75" s="28" t="n"/>
      <c r="R75" s="28" t="n"/>
      <c r="S75" s="28" t="n"/>
      <c r="T75" s="28" t="n"/>
      <c r="U75" s="28" t="n"/>
      <c r="V75" s="23" t="n"/>
    </row>
    <row r="76" ht="114" customHeight="1">
      <c r="A76" s="93" t="inlineStr">
        <is>
          <t>Mr. Motoki Achiha</t>
        </is>
      </c>
      <c r="B76" s="23" t="n"/>
      <c r="C76" s="7" t="inlineStr">
        <is>
          <t>-</t>
        </is>
      </c>
      <c r="D76" s="24" t="inlineStr">
        <is>
          <t>2201</t>
        </is>
      </c>
      <c r="E76" s="23" t="n"/>
      <c r="F76" s="24" t="inlineStr">
        <is>
          <t>-</t>
        </is>
      </c>
      <c r="G76" s="23" t="n"/>
      <c r="H76" s="8" t="inlineStr">
        <is>
          <t>2</t>
        </is>
      </c>
      <c r="I76" s="9" t="inlineStr">
        <is>
          <t>25/07/26</t>
        </is>
      </c>
      <c r="J76" s="9" t="inlineStr">
        <is>
          <t>27/07/26</t>
        </is>
      </c>
      <c r="K76" s="8" t="inlineStr">
        <is>
          <t>-</t>
        </is>
      </c>
      <c r="L76" s="94" t="inlineStr">
        <is>
          <t>15.00</t>
        </is>
      </c>
      <c r="M76" s="23" t="n"/>
      <c r="N76" s="22" t="inlineStr">
        <is>
          <t>-</t>
        </is>
      </c>
      <c r="O76" s="23" t="n"/>
      <c r="P76" s="27" t="inlineStr">
        <is>
          <t>CTC RB/2A THB 2,475 net per night per room **COLL VCH**
- Pro. Exclusive Green Season Escape - 45%</t>
        </is>
      </c>
      <c r="Q76" s="28" t="n"/>
      <c r="R76" s="28" t="n"/>
      <c r="S76" s="28" t="n"/>
      <c r="T76" s="28" t="n"/>
      <c r="U76" s="28" t="n"/>
      <c r="V76" s="23" t="n"/>
    </row>
    <row r="77" ht="114" customHeight="1">
      <c r="A77" s="93" t="inlineStr">
        <is>
          <t>Ms. Landysh Khabipova</t>
        </is>
      </c>
      <c r="B77" s="23" t="n"/>
      <c r="C77" s="7" t="inlineStr">
        <is>
          <t>-</t>
        </is>
      </c>
      <c r="D77" s="24" t="inlineStr">
        <is>
          <t>2202</t>
        </is>
      </c>
      <c r="E77" s="23" t="n"/>
      <c r="F77" s="24" t="inlineStr">
        <is>
          <t>VIPG
SILVER</t>
        </is>
      </c>
      <c r="G77" s="23" t="n"/>
      <c r="H77" s="8" t="inlineStr">
        <is>
          <t>2</t>
        </is>
      </c>
      <c r="I77" s="9" t="inlineStr">
        <is>
          <t>25/07/26</t>
        </is>
      </c>
      <c r="J77" s="9" t="inlineStr">
        <is>
          <t>28/07/26</t>
        </is>
      </c>
      <c r="K77" s="8" t="inlineStr">
        <is>
          <t>-</t>
        </is>
      </c>
      <c r="L77" s="94" t="inlineStr">
        <is>
          <t>15.00</t>
        </is>
      </c>
      <c r="M77" s="23" t="n"/>
      <c r="N77" s="22" t="inlineStr">
        <is>
          <t>-</t>
        </is>
      </c>
      <c r="O77" s="23" t="n"/>
      <c r="P77" s="27" t="inlineStr">
        <is>
          <t>PAID (Credit from PM Megatix) RB/2A THB 2,500 net per night (Booked from Travel Agency)
POA 3 x Elements Dinner Buffet at THB 1,200 net per pax / Oaky COL payment upon arrival
-Party 3 rooms ( Strong request All Twin bed room )
-8.2 % comm prepaid THB 601.80 net
***Please assist in screening the guest's QR Code to redeem the voucher
Tiew Thai Deal Includes:
-Accommodation
-Daily Breakfast
-20% savings on food and beverages
-20% savings on selected treatments at Avani Spa
-Proof of Thai residency, Thai ID Card or work permit must be presented at check-in.  In case of no document, the best available rate will be applied</t>
        </is>
      </c>
      <c r="Q77" s="28" t="n"/>
      <c r="R77" s="28" t="n"/>
      <c r="S77" s="28" t="n"/>
      <c r="T77" s="28" t="n"/>
      <c r="U77" s="28" t="n"/>
      <c r="V77" s="23" t="n"/>
    </row>
    <row r="78" ht="114" customHeight="1">
      <c r="A78" s="93" t="inlineStr">
        <is>
          <t>Ms. Landysh Khabipova</t>
        </is>
      </c>
      <c r="B78" s="23" t="n"/>
      <c r="C78" s="7" t="inlineStr">
        <is>
          <t>-</t>
        </is>
      </c>
      <c r="D78" s="24" t="inlineStr">
        <is>
          <t>2203</t>
        </is>
      </c>
      <c r="E78" s="23" t="n"/>
      <c r="F78" s="24" t="inlineStr">
        <is>
          <t>VIPG
SILVER</t>
        </is>
      </c>
      <c r="G78" s="23" t="n"/>
      <c r="H78" s="8" t="inlineStr">
        <is>
          <t>2</t>
        </is>
      </c>
      <c r="I78" s="9" t="inlineStr">
        <is>
          <t>25/07/26</t>
        </is>
      </c>
      <c r="J78" s="9" t="inlineStr">
        <is>
          <t>28/07/26</t>
        </is>
      </c>
      <c r="K78" s="8" t="inlineStr">
        <is>
          <t>-</t>
        </is>
      </c>
      <c r="L78" s="94" t="inlineStr">
        <is>
          <t>15.00</t>
        </is>
      </c>
      <c r="M78" s="23" t="n"/>
      <c r="N78" s="22" t="inlineStr">
        <is>
          <t>-</t>
        </is>
      </c>
      <c r="O78" s="23" t="n"/>
      <c r="P78" s="27" t="inlineStr">
        <is>
          <t>PAID (Credit from PM Megatix) RB/2A THB 2,500 net per night (Booked from Travel Agency)
-Party 3 rooms ( Strong request All Twin bed room )
-8.2 % comm prepaid THB 601.80 net
***Please assist in screening the guest's QR Code to redeem the voucher
Tiew Thai Deal Includes:
-Accommodation
-Daily Breakfast
-20% savings on food and beverages
-20% savings on selected treatments at Avani Spa
-Proof of Thai residency , Thai ID Card or work permit must be presented at check-in.  In case of no document, the best available rate will be applied</t>
        </is>
      </c>
      <c r="Q78" s="28" t="n"/>
      <c r="R78" s="28" t="n"/>
      <c r="S78" s="28" t="n"/>
      <c r="T78" s="28" t="n"/>
      <c r="U78" s="28" t="n"/>
      <c r="V78" s="23" t="n"/>
    </row>
    <row r="79" ht="114" customHeight="1">
      <c r="A79" s="93" t="inlineStr">
        <is>
          <t>Ms. Landysh Khabipova</t>
        </is>
      </c>
      <c r="B79" s="23" t="n"/>
      <c r="C79" s="7" t="inlineStr">
        <is>
          <t>-</t>
        </is>
      </c>
      <c r="D79" s="24" t="inlineStr">
        <is>
          <t>2204</t>
        </is>
      </c>
      <c r="E79" s="23" t="n"/>
      <c r="F79" s="24" t="inlineStr">
        <is>
          <t>VIPG
SILVER</t>
        </is>
      </c>
      <c r="G79" s="23" t="n"/>
      <c r="H79" s="8" t="inlineStr">
        <is>
          <t>2</t>
        </is>
      </c>
      <c r="I79" s="9" t="inlineStr">
        <is>
          <t>25/07/26</t>
        </is>
      </c>
      <c r="J79" s="9" t="inlineStr">
        <is>
          <t>28/07/26</t>
        </is>
      </c>
      <c r="K79" s="8" t="inlineStr">
        <is>
          <t>-</t>
        </is>
      </c>
      <c r="L79" s="94" t="inlineStr">
        <is>
          <t>15.00</t>
        </is>
      </c>
      <c r="M79" s="23" t="n"/>
      <c r="N79" s="22" t="inlineStr">
        <is>
          <t>-</t>
        </is>
      </c>
      <c r="O79" s="23" t="n"/>
      <c r="P79" s="27" t="inlineStr">
        <is>
          <t>PAID (Credit from PM Megatix) RB/2A THB 2,500 net per night (Booked from Travel Agency)
-Party 3 rooms ( Strong request All Twin bed room )
-8.2 % comm prepaid THB 601.80 net
***Please assist in screening the guest's QR Code to redeem the voucher
Tiew Thai Deal Includes:
-Accommodation
-Daily Breakfast
-20% savings on food and beverages
-20% savings on selected treatments at Avani Spa
-Proof of Thai residency , Thai ID Card or work permit must be presented at check-in.  In case of no document, the best available rate will be applied</t>
        </is>
      </c>
      <c r="Q79" s="28" t="n"/>
      <c r="R79" s="28" t="n"/>
      <c r="S79" s="28" t="n"/>
      <c r="T79" s="28" t="n"/>
      <c r="U79" s="28" t="n"/>
      <c r="V79" s="23" t="n"/>
    </row>
    <row r="80" ht="114" customHeight="1">
      <c r="A80" s="93" t="inlineStr">
        <is>
          <t>Ms. Patcharin Audomthongkon</t>
        </is>
      </c>
      <c r="B80" s="23" t="n"/>
      <c r="C80" s="7" t="inlineStr">
        <is>
          <t>-</t>
        </is>
      </c>
      <c r="D80" s="24" t="inlineStr">
        <is>
          <t>2206</t>
        </is>
      </c>
      <c r="E80" s="23" t="n"/>
      <c r="F80" s="24" t="inlineStr">
        <is>
          <t>-</t>
        </is>
      </c>
      <c r="G80" s="23" t="n"/>
      <c r="H80" s="8" t="inlineStr">
        <is>
          <t>2</t>
        </is>
      </c>
      <c r="I80" s="9" t="inlineStr">
        <is>
          <t>25/07/26</t>
        </is>
      </c>
      <c r="J80" s="9" t="inlineStr">
        <is>
          <t>28/07/26</t>
        </is>
      </c>
      <c r="K80" s="8" t="inlineStr">
        <is>
          <t>-</t>
        </is>
      </c>
      <c r="L80" s="94" t="inlineStr">
        <is>
          <t>11.10</t>
        </is>
      </c>
      <c r="M80" s="23" t="n"/>
      <c r="N80" s="22" t="inlineStr">
        <is>
          <t>-</t>
        </is>
      </c>
      <c r="O80" s="23" t="n"/>
      <c r="P80" s="27" t="inlineStr">
        <is>
          <t>CTC RB/2A THB 2,500 net per night **Billing to MI Squared Limited**
- Pro. Royal Escapes - AVC Marketing Preview</t>
        </is>
      </c>
      <c r="Q80" s="28" t="n"/>
      <c r="R80" s="28" t="n"/>
      <c r="S80" s="28" t="n"/>
      <c r="T80" s="28" t="n"/>
      <c r="U80" s="28" t="n"/>
      <c r="V80" s="23" t="n"/>
    </row>
    <row r="81" ht="114" customHeight="1">
      <c r="A81" s="93" t="inlineStr">
        <is>
          <t>Mrs. Elena Suslina</t>
        </is>
      </c>
      <c r="B81" s="23" t="n"/>
      <c r="C81" s="7" t="inlineStr">
        <is>
          <t>-</t>
        </is>
      </c>
      <c r="D81" s="24" t="inlineStr">
        <is>
          <t>2207</t>
        </is>
      </c>
      <c r="E81" s="23" t="n"/>
      <c r="F81" s="24" t="inlineStr">
        <is>
          <t>VIPS
SILVER</t>
        </is>
      </c>
      <c r="G81" s="23" t="n"/>
      <c r="H81" s="8" t="inlineStr">
        <is>
          <t>3</t>
        </is>
      </c>
      <c r="I81" s="9" t="inlineStr">
        <is>
          <t>25/07/26</t>
        </is>
      </c>
      <c r="J81" s="9" t="inlineStr">
        <is>
          <t>27/07/26</t>
        </is>
      </c>
      <c r="K81" s="8" t="inlineStr">
        <is>
          <t>-</t>
        </is>
      </c>
      <c r="L81" s="94" t="inlineStr">
        <is>
          <t>15.00</t>
        </is>
      </c>
      <c r="M81" s="23" t="n"/>
      <c r="N81" s="22" t="inlineStr">
        <is>
          <t>-</t>
        </is>
      </c>
      <c r="O81" s="23" t="n"/>
      <c r="P81" s="27" t="inlineStr">
        <is>
          <t>PAID RB/3A THB 4,200 net per night + 3 HB (3 course) at THB 950 net per night 
- Pro. Green Season Escape: 2,700 + EXB 1,500
Consecutives booking
#850178951 on 14-25 July 2026 in 1H4XK
#850181964 on 25-27 July 2026 in 1H2XK</t>
        </is>
      </c>
      <c r="Q81" s="28" t="n"/>
      <c r="R81" s="28" t="n"/>
      <c r="S81" s="28" t="n"/>
      <c r="T81" s="28" t="n"/>
      <c r="U81" s="28" t="n"/>
      <c r="V81" s="23" t="n"/>
    </row>
    <row r="82" ht="114" customHeight="1">
      <c r="A82" s="93" t="inlineStr">
        <is>
          <t>Mr. Suphachoke Saisangthong</t>
        </is>
      </c>
      <c r="B82" s="23" t="n"/>
      <c r="C82" s="7" t="inlineStr">
        <is>
          <t>-</t>
        </is>
      </c>
      <c r="D82" s="24" t="inlineStr">
        <is>
          <t>2208</t>
        </is>
      </c>
      <c r="E82" s="23" t="n"/>
      <c r="F82" s="24" t="inlineStr">
        <is>
          <t>-</t>
        </is>
      </c>
      <c r="G82" s="23" t="n"/>
      <c r="H82" s="8" t="inlineStr">
        <is>
          <t>2</t>
        </is>
      </c>
      <c r="I82" s="9" t="inlineStr">
        <is>
          <t>25/07/26</t>
        </is>
      </c>
      <c r="J82" s="9" t="inlineStr">
        <is>
          <t>29/07/26</t>
        </is>
      </c>
      <c r="K82" s="8" t="inlineStr">
        <is>
          <t>-</t>
        </is>
      </c>
      <c r="L82" s="50" t="inlineStr">
        <is>
          <t>15.00</t>
        </is>
      </c>
      <c r="M82" s="23" t="n"/>
      <c r="N82" s="22" t="inlineStr">
        <is>
          <t>-</t>
        </is>
      </c>
      <c r="O82" s="23" t="n"/>
      <c r="P82" s="27" t="inlineStr">
        <is>
          <t>PAID RB/2A THB 2,299.92+++ per night **TOTAL THB 10,920 net**
THAILAND RESIDENTS RATE:
- Accommodation
- Daily breakfast
- Kids under 4 years stay for free when using existing bed
- Stay two nights or more and receive a dining credit of THB 500 per room per stay**FO Cost allocation to 81108**
- 20% savings on dining, excluding alcoholic beverage and in-room dining and minibar
- 20% savings on treatments at AvaniSpa, excluding promotional items
- Proof of Thailand residences must be presented at check-in</t>
        </is>
      </c>
      <c r="Q82" s="28" t="n"/>
      <c r="R82" s="28" t="n"/>
      <c r="S82" s="28" t="n"/>
      <c r="T82" s="28" t="n"/>
      <c r="U82" s="28" t="n"/>
      <c r="V82" s="23" t="n"/>
    </row>
    <row r="83" ht="114" customHeight="1">
      <c r="A83" s="93" t="inlineStr">
        <is>
          <t>Mrs. Nattha Midey</t>
        </is>
      </c>
      <c r="B83" s="23" t="n"/>
      <c r="C83" s="7" t="inlineStr">
        <is>
          <t>-</t>
        </is>
      </c>
      <c r="D83" s="24" t="inlineStr">
        <is>
          <t>2210</t>
        </is>
      </c>
      <c r="E83" s="23" t="n"/>
      <c r="F83" s="24" t="inlineStr">
        <is>
          <t>-</t>
        </is>
      </c>
      <c r="G83" s="23" t="n"/>
      <c r="H83" s="8" t="inlineStr">
        <is>
          <t>2+1</t>
        </is>
      </c>
      <c r="I83" s="9" t="inlineStr">
        <is>
          <t>25/07/26</t>
        </is>
      </c>
      <c r="J83" s="9" t="inlineStr">
        <is>
          <t>29/07/26</t>
        </is>
      </c>
      <c r="K83" s="8" t="inlineStr">
        <is>
          <t>-</t>
        </is>
      </c>
      <c r="L83" s="94" t="inlineStr">
        <is>
          <t>15.00</t>
        </is>
      </c>
      <c r="M83" s="23" t="n"/>
      <c r="N83" s="22" t="inlineStr">
        <is>
          <t>-</t>
        </is>
      </c>
      <c r="O83" s="23" t="n"/>
      <c r="P83" s="27" t="inlineStr">
        <is>
          <t>PAID (PG) RB/2A THB 2,900 net per night
- FOC 1 CHD 2 yrs
- Original 03-07 Jul 26 amend to 25-29 Jul 26 
77th Discovery Thailand 05-08 March 2026
- Rate includes daily breakfast
- Free One-time meal at Burgur &amp; Wing (food only) **Cost deduct to transaction #81108 at THB 150 net/pax**
- Early Check - in 10 AM and Late Check - out 3 PM
- 1 Child (0 - 11 years) stay free in existing bed with ABF
- 20% Discount on Spa, Food, and Non-Alcoholic Beverages.
- Thai ID/ Passport/ or Work Permit must be required to present at time of check – in</t>
        </is>
      </c>
      <c r="Q83" s="28" t="n"/>
      <c r="R83" s="28" t="n"/>
      <c r="S83" s="28" t="n"/>
      <c r="T83" s="28" t="n"/>
      <c r="U83" s="28" t="n"/>
      <c r="V83" s="23" t="n"/>
    </row>
    <row r="84" ht="114" customHeight="1">
      <c r="A84" s="93" t="inlineStr">
        <is>
          <t>Miss. Benjawan Lertsirisathaporn</t>
        </is>
      </c>
      <c r="B84" s="23" t="n"/>
      <c r="C84" s="7" t="inlineStr">
        <is>
          <t>-</t>
        </is>
      </c>
      <c r="D84" s="24" t="inlineStr">
        <is>
          <t>2212</t>
        </is>
      </c>
      <c r="E84" s="23" t="n"/>
      <c r="F84" s="24" t="inlineStr">
        <is>
          <t>VIPG
SILVER</t>
        </is>
      </c>
      <c r="G84" s="23" t="n"/>
      <c r="H84" s="8" t="inlineStr">
        <is>
          <t>2</t>
        </is>
      </c>
      <c r="I84" s="9" t="inlineStr">
        <is>
          <t>25/07/26</t>
        </is>
      </c>
      <c r="J84" s="9" t="inlineStr">
        <is>
          <t>28/07/26</t>
        </is>
      </c>
      <c r="K84" s="8" t="inlineStr">
        <is>
          <t>-</t>
        </is>
      </c>
      <c r="L84" s="94" t="inlineStr">
        <is>
          <t>15.00</t>
        </is>
      </c>
      <c r="M84" s="23" t="n"/>
      <c r="N84" s="22" t="inlineStr">
        <is>
          <t>-</t>
        </is>
      </c>
      <c r="O84" s="23" t="n"/>
      <c r="P84" s="27" t="inlineStr">
        <is>
          <t>PAID (PG) RB/2A THB 2,390 net per night per room
- Line name: Nana
- Party 2 rms.
Tiew Thai Deal:
• Accommodation in Deluxe Room
• Daily breakfast for 2 persons
• 20% savings on food and beverages
• 20% savings on selected treatments at AvaniSpa
• Complimentary 2 mocktails per night for bookings made via LINE Official Account **Already breakdown at THB 55 net/glass/day**</t>
        </is>
      </c>
      <c r="Q84" s="28" t="n"/>
      <c r="R84" s="28" t="n"/>
      <c r="S84" s="28" t="n"/>
      <c r="T84" s="28" t="n"/>
      <c r="U84" s="28" t="n"/>
      <c r="V84" s="23" t="n"/>
    </row>
    <row r="85" ht="114" customHeight="1">
      <c r="A85" s="93" t="inlineStr">
        <is>
          <t>Miss. Benjawan Lertsirisathaporn</t>
        </is>
      </c>
      <c r="B85" s="23" t="n"/>
      <c r="C85" s="7" t="inlineStr">
        <is>
          <t>-</t>
        </is>
      </c>
      <c r="D85" s="24" t="inlineStr">
        <is>
          <t>2213</t>
        </is>
      </c>
      <c r="E85" s="23" t="n"/>
      <c r="F85" s="24" t="inlineStr">
        <is>
          <t>VIPG
SILVER</t>
        </is>
      </c>
      <c r="G85" s="23" t="n"/>
      <c r="H85" s="8" t="inlineStr">
        <is>
          <t>2</t>
        </is>
      </c>
      <c r="I85" s="9" t="inlineStr">
        <is>
          <t>25/07/26</t>
        </is>
      </c>
      <c r="J85" s="9" t="inlineStr">
        <is>
          <t>28/07/26</t>
        </is>
      </c>
      <c r="K85" s="8" t="inlineStr">
        <is>
          <t>-</t>
        </is>
      </c>
      <c r="L85" s="94" t="inlineStr">
        <is>
          <t>15.00</t>
        </is>
      </c>
      <c r="M85" s="23" t="n"/>
      <c r="N85" s="22" t="inlineStr">
        <is>
          <t>-</t>
        </is>
      </c>
      <c r="O85" s="23" t="n"/>
      <c r="P85" s="27" t="inlineStr">
        <is>
          <t>PAID (PG) RB/2A THB 2,390 net per night per room - Line name: Nana - 2 Party   Tiew Thai Deal: • Accommodation in Deluxe Room • Daily breakfast for 2 persons • 20% savings on food and beverages • 20% savings on selected treatments at AvaniSpa • Complimentary 2 mocktails per night for bookings made via LINE Official Account **Already breakdown at THB 55 net/glass/day**</t>
        </is>
      </c>
      <c r="Q85" s="28" t="n"/>
      <c r="R85" s="28" t="n"/>
      <c r="S85" s="28" t="n"/>
      <c r="T85" s="28" t="n"/>
      <c r="U85" s="28" t="n"/>
      <c r="V85" s="23" t="n"/>
    </row>
    <row r="86" ht="114" customHeight="1">
      <c r="A86" s="93" t="inlineStr">
        <is>
          <t>Mrs. Shirley Carfati</t>
        </is>
      </c>
      <c r="B86" s="23" t="n"/>
      <c r="C86" s="7" t="inlineStr">
        <is>
          <t>-</t>
        </is>
      </c>
      <c r="D86" s="24" t="inlineStr">
        <is>
          <t>2301</t>
        </is>
      </c>
      <c r="E86" s="23" t="n"/>
      <c r="F86" s="24" t="inlineStr">
        <is>
          <t>VIPG
SILVER</t>
        </is>
      </c>
      <c r="G86" s="23" t="n"/>
      <c r="H86" s="8" t="inlineStr">
        <is>
          <t>2+1</t>
        </is>
      </c>
      <c r="I86" s="9" t="inlineStr">
        <is>
          <t>25/07/26</t>
        </is>
      </c>
      <c r="J86" s="9" t="inlineStr">
        <is>
          <t>28/07/26</t>
        </is>
      </c>
      <c r="K86" s="8" t="inlineStr">
        <is>
          <t>-</t>
        </is>
      </c>
      <c r="L86" s="94" t="inlineStr">
        <is>
          <t>15.00</t>
        </is>
      </c>
      <c r="M86" s="23" t="n"/>
      <c r="N86" s="22" t="inlineStr">
        <is>
          <t>-</t>
        </is>
      </c>
      <c r="O86" s="23" t="n"/>
      <c r="P86" s="27" t="inlineStr">
        <is>
          <t>PAID (PG) RB/2A1C THB 4,053.25+++ per night 
-Pty 2 rooms, chd age 7 yrs old
Direct Booking Benefits:
• 20% savings on dining (excluding In-Room Dining, minibar &amp; alcoholic beverages)
• 20% savings on spa treatment at AvaniSpa (excluding Coco Breeze Salas)
• 20% savings on laundry service</t>
        </is>
      </c>
      <c r="Q86" s="28" t="n"/>
      <c r="R86" s="28" t="n"/>
      <c r="S86" s="28" t="n"/>
      <c r="T86" s="28" t="n"/>
      <c r="U86" s="28" t="n"/>
      <c r="V86" s="23" t="n"/>
    </row>
    <row r="87" ht="114" customHeight="1">
      <c r="A87" s="93" t="inlineStr">
        <is>
          <t>Ms. Matuwan Nontakarn</t>
        </is>
      </c>
      <c r="B87" s="23" t="n"/>
      <c r="C87" s="7" t="inlineStr">
        <is>
          <t>-</t>
        </is>
      </c>
      <c r="D87" s="24" t="inlineStr">
        <is>
          <t>2304</t>
        </is>
      </c>
      <c r="E87" s="23" t="n"/>
      <c r="F87" s="24" t="inlineStr">
        <is>
          <t>-</t>
        </is>
      </c>
      <c r="G87" s="23" t="n"/>
      <c r="H87" s="8" t="inlineStr">
        <is>
          <t>2+1</t>
        </is>
      </c>
      <c r="I87" s="9" t="inlineStr">
        <is>
          <t>25/07/26</t>
        </is>
      </c>
      <c r="J87" s="9" t="inlineStr">
        <is>
          <t>26/07/26</t>
        </is>
      </c>
      <c r="K87" s="8" t="inlineStr">
        <is>
          <t>-</t>
        </is>
      </c>
      <c r="L87" s="94" t="inlineStr">
        <is>
          <t>15.00</t>
        </is>
      </c>
      <c r="M87" s="23" t="n"/>
      <c r="N87" s="22" t="inlineStr">
        <is>
          <t>-</t>
        </is>
      </c>
      <c r="O87" s="23" t="n"/>
      <c r="P87" s="27" t="inlineStr">
        <is>
          <t>PAID (PG) RB/2A THB 2,500 net per night 
-FOC 1 CHD: 2 yrs.old 
-Pty 2 rooms: RQ. near the elevator, as an elderly guest will be staying.
Hello 365 Days Review
-Daily breakfast for 2 persons
-Children under 4 stay free (sharing existing bed)
-20% discount on food &amp; beverage (excluding alcohol, in-room dinning and minibar)
-20% discount on treatment at AvaniSpa (excluding ongoing promotions)</t>
        </is>
      </c>
      <c r="Q87" s="28" t="n"/>
      <c r="R87" s="28" t="n"/>
      <c r="S87" s="28" t="n"/>
      <c r="T87" s="28" t="n"/>
      <c r="U87" s="28" t="n"/>
      <c r="V87" s="23" t="n"/>
    </row>
    <row r="88" ht="114" customHeight="1">
      <c r="A88" s="93" t="inlineStr">
        <is>
          <t>Ms. Matuwan Nontakarn</t>
        </is>
      </c>
      <c r="B88" s="23" t="n"/>
      <c r="C88" s="7" t="inlineStr">
        <is>
          <t>-</t>
        </is>
      </c>
      <c r="D88" s="24" t="inlineStr">
        <is>
          <t>2305</t>
        </is>
      </c>
      <c r="E88" s="23" t="n"/>
      <c r="F88" s="24" t="inlineStr">
        <is>
          <t>-</t>
        </is>
      </c>
      <c r="G88" s="23" t="n"/>
      <c r="H88" s="8" t="inlineStr">
        <is>
          <t>2</t>
        </is>
      </c>
      <c r="I88" s="9" t="inlineStr">
        <is>
          <t>25/07/26</t>
        </is>
      </c>
      <c r="J88" s="9" t="inlineStr">
        <is>
          <t>26/07/26</t>
        </is>
      </c>
      <c r="K88" s="8" t="inlineStr">
        <is>
          <t>-</t>
        </is>
      </c>
      <c r="L88" s="94" t="inlineStr">
        <is>
          <t>15.00</t>
        </is>
      </c>
      <c r="M88" s="23" t="n"/>
      <c r="N88" s="22" t="inlineStr">
        <is>
          <t>-</t>
        </is>
      </c>
      <c r="O88" s="23" t="n"/>
      <c r="P88" s="27" t="inlineStr">
        <is>
          <t>PAID (PG) RB/2A THB 2,500 net per night 
-Party 2 rooms: RQ. near the elevator, as an elderly guest will be staying.
Hello 365 Days Review
-Daily breakfast for 2 persons
-Children under 4 stay free (sharing existing bed)
-20% discount on food &amp; beverage (excluding alcohol, in-room dinning and minibar)
-20% discount on treatment at AvaniSpa (excluding ongoing promotions)</t>
        </is>
      </c>
      <c r="Q88" s="28" t="n"/>
      <c r="R88" s="28" t="n"/>
      <c r="S88" s="28" t="n"/>
      <c r="T88" s="28" t="n"/>
      <c r="U88" s="28" t="n"/>
      <c r="V88" s="23" t="n"/>
    </row>
    <row r="89" ht="114" customHeight="1">
      <c r="A89" s="93" t="inlineStr">
        <is>
          <t>Ms. Sarochar Nomkran</t>
        </is>
      </c>
      <c r="B89" s="23" t="n"/>
      <c r="C89" s="7" t="inlineStr">
        <is>
          <t>-</t>
        </is>
      </c>
      <c r="D89" s="24" t="inlineStr">
        <is>
          <t>2306</t>
        </is>
      </c>
      <c r="E89" s="23" t="n"/>
      <c r="F89" s="24" t="inlineStr">
        <is>
          <t>VIPG</t>
        </is>
      </c>
      <c r="G89" s="23" t="n"/>
      <c r="H89" s="8" t="inlineStr">
        <is>
          <t>2</t>
        </is>
      </c>
      <c r="I89" s="9" t="inlineStr">
        <is>
          <t>25/07/26</t>
        </is>
      </c>
      <c r="J89" s="9" t="inlineStr">
        <is>
          <t>27/07/26</t>
        </is>
      </c>
      <c r="K89" s="8" t="inlineStr">
        <is>
          <t>-</t>
        </is>
      </c>
      <c r="L89" s="94" t="inlineStr">
        <is>
          <t>15.00</t>
        </is>
      </c>
      <c r="M89" s="23" t="n"/>
      <c r="N89" s="22" t="inlineStr">
        <is>
          <t>-</t>
        </is>
      </c>
      <c r="O89" s="23" t="n"/>
      <c r="P89" s="27" t="inlineStr">
        <is>
          <t>COA (see trace) RB/2A THB 2,714.99+++(25/07/26) + THB 3,157.11+++(26/07/26) per night
- 20% comm prepaid at 1,174.42 THB
- Party 2 rooms
- RQ 1 king 
Payment Method: VirtualCard, Remittance Model: Net, Expedia Collect Booking, 2 Twin Beds, Non-Smoking, Multi-room booking. Primary traveler:NOMKRAN, SAROCHAR. 1 of 2 rooms., One King room, one Twin room. The King room is for our wedding anniversary., Remittance amount: 5,795.77, Virtual card will be activated from the day of Check-in.</t>
        </is>
      </c>
      <c r="Q89" s="28" t="n"/>
      <c r="R89" s="28" t="n"/>
      <c r="S89" s="28" t="n"/>
      <c r="T89" s="28" t="n"/>
      <c r="U89" s="28" t="n"/>
      <c r="V89" s="23" t="n"/>
    </row>
    <row r="90" ht="114" customHeight="1">
      <c r="A90" s="93" t="inlineStr">
        <is>
          <t>Ms. Wohranuch Jiansiri</t>
        </is>
      </c>
      <c r="B90" s="23" t="n"/>
      <c r="C90" s="7" t="inlineStr">
        <is>
          <t>-</t>
        </is>
      </c>
      <c r="D90" s="24" t="inlineStr">
        <is>
          <t>2307</t>
        </is>
      </c>
      <c r="E90" s="23" t="n"/>
      <c r="F90" s="24" t="inlineStr">
        <is>
          <t>-</t>
        </is>
      </c>
      <c r="G90" s="23" t="n"/>
      <c r="H90" s="8" t="inlineStr">
        <is>
          <t>2</t>
        </is>
      </c>
      <c r="I90" s="9" t="inlineStr">
        <is>
          <t>25/07/26</t>
        </is>
      </c>
      <c r="J90" s="9" t="inlineStr">
        <is>
          <t>27/07/26</t>
        </is>
      </c>
      <c r="K90" s="8" t="inlineStr">
        <is>
          <t>-</t>
        </is>
      </c>
      <c r="L90" s="94" t="inlineStr">
        <is>
          <t>15.00</t>
        </is>
      </c>
      <c r="M90" s="23" t="n"/>
      <c r="N90" s="22" t="inlineStr">
        <is>
          <t>-</t>
        </is>
      </c>
      <c r="O90" s="23" t="n"/>
      <c r="P90" s="27" t="inlineStr">
        <is>
          <t>COA(see trace) RB/2A THB 2,714.99+++(25/07/26)+THB 3,157.11+++(26/07/26) per night
- 20% comm prepaid at 1,174.42 THB
- Party 2 rooms
- RQ twin bed
Payment Method: VirtualCard, Remittance Model: Net, Expedia Collect Booking, 2 Twin Beds, Non-Smoking, Multi-room booking. Primary traveler:NOMKRAN, SAROCHAR. 2 of 2 rooms., One King room, one Twin room. The King room is for our wedding anniversary., Remittance amount: 5,795.77, Virtual card will be activated from the day of Check-in.</t>
        </is>
      </c>
      <c r="Q90" s="28" t="n"/>
      <c r="R90" s="28" t="n"/>
      <c r="S90" s="28" t="n"/>
      <c r="T90" s="28" t="n"/>
      <c r="U90" s="28" t="n"/>
      <c r="V90" s="23" t="n"/>
    </row>
    <row r="91" ht="114" customHeight="1">
      <c r="A91" s="93" t="inlineStr">
        <is>
          <t>Mr. Watchara Panpuch</t>
        </is>
      </c>
      <c r="B91" s="23" t="n"/>
      <c r="C91" s="7" t="inlineStr">
        <is>
          <t>-</t>
        </is>
      </c>
      <c r="D91" s="24" t="inlineStr">
        <is>
          <t>2308</t>
        </is>
      </c>
      <c r="E91" s="23" t="n"/>
      <c r="F91" s="24" t="inlineStr">
        <is>
          <t>VIPG
SILVER</t>
        </is>
      </c>
      <c r="G91" s="23" t="n"/>
      <c r="H91" s="8" t="inlineStr">
        <is>
          <t>2+1</t>
        </is>
      </c>
      <c r="I91" s="9" t="inlineStr">
        <is>
          <t>25/07/26</t>
        </is>
      </c>
      <c r="J91" s="9" t="inlineStr">
        <is>
          <t>27/07/26</t>
        </is>
      </c>
      <c r="K91" s="8" t="inlineStr">
        <is>
          <t>-</t>
        </is>
      </c>
      <c r="L91" s="94" t="inlineStr">
        <is>
          <t>14.00</t>
        </is>
      </c>
      <c r="M91" s="23" t="n"/>
      <c r="N91" s="22" t="inlineStr">
        <is>
          <t>-</t>
        </is>
      </c>
      <c r="O91" s="23" t="n"/>
      <c r="P91" s="27" t="inlineStr">
        <is>
          <t>PAID (Bank TRSF) RB/2A1C THB 2,390 net per night per room + 1 x CBF at THB375 net per night
- 1 CHD 5 Yrs.
- Line name: watchara
- Party 2 rms.
Tiew Thai Deal:
• Accommodation in Deluxe Room
• Daily breakfast for 2 persons
• 20% savings on food and beverages
• 20% savings on selected treatments at AvaniSpa
• Complimentary 2 mocktails per night for bookings made via LINE Official Account **Already breakdown at THB 55 net/glass/day**</t>
        </is>
      </c>
      <c r="Q91" s="28" t="n"/>
      <c r="R91" s="28" t="n"/>
      <c r="S91" s="28" t="n"/>
      <c r="T91" s="28" t="n"/>
      <c r="U91" s="28" t="n"/>
      <c r="V91" s="23" t="n"/>
    </row>
    <row r="92" ht="114" customHeight="1">
      <c r="A92" s="93" t="inlineStr">
        <is>
          <t>Mr. Watchara Panpuch</t>
        </is>
      </c>
      <c r="B92" s="23" t="n"/>
      <c r="C92" s="7" t="inlineStr">
        <is>
          <t>-</t>
        </is>
      </c>
      <c r="D92" s="24" t="inlineStr">
        <is>
          <t>2309</t>
        </is>
      </c>
      <c r="E92" s="23" t="n"/>
      <c r="F92" s="24" t="inlineStr">
        <is>
          <t>VIPG
SILVER</t>
        </is>
      </c>
      <c r="G92" s="23" t="n"/>
      <c r="H92" s="8" t="inlineStr">
        <is>
          <t>2+1</t>
        </is>
      </c>
      <c r="I92" s="9" t="inlineStr">
        <is>
          <t>25/07/26</t>
        </is>
      </c>
      <c r="J92" s="9" t="inlineStr">
        <is>
          <t>27/07/26</t>
        </is>
      </c>
      <c r="K92" s="8" t="inlineStr">
        <is>
          <t>-</t>
        </is>
      </c>
      <c r="L92" s="94" t="inlineStr">
        <is>
          <t>14.00</t>
        </is>
      </c>
      <c r="M92" s="23" t="n"/>
      <c r="N92" s="22" t="inlineStr">
        <is>
          <t>-</t>
        </is>
      </c>
      <c r="O92" s="23" t="n"/>
      <c r="P92" s="27" t="inlineStr">
        <is>
          <t>PAID (Bank TRSF) RB/2A1C THB 2,390 net per night per room
- FOC 1 CHD (3 Yrs.)
- Line name: watchara
- Party 2 rms.
Tiew Thai Deal:
• Accommodation in Deluxe Room
• Daily breakfast for 2 persons
• 20% savings on food and beverages
• 20% savings on selected treatments at AvaniSpa
• Complimentary 2 mocktails per night for bookings made via LINE Official Account **Already breakdown at THB 55 net/glass/day**</t>
        </is>
      </c>
      <c r="Q92" s="28" t="n"/>
      <c r="R92" s="28" t="n"/>
      <c r="S92" s="28" t="n"/>
      <c r="T92" s="28" t="n"/>
      <c r="U92" s="28" t="n"/>
      <c r="V92" s="23" t="n"/>
    </row>
    <row r="93" ht="114" customHeight="1">
      <c r="A93" s="93" t="inlineStr">
        <is>
          <t>Ms. Sharon Belanis</t>
        </is>
      </c>
      <c r="B93" s="23" t="n"/>
      <c r="C93" s="7" t="inlineStr">
        <is>
          <t>-</t>
        </is>
      </c>
      <c r="D93" s="24" t="inlineStr">
        <is>
          <t>2310</t>
        </is>
      </c>
      <c r="E93" s="23" t="n"/>
      <c r="F93" s="24" t="inlineStr">
        <is>
          <t>-</t>
        </is>
      </c>
      <c r="G93" s="23" t="n"/>
      <c r="H93" s="8" t="inlineStr">
        <is>
          <t>1+1</t>
        </is>
      </c>
      <c r="I93" s="9" t="inlineStr">
        <is>
          <t>25/07/26</t>
        </is>
      </c>
      <c r="J93" s="9" t="inlineStr">
        <is>
          <t>01/08/26</t>
        </is>
      </c>
      <c r="K93" s="8" t="inlineStr">
        <is>
          <t>-</t>
        </is>
      </c>
      <c r="L93" s="94" t="inlineStr">
        <is>
          <t>14.00</t>
        </is>
      </c>
      <c r="M93" s="23" t="n"/>
      <c r="N93" s="22" t="inlineStr">
        <is>
          <t>-</t>
        </is>
      </c>
      <c r="O93" s="23" t="n"/>
      <c r="P93" s="27" t="inlineStr">
        <is>
          <t>COA (see trace) RB/1A THB 2,553+++(25-26/07/26) + THB 2,484+++(27-31/07/26) per night
- FOC 1 kid (3 yrs)
- 18% comm kickback at 3,713.06 THB
You have received a virtual credit card for this reservation.You may charge it as of 2026-04-17. Approximate time of arrival: between 14:00 and 15:00 I would prefer a bath rather than a shower - thanks in advance, booker_is_genius, smoking preference: Non-Smoking</t>
        </is>
      </c>
      <c r="Q93" s="28" t="n"/>
      <c r="R93" s="28" t="n"/>
      <c r="S93" s="28" t="n"/>
      <c r="T93" s="28" t="n"/>
      <c r="U93" s="28" t="n"/>
      <c r="V93" s="23" t="n"/>
    </row>
    <row r="94" ht="114" customHeight="1">
      <c r="A94" s="93" t="inlineStr">
        <is>
          <t>Mr. Chaowit Pradubsriphet</t>
        </is>
      </c>
      <c r="B94" s="23" t="n"/>
      <c r="C94" s="7" t="inlineStr">
        <is>
          <t>-</t>
        </is>
      </c>
      <c r="D94" s="24" t="inlineStr">
        <is>
          <t>2311</t>
        </is>
      </c>
      <c r="E94" s="23" t="n"/>
      <c r="F94" s="24" t="inlineStr">
        <is>
          <t>VIPR
GOLD</t>
        </is>
      </c>
      <c r="G94" s="23" t="n"/>
      <c r="H94" s="8" t="inlineStr">
        <is>
          <t>2+2</t>
        </is>
      </c>
      <c r="I94" s="9" t="inlineStr">
        <is>
          <t>25/07/26</t>
        </is>
      </c>
      <c r="J94" s="9" t="inlineStr">
        <is>
          <t>28/07/26</t>
        </is>
      </c>
      <c r="K94" s="8" t="inlineStr">
        <is>
          <t>-</t>
        </is>
      </c>
      <c r="L94" s="94" t="inlineStr">
        <is>
          <t>15.00</t>
        </is>
      </c>
      <c r="M94" s="23" t="n"/>
      <c r="N94" s="22" t="inlineStr">
        <is>
          <t>-</t>
        </is>
      </c>
      <c r="O94" s="23" t="n"/>
      <c r="P94" s="27" t="inlineStr">
        <is>
          <t>PAID (PG) RB/2A THB 2,500 net per night + 2 x CBF at THB 375 net per child per night
- 2 CHD (Ages 6,8)
- Line name: Chaowit Pradubsriphe
- RQ. TWN + Rooms in the same building as the lobby
Tiew Thai Deal:
• Accommodation in Deluxe Room
• Daily breakfast for 2 persons
• 20% savings on food and beverages
• 20% savings on selected treatments at AvaniSpa
• Complimentary 2 mocktails per night for bookings made via LINE Official Account **Cost deduct to transaction #81108 at THB 55 net/glass/day**</t>
        </is>
      </c>
      <c r="Q94" s="28" t="n"/>
      <c r="R94" s="28" t="n"/>
      <c r="S94" s="28" t="n"/>
      <c r="T94" s="28" t="n"/>
      <c r="U94" s="28" t="n"/>
      <c r="V94" s="23" t="n"/>
    </row>
    <row r="95" ht="114" customHeight="1">
      <c r="A95" s="93" t="inlineStr">
        <is>
          <t>Mr. Andreas Rohde</t>
        </is>
      </c>
      <c r="B95" s="23" t="n"/>
      <c r="C95" s="7" t="inlineStr">
        <is>
          <t>-</t>
        </is>
      </c>
      <c r="D95" s="24" t="inlineStr">
        <is>
          <t>2312</t>
        </is>
      </c>
      <c r="E95" s="23" t="n"/>
      <c r="F95" s="24" t="inlineStr">
        <is>
          <t>VIPS</t>
        </is>
      </c>
      <c r="G95" s="23" t="n"/>
      <c r="H95" s="8" t="inlineStr">
        <is>
          <t>2+1</t>
        </is>
      </c>
      <c r="I95" s="9" t="inlineStr">
        <is>
          <t>25/07/26</t>
        </is>
      </c>
      <c r="J95" s="9" t="inlineStr">
        <is>
          <t>09/08/26</t>
        </is>
      </c>
      <c r="K95" s="8" t="inlineStr">
        <is>
          <t>-</t>
        </is>
      </c>
      <c r="L95" s="94" t="inlineStr">
        <is>
          <t>15.00</t>
        </is>
      </c>
      <c r="M95" s="23" t="n"/>
      <c r="N95" s="22" t="inlineStr">
        <is>
          <t>-</t>
        </is>
      </c>
      <c r="O95" s="23" t="n"/>
      <c r="P95" s="27" t="inlineStr">
        <is>
          <t>CTC RB/2A THB 2,610 net per night + 1 CEXB at THB 435 net per night **COL VCH***
- 1 CHD age 5 Yrs old 
- Green Season Escape - 42%</t>
        </is>
      </c>
      <c r="Q95" s="28" t="n"/>
      <c r="R95" s="28" t="n"/>
      <c r="S95" s="28" t="n"/>
      <c r="T95" s="28" t="n"/>
      <c r="U95" s="28" t="n"/>
      <c r="V95" s="23" t="n"/>
    </row>
    <row r="96" ht="114" customHeight="1">
      <c r="A96" s="93" t="inlineStr">
        <is>
          <t>Ms. Della Laurencia Suryahudaya</t>
        </is>
      </c>
      <c r="B96" s="23" t="n"/>
      <c r="C96" s="7" t="inlineStr">
        <is>
          <t>-</t>
        </is>
      </c>
      <c r="D96" s="24" t="inlineStr">
        <is>
          <t>2313</t>
        </is>
      </c>
      <c r="E96" s="23" t="n"/>
      <c r="F96" s="24" t="inlineStr">
        <is>
          <t>-</t>
        </is>
      </c>
      <c r="G96" s="23" t="n"/>
      <c r="H96" s="8" t="inlineStr">
        <is>
          <t>2</t>
        </is>
      </c>
      <c r="I96" s="9" t="inlineStr">
        <is>
          <t>25/07/26</t>
        </is>
      </c>
      <c r="J96" s="9" t="inlineStr">
        <is>
          <t>27/07/26</t>
        </is>
      </c>
      <c r="K96" s="8" t="inlineStr">
        <is>
          <t>-</t>
        </is>
      </c>
      <c r="L96" s="94" t="inlineStr">
        <is>
          <t>15.00</t>
        </is>
      </c>
      <c r="M96" s="23" t="n"/>
      <c r="N96" s="22" t="inlineStr">
        <is>
          <t>-</t>
        </is>
      </c>
      <c r="O96" s="23" t="n"/>
      <c r="P96" s="27" t="inlineStr">
        <is>
          <t>PAID RB/2A THB 2,576+++ per night
- 17.5% comm kickback THB 1,070.22 net
Hotel Collect Booking, 2 Twin Beds, Non-Smoking, &amp;amp;amp; this room will check-in along with KAEWTATIP TIPSUDA, Hotel Collect Booking  Collect Payment From Guest.</t>
        </is>
      </c>
      <c r="Q96" s="28" t="n"/>
      <c r="R96" s="28" t="n"/>
      <c r="S96" s="28" t="n"/>
      <c r="T96" s="28" t="n"/>
      <c r="U96" s="28" t="n"/>
      <c r="V96" s="23" t="n"/>
    </row>
    <row r="97" ht="114" customHeight="1">
      <c r="A97" s="93" t="inlineStr">
        <is>
          <t>Mrs. Shirley Carfati</t>
        </is>
      </c>
      <c r="B97" s="23" t="n"/>
      <c r="C97" s="7" t="inlineStr">
        <is>
          <t>-</t>
        </is>
      </c>
      <c r="D97" s="24" t="inlineStr">
        <is>
          <t>2314</t>
        </is>
      </c>
      <c r="E97" s="23" t="n"/>
      <c r="F97" s="24" t="inlineStr">
        <is>
          <t>VIPG
SILVER</t>
        </is>
      </c>
      <c r="G97" s="23" t="n"/>
      <c r="H97" s="8" t="inlineStr">
        <is>
          <t>2+1</t>
        </is>
      </c>
      <c r="I97" s="9" t="inlineStr">
        <is>
          <t>25/07/26</t>
        </is>
      </c>
      <c r="J97" s="9" t="inlineStr">
        <is>
          <t>28/07/26</t>
        </is>
      </c>
      <c r="K97" s="8" t="inlineStr">
        <is>
          <t>-</t>
        </is>
      </c>
      <c r="L97" s="94" t="inlineStr">
        <is>
          <t>15.00</t>
        </is>
      </c>
      <c r="M97" s="23" t="n"/>
      <c r="N97" s="22" t="inlineStr">
        <is>
          <t>-</t>
        </is>
      </c>
      <c r="O97" s="23" t="n"/>
      <c r="P97" s="27" t="inlineStr">
        <is>
          <t>PAID (PG) RB/2A1C THB 4,053.25+++ per night  -Pty 2 rooms, chd age 10 yrs old  Direct Booking Benefits: • 20% savings on dining (excluding In-Room Dining, minibar &amp; alcoholic beverages) • 20% savings on spa treatment at AvaniSpa (excluding Coco Breeze Salas) • 20% savings on laundry service</t>
        </is>
      </c>
      <c r="Q97" s="28" t="n"/>
      <c r="R97" s="28" t="n"/>
      <c r="S97" s="28" t="n"/>
      <c r="T97" s="28" t="n"/>
      <c r="U97" s="28" t="n"/>
      <c r="V97" s="23" t="n"/>
    </row>
    <row r="98" ht="114" customHeight="1">
      <c r="A98" s="93" t="inlineStr">
        <is>
          <t>Mrs. Sunanta Immaneerat</t>
        </is>
      </c>
      <c r="B98" s="23" t="n"/>
      <c r="C98" s="7" t="inlineStr">
        <is>
          <t>-</t>
        </is>
      </c>
      <c r="D98" s="24" t="inlineStr">
        <is>
          <t>2405</t>
        </is>
      </c>
      <c r="E98" s="23" t="n"/>
      <c r="F98" s="24" t="inlineStr">
        <is>
          <t>-</t>
        </is>
      </c>
      <c r="G98" s="23" t="n"/>
      <c r="H98" s="8" t="inlineStr">
        <is>
          <t>2</t>
        </is>
      </c>
      <c r="I98" s="9" t="inlineStr">
        <is>
          <t>25/07/26</t>
        </is>
      </c>
      <c r="J98" s="9" t="inlineStr">
        <is>
          <t>26/07/26</t>
        </is>
      </c>
      <c r="K98" s="8" t="inlineStr">
        <is>
          <t>-</t>
        </is>
      </c>
      <c r="L98" s="94" t="inlineStr">
        <is>
          <t>15.00</t>
        </is>
      </c>
      <c r="M98" s="23" t="n"/>
      <c r="N98" s="22" t="inlineStr">
        <is>
          <t>-</t>
        </is>
      </c>
      <c r="O98" s="23" t="n"/>
      <c r="P98" s="27" t="inlineStr">
        <is>
          <t>PAID (Bank TRSF) RB/2A THB 2,900 net per night 
-Line Name: Amp
STAY &amp; BENEFITS: Bonus Credit Escape
- Daily Breakfast
- THB 500 resort credit per night **FO Cost allocation to 81108**
- No minimum length of stay required
- Purchase your voucher today and choose your stay dates later
- 20% savings on food and beverages
- 20% savings on selected treatments at AvaniSpa</t>
        </is>
      </c>
      <c r="Q98" s="28" t="n"/>
      <c r="R98" s="28" t="n"/>
      <c r="S98" s="28" t="n"/>
      <c r="T98" s="28" t="n"/>
      <c r="U98" s="28" t="n"/>
      <c r="V98" s="23" t="n"/>
    </row>
    <row r="99" ht="114" customHeight="1">
      <c r="A99" s="93" t="inlineStr">
        <is>
          <t>Ms. Albina Isayeva</t>
        </is>
      </c>
      <c r="B99" s="23" t="n"/>
      <c r="C99" s="7" t="inlineStr">
        <is>
          <t>-</t>
        </is>
      </c>
      <c r="D99" s="24" t="inlineStr">
        <is>
          <t>2407</t>
        </is>
      </c>
      <c r="E99" s="23" t="n"/>
      <c r="F99" s="24" t="inlineStr">
        <is>
          <t>-</t>
        </is>
      </c>
      <c r="G99" s="23" t="n"/>
      <c r="H99" s="8" t="inlineStr">
        <is>
          <t>2</t>
        </is>
      </c>
      <c r="I99" s="9" t="inlineStr">
        <is>
          <t>25/07/26</t>
        </is>
      </c>
      <c r="J99" s="9" t="inlineStr">
        <is>
          <t>26/07/26</t>
        </is>
      </c>
      <c r="K99" s="8" t="inlineStr">
        <is>
          <t>-</t>
        </is>
      </c>
      <c r="L99" s="94" t="inlineStr">
        <is>
          <t>15.00</t>
        </is>
      </c>
      <c r="M99" s="23" t="n"/>
      <c r="N99" s="22" t="inlineStr">
        <is>
          <t>-</t>
        </is>
      </c>
      <c r="O99" s="23" t="n"/>
      <c r="P99" s="27" t="inlineStr">
        <is>
          <t>COA(see trace)RB/2A THB 3,497.47 net per night
- 20% comm prepaid at  699.50 THB</t>
        </is>
      </c>
      <c r="Q99" s="28" t="n"/>
      <c r="R99" s="28" t="n"/>
      <c r="S99" s="28" t="n"/>
      <c r="T99" s="28" t="n"/>
      <c r="U99" s="28" t="n"/>
      <c r="V99" s="23" t="n"/>
    </row>
    <row r="100" ht="114" customHeight="1">
      <c r="A100" s="93" t="inlineStr">
        <is>
          <t>Miss. Tinada Hongmungkorn</t>
        </is>
      </c>
      <c r="B100" s="23" t="n"/>
      <c r="C100" s="7" t="inlineStr">
        <is>
          <t>-</t>
        </is>
      </c>
      <c r="D100" s="24" t="inlineStr">
        <is>
          <t>2408</t>
        </is>
      </c>
      <c r="E100" s="23" t="n"/>
      <c r="F100" s="24" t="inlineStr">
        <is>
          <t>VIPG
SILVER</t>
        </is>
      </c>
      <c r="G100" s="23" t="n"/>
      <c r="H100" s="8" t="inlineStr">
        <is>
          <t>2</t>
        </is>
      </c>
      <c r="I100" s="9" t="inlineStr">
        <is>
          <t>25/07/26</t>
        </is>
      </c>
      <c r="J100" s="9" t="inlineStr">
        <is>
          <t>27/07/26</t>
        </is>
      </c>
      <c r="K100" s="8" t="inlineStr">
        <is>
          <t>-</t>
        </is>
      </c>
      <c r="L100" s="94" t="inlineStr">
        <is>
          <t>15.00</t>
        </is>
      </c>
      <c r="M100" s="23" t="n"/>
      <c r="N100" s="22" t="inlineStr">
        <is>
          <t>-</t>
        </is>
      </c>
      <c r="O100" s="23" t="n"/>
      <c r="P100" s="27" t="inlineStr">
        <is>
          <t>PAID RB/2A THB 2,700 net per night
DISCOVERY – THAILAND RESIDENTS RATE
- Accommodation
- Daily breakfast
- 20% off dining
- 20% off selected treatments at AvaniSpa
- THB 500 dining per stay for stays of two nights or more**Cost deduct to transaction #81108**
- Proof of Thai residency must be presented at check-in</t>
        </is>
      </c>
      <c r="Q100" s="28" t="n"/>
      <c r="R100" s="28" t="n"/>
      <c r="S100" s="28" t="n"/>
      <c r="T100" s="28" t="n"/>
      <c r="U100" s="28" t="n"/>
      <c r="V100" s="23" t="n"/>
    </row>
    <row r="101" ht="114" customHeight="1">
      <c r="A101" s="93" t="inlineStr">
        <is>
          <t>Mr. Nanaphat Guntatun</t>
        </is>
      </c>
      <c r="B101" s="23" t="n"/>
      <c r="C101" s="7" t="inlineStr">
        <is>
          <t>-</t>
        </is>
      </c>
      <c r="D101" s="24" t="inlineStr">
        <is>
          <t>2506</t>
        </is>
      </c>
      <c r="E101" s="23" t="n"/>
      <c r="F101" s="24" t="inlineStr">
        <is>
          <t>-</t>
        </is>
      </c>
      <c r="G101" s="23" t="n"/>
      <c r="H101" s="8" t="inlineStr">
        <is>
          <t>2</t>
        </is>
      </c>
      <c r="I101" s="9" t="inlineStr">
        <is>
          <t>25/07/26</t>
        </is>
      </c>
      <c r="J101" s="9" t="inlineStr">
        <is>
          <t>26/07/26</t>
        </is>
      </c>
      <c r="K101" s="8" t="inlineStr">
        <is>
          <t>-</t>
        </is>
      </c>
      <c r="L101" s="94" t="inlineStr">
        <is>
          <t>15.00</t>
        </is>
      </c>
      <c r="M101" s="23" t="n"/>
      <c r="N101" s="22" t="inlineStr">
        <is>
          <t>-</t>
        </is>
      </c>
      <c r="O101" s="23" t="n"/>
      <c r="P101" s="27" t="inlineStr">
        <is>
          <t>COA (See Trace) RB/2A THB 2,946.49+++per night 
- 18% COMM Kickback at THB 624.24 net 
- Pty 2 rooms
You have received a virtual credit card for this reservation.You may charge it as of 2026-07-22. Approximate time of arrival: between 15:00 and 16:00 ขอห้องพักชั้น Ground Floor, booker_is_genius, smoking preference: Non-Smoking</t>
        </is>
      </c>
      <c r="Q101" s="28" t="n"/>
      <c r="R101" s="28" t="n"/>
      <c r="S101" s="28" t="n"/>
      <c r="T101" s="28" t="n"/>
      <c r="U101" s="28" t="n"/>
      <c r="V101" s="23" t="n"/>
    </row>
    <row r="102" ht="114" customHeight="1">
      <c r="A102" s="93" t="inlineStr">
        <is>
          <t>Miss. Naruemon Pimsen</t>
        </is>
      </c>
      <c r="B102" s="23" t="n"/>
      <c r="C102" s="7" t="inlineStr">
        <is>
          <t>-</t>
        </is>
      </c>
      <c r="D102" s="24" t="inlineStr">
        <is>
          <t>2510</t>
        </is>
      </c>
      <c r="E102" s="23" t="n"/>
      <c r="F102" s="24" t="inlineStr">
        <is>
          <t>-</t>
        </is>
      </c>
      <c r="G102" s="23" t="n"/>
      <c r="H102" s="8" t="inlineStr">
        <is>
          <t>2</t>
        </is>
      </c>
      <c r="I102" s="9" t="inlineStr">
        <is>
          <t>25/07/26</t>
        </is>
      </c>
      <c r="J102" s="9" t="inlineStr">
        <is>
          <t>26/07/26</t>
        </is>
      </c>
      <c r="K102" s="8" t="inlineStr">
        <is>
          <t>-</t>
        </is>
      </c>
      <c r="L102" s="94" t="inlineStr">
        <is>
          <t>15.00</t>
        </is>
      </c>
      <c r="M102" s="23" t="n"/>
      <c r="N102" s="22" t="inlineStr">
        <is>
          <t>-</t>
        </is>
      </c>
      <c r="O102" s="23" t="n"/>
      <c r="P102" s="27" t="inlineStr">
        <is>
          <t>PAID RB/2A THB 1,890+++ per night
- RQ king bed
- Guest is Resolutions Support Admin at Minor Vacations Phuket Office
MINOR HOTELS TEAM MEMBER
- Special rates with daily breakfast
- Up to 50% off food &amp; beverages including alcohol* in hotel-operated outlets when booked in advance, subject to availability
- Up to 50% off spa treatments (may vary depending on item, subject to availability)
- A valid employee ID card or a certificate of employment must be presented at check-in, otherwise the Flexi plus Breakfast rate will apply
- A maximum of two rooms per stay may be requested, unless the hotel allows otherwise</t>
        </is>
      </c>
      <c r="Q102" s="28" t="n"/>
      <c r="R102" s="28" t="n"/>
      <c r="S102" s="28" t="n"/>
      <c r="T102" s="28" t="n"/>
      <c r="U102" s="28" t="n"/>
      <c r="V102" s="23" t="n"/>
    </row>
    <row r="103" ht="114" customHeight="1">
      <c r="A103" s="93" t="inlineStr">
        <is>
          <t>Mr. Watcharamon Kitkusolsab</t>
        </is>
      </c>
      <c r="B103" s="23" t="n"/>
      <c r="C103" s="7" t="inlineStr">
        <is>
          <t>-</t>
        </is>
      </c>
      <c r="D103" s="24" t="inlineStr">
        <is>
          <t>2512</t>
        </is>
      </c>
      <c r="E103" s="23" t="n"/>
      <c r="F103" s="24" t="inlineStr">
        <is>
          <t>-</t>
        </is>
      </c>
      <c r="G103" s="23" t="n"/>
      <c r="H103" s="8" t="inlineStr">
        <is>
          <t>2</t>
        </is>
      </c>
      <c r="I103" s="9" t="inlineStr">
        <is>
          <t>25/07/26</t>
        </is>
      </c>
      <c r="J103" s="9" t="inlineStr">
        <is>
          <t>27/07/26</t>
        </is>
      </c>
      <c r="K103" s="8" t="inlineStr">
        <is>
          <t>-</t>
        </is>
      </c>
      <c r="L103" s="94" t="inlineStr">
        <is>
          <t>15.00</t>
        </is>
      </c>
      <c r="M103" s="23" t="n"/>
      <c r="N103" s="22" t="inlineStr">
        <is>
          <t>-</t>
        </is>
      </c>
      <c r="O103" s="23" t="n"/>
      <c r="P103" s="27" t="inlineStr">
        <is>
          <t>CTC RB/2A THB 2,475 net per night **COLL VCH**
- Pro. Exclusive Green Season Escape - 45%</t>
        </is>
      </c>
      <c r="Q103" s="28" t="n"/>
      <c r="R103" s="28" t="n"/>
      <c r="S103" s="28" t="n"/>
      <c r="T103" s="28" t="n"/>
      <c r="U103" s="28" t="n"/>
      <c r="V103" s="23" t="n"/>
    </row>
    <row r="104" ht="114" customHeight="1">
      <c r="A104" s="93" t="inlineStr">
        <is>
          <t>Mr. Tharit Hanggasee</t>
        </is>
      </c>
      <c r="B104" s="23" t="n"/>
      <c r="C104" s="7" t="inlineStr">
        <is>
          <t>-</t>
        </is>
      </c>
      <c r="D104" s="24" t="inlineStr">
        <is>
          <t>2602</t>
        </is>
      </c>
      <c r="E104" s="23" t="n"/>
      <c r="F104" s="24" t="inlineStr">
        <is>
          <t>VIPG
SILVER</t>
        </is>
      </c>
      <c r="G104" s="23" t="n"/>
      <c r="H104" s="8" t="inlineStr">
        <is>
          <t>2</t>
        </is>
      </c>
      <c r="I104" s="9" t="inlineStr">
        <is>
          <t>25/07/26</t>
        </is>
      </c>
      <c r="J104" s="9" t="inlineStr">
        <is>
          <t>28/07/26</t>
        </is>
      </c>
      <c r="K104" s="8" t="inlineStr">
        <is>
          <t>-</t>
        </is>
      </c>
      <c r="L104" s="94" t="inlineStr">
        <is>
          <t>15.00</t>
        </is>
      </c>
      <c r="M104" s="23" t="n"/>
      <c r="N104" s="22" t="inlineStr">
        <is>
          <t>-</t>
        </is>
      </c>
      <c r="O104" s="23" t="n"/>
      <c r="P104" s="27" t="inlineStr">
        <is>
          <t>PAID RO/2A THB 1,755+++ per night 
-15% comm kickback THB 789.75 net 
-เตียงเดี่ยว,ไม่สูบบุหรี่  
DISCOVERY – ROOM ONLY ESCAPE 
-Accommodation – room only 
-Kids under 4 years stay for free when using existing bed  
Stays of 1-4 nights 
• 20% savings on dining (excluding In-Room Dining, minibar &amp; alcoholic beverages) 
• 20% savings on spa treatment at AvaniSpa (excluding Coco Breeze Salas) 
• 20% savings on laundry service</t>
        </is>
      </c>
      <c r="Q104" s="28" t="n"/>
      <c r="R104" s="28" t="n"/>
      <c r="S104" s="28" t="n"/>
      <c r="T104" s="28" t="n"/>
      <c r="U104" s="28" t="n"/>
      <c r="V104" s="23" t="n"/>
    </row>
    <row r="105" ht="114" customHeight="1">
      <c r="A105" s="93" t="inlineStr">
        <is>
          <t>Ms. Panutda Wongchaigosoh</t>
        </is>
      </c>
      <c r="B105" s="23" t="n"/>
      <c r="C105" s="7" t="inlineStr">
        <is>
          <t>-</t>
        </is>
      </c>
      <c r="D105" s="24" t="inlineStr">
        <is>
          <t>2603</t>
        </is>
      </c>
      <c r="E105" s="23" t="n"/>
      <c r="F105" s="24" t="inlineStr">
        <is>
          <t>-</t>
        </is>
      </c>
      <c r="G105" s="23" t="n"/>
      <c r="H105" s="8" t="inlineStr">
        <is>
          <t>2</t>
        </is>
      </c>
      <c r="I105" s="9" t="inlineStr">
        <is>
          <t>25/07/26</t>
        </is>
      </c>
      <c r="J105" s="9" t="inlineStr">
        <is>
          <t>27/07/26</t>
        </is>
      </c>
      <c r="K105" s="8" t="inlineStr">
        <is>
          <t>-</t>
        </is>
      </c>
      <c r="L105" s="94" t="inlineStr">
        <is>
          <t>15.00</t>
        </is>
      </c>
      <c r="M105" s="23" t="n"/>
      <c r="N105" s="22" t="inlineStr">
        <is>
          <t>-</t>
        </is>
      </c>
      <c r="O105" s="23" t="n"/>
      <c r="P105" s="27" t="inlineStr">
        <is>
          <t>PAID (PG) RB/2A THB 2,900 net per night
STAY &amp; BENEFITS 
-Accommodation
-Daily breakfast for 2 persons
-20% off dining
-20% off selected treatments at AvaniSpa
-Proof of Thai residency must be presented at check-in
-THB 500 resort credit per room for every night of your stay</t>
        </is>
      </c>
      <c r="Q105" s="28" t="n"/>
      <c r="R105" s="28" t="n"/>
      <c r="S105" s="28" t="n"/>
      <c r="T105" s="28" t="n"/>
      <c r="U105" s="28" t="n"/>
      <c r="V105" s="23" t="n"/>
    </row>
    <row r="106" ht="114" customHeight="1">
      <c r="A106" s="93" t="inlineStr">
        <is>
          <t>Mr. Yap Chee Meng</t>
        </is>
      </c>
      <c r="B106" s="23" t="n"/>
      <c r="C106" s="7" t="inlineStr">
        <is>
          <t>-</t>
        </is>
      </c>
      <c r="D106" s="24" t="inlineStr">
        <is>
          <t>2606</t>
        </is>
      </c>
      <c r="E106" s="23" t="n"/>
      <c r="F106" s="24" t="inlineStr">
        <is>
          <t>VIPG
SILVER</t>
        </is>
      </c>
      <c r="G106" s="23" t="n"/>
      <c r="H106" s="8" t="inlineStr">
        <is>
          <t>2</t>
        </is>
      </c>
      <c r="I106" s="9" t="inlineStr">
        <is>
          <t>25/07/26</t>
        </is>
      </c>
      <c r="J106" s="9" t="inlineStr">
        <is>
          <t>27/07/26</t>
        </is>
      </c>
      <c r="K106" s="8" t="inlineStr">
        <is>
          <t>-</t>
        </is>
      </c>
      <c r="L106" s="94" t="inlineStr">
        <is>
          <t>15.00</t>
        </is>
      </c>
      <c r="M106" s="23" t="n"/>
      <c r="N106" s="22" t="inlineStr">
        <is>
          <t>-</t>
        </is>
      </c>
      <c r="O106" s="23" t="n"/>
      <c r="P106" s="27" t="inlineStr">
        <is>
          <t>PAID RO/2A THB 2,106.15+++per night (collect payment THB 5,000 net upon arrival)
Paid ABF THB350/day*2day Total THB700
Consecutive booking (pls assign same room)
-1st booking on 23-25 Jul 26 with #850808367
-2nd booking on 25-27 Jul 26 with #100850960217
Book direct benefits:
-20% savings on dining (excluding In-Room Dining, minibar &amp; alcoholic beverages)
-20% savings on spa treatment at AvaniSpa (excluding Coco Breeze Salas)
-20% savings on laundry service</t>
        </is>
      </c>
      <c r="Q106" s="28" t="n"/>
      <c r="R106" s="28" t="n"/>
      <c r="S106" s="28" t="n"/>
      <c r="T106" s="28" t="n"/>
      <c r="U106" s="28" t="n"/>
      <c r="V106" s="23" t="n"/>
    </row>
    <row r="107" ht="114" customHeight="1">
      <c r="A107" s="93" t="inlineStr">
        <is>
          <t>Ms. Pailin Graham</t>
        </is>
      </c>
      <c r="B107" s="23" t="n"/>
      <c r="C107" s="7" t="inlineStr">
        <is>
          <t>-</t>
        </is>
      </c>
      <c r="D107" s="24" t="inlineStr">
        <is>
          <t>2607</t>
        </is>
      </c>
      <c r="E107" s="23" t="n"/>
      <c r="F107" s="24" t="inlineStr">
        <is>
          <t>-</t>
        </is>
      </c>
      <c r="G107" s="23" t="n"/>
      <c r="H107" s="8" t="inlineStr">
        <is>
          <t>2</t>
        </is>
      </c>
      <c r="I107" s="9" t="inlineStr">
        <is>
          <t>25/07/26</t>
        </is>
      </c>
      <c r="J107" s="9" t="inlineStr">
        <is>
          <t>27/07/26</t>
        </is>
      </c>
      <c r="K107" s="8" t="inlineStr">
        <is>
          <t>-</t>
        </is>
      </c>
      <c r="L107" s="94" t="inlineStr">
        <is>
          <t>15.00</t>
        </is>
      </c>
      <c r="M107" s="23" t="n"/>
      <c r="N107" s="22" t="inlineStr">
        <is>
          <t>-</t>
        </is>
      </c>
      <c r="O107" s="23" t="n"/>
      <c r="P107" s="27" t="inlineStr">
        <is>
          <t>PAID RB/2A THB 2,700 net per night
- Party 2 rms.
- Lead booking by P'June
THAILAND RESIDENTS RATE:
- Accommodation
- Daily breakfast
- 20% off dining
- 20% off selected treatments at AvaniSpa</t>
        </is>
      </c>
      <c r="Q107" s="28" t="n"/>
      <c r="R107" s="28" t="n"/>
      <c r="S107" s="28" t="n"/>
      <c r="T107" s="28" t="n"/>
      <c r="U107" s="28" t="n"/>
      <c r="V107" s="23" t="n"/>
    </row>
    <row r="108" ht="114" customHeight="1">
      <c r="A108" s="93" t="inlineStr">
        <is>
          <t>Ms. Pailin Graham</t>
        </is>
      </c>
      <c r="B108" s="23" t="n"/>
      <c r="C108" s="7" t="inlineStr">
        <is>
          <t>-</t>
        </is>
      </c>
      <c r="D108" s="24" t="inlineStr">
        <is>
          <t>2608</t>
        </is>
      </c>
      <c r="E108" s="23" t="n"/>
      <c r="F108" s="24" t="inlineStr">
        <is>
          <t>-</t>
        </is>
      </c>
      <c r="G108" s="23" t="n"/>
      <c r="H108" s="8" t="inlineStr">
        <is>
          <t>2</t>
        </is>
      </c>
      <c r="I108" s="9" t="inlineStr">
        <is>
          <t>25/07/26</t>
        </is>
      </c>
      <c r="J108" s="9" t="inlineStr">
        <is>
          <t>27/07/26</t>
        </is>
      </c>
      <c r="K108" s="8" t="inlineStr">
        <is>
          <t>-</t>
        </is>
      </c>
      <c r="L108" s="94" t="inlineStr">
        <is>
          <t>15.00</t>
        </is>
      </c>
      <c r="M108" s="23" t="n"/>
      <c r="N108" s="22" t="inlineStr">
        <is>
          <t>-</t>
        </is>
      </c>
      <c r="O108" s="23" t="n"/>
      <c r="P108" s="27" t="inlineStr">
        <is>
          <t>PAID RB/2A THB 2,700 net per night
- Party 2 rms.
- Lead booking by P'June
THAILAND RESIDENTS RATE:
- Accommodation
- Daily breakfast
- 20% off dining
- 20% off selected treatments at AvaniSpa</t>
        </is>
      </c>
      <c r="Q108" s="28" t="n"/>
      <c r="R108" s="28" t="n"/>
      <c r="S108" s="28" t="n"/>
      <c r="T108" s="28" t="n"/>
      <c r="U108" s="28" t="n"/>
      <c r="V108" s="23" t="n"/>
    </row>
    <row r="109" ht="114" customHeight="1">
      <c r="A109" s="93" t="inlineStr">
        <is>
          <t>Mr. Krisadakorn Pengkoom</t>
        </is>
      </c>
      <c r="B109" s="23" t="n"/>
      <c r="C109" s="7" t="inlineStr">
        <is>
          <t>-</t>
        </is>
      </c>
      <c r="D109" s="24" t="inlineStr">
        <is>
          <t>3101</t>
        </is>
      </c>
      <c r="E109" s="23" t="n"/>
      <c r="F109" s="24" t="inlineStr">
        <is>
          <t>VIP2
TITANIUM</t>
        </is>
      </c>
      <c r="G109" s="23" t="n"/>
      <c r="H109" s="8" t="inlineStr">
        <is>
          <t>3</t>
        </is>
      </c>
      <c r="I109" s="9" t="inlineStr">
        <is>
          <t>25/07/26</t>
        </is>
      </c>
      <c r="J109" s="9" t="inlineStr">
        <is>
          <t>28/07/26</t>
        </is>
      </c>
      <c r="K109" s="8" t="inlineStr">
        <is>
          <t>-</t>
        </is>
      </c>
      <c r="L109" s="94" t="inlineStr">
        <is>
          <t>12.00</t>
        </is>
      </c>
      <c r="M109" s="23" t="n"/>
      <c r="N109" s="22" t="inlineStr">
        <is>
          <t>-</t>
        </is>
      </c>
      <c r="O109" s="23" t="n"/>
      <c r="P109" s="27" t="inlineStr">
        <is>
          <t>PAID (PG) RB/3A THB 3,691.94+++ per night 
-RQ: Room UPG , EC/I at 12.00 hrs &amp; LC/O at 14.00-16.00 hrs.(subject to avai) as per GHA benefit
ABOUT YOUR BOOK DIRECT BENEFITS:
Stays of 1-4 nights
• 20% savings on dining (excluding In-Room Dining, minibar &amp; alcoholic beverages)
• 20% savings on spa treatment at AvaniSpa (excluding Coco Breeze Salas)
• 20% savings on laundry service</t>
        </is>
      </c>
      <c r="Q109" s="28" t="n"/>
      <c r="R109" s="28" t="n"/>
      <c r="S109" s="28" t="n"/>
      <c r="T109" s="28" t="n"/>
      <c r="U109" s="28" t="n"/>
      <c r="V109" s="23" t="n"/>
    </row>
    <row r="110" ht="114" customHeight="1">
      <c r="A110" s="93" t="inlineStr">
        <is>
          <t>Ms. Jeerana Joknoi</t>
        </is>
      </c>
      <c r="B110" s="23" t="n"/>
      <c r="C110" s="7" t="inlineStr">
        <is>
          <t>-</t>
        </is>
      </c>
      <c r="D110" s="24" t="inlineStr">
        <is>
          <t>3108</t>
        </is>
      </c>
      <c r="E110" s="23" t="n"/>
      <c r="F110" s="24" t="inlineStr">
        <is>
          <t>VIPG
SILVER</t>
        </is>
      </c>
      <c r="G110" s="23" t="n"/>
      <c r="H110" s="8" t="inlineStr">
        <is>
          <t>2+1</t>
        </is>
      </c>
      <c r="I110" s="9" t="inlineStr">
        <is>
          <t>25/07/26</t>
        </is>
      </c>
      <c r="J110" s="9" t="inlineStr">
        <is>
          <t>26/07/26</t>
        </is>
      </c>
      <c r="K110" s="8" t="inlineStr">
        <is>
          <t>-</t>
        </is>
      </c>
      <c r="L110" s="94" t="inlineStr">
        <is>
          <t>15.00</t>
        </is>
      </c>
      <c r="M110" s="23" t="n"/>
      <c r="N110" s="22" t="inlineStr">
        <is>
          <t>-</t>
        </is>
      </c>
      <c r="O110" s="23" t="n"/>
      <c r="P110" s="27" t="inlineStr">
        <is>
          <t>PAID (Bank Transfer) RB/2A THB 3,285.59+++per night + 1 CEXB at THB 750 net per night (Total 4,650 net)
- 1 CHD age 6 Yrs old 
- Guarantee upgrade to Deluxe Pool Access Room
- Lead booking from Khun Aun Sales
- Benefit: 2 Special mocktail at The Beach Bar (55THB / glass) Charge to Sales</t>
        </is>
      </c>
      <c r="Q110" s="28" t="n"/>
      <c r="R110" s="28" t="n"/>
      <c r="S110" s="28" t="n"/>
      <c r="T110" s="28" t="n"/>
      <c r="U110" s="28" t="n"/>
      <c r="V110" s="23" t="n"/>
    </row>
    <row r="111" ht="114" customHeight="1">
      <c r="A111" s="93" t="inlineStr">
        <is>
          <t>Ms. Dafna Shait</t>
        </is>
      </c>
      <c r="B111" s="23" t="n"/>
      <c r="C111" s="7" t="inlineStr">
        <is>
          <t>-</t>
        </is>
      </c>
      <c r="D111" s="24" t="inlineStr">
        <is>
          <t>3109</t>
        </is>
      </c>
      <c r="E111" s="23" t="n"/>
      <c r="F111" s="24" t="inlineStr">
        <is>
          <t>VIPG
PLATINUM</t>
        </is>
      </c>
      <c r="G111" s="23" t="n"/>
      <c r="H111" s="8" t="inlineStr">
        <is>
          <t>2</t>
        </is>
      </c>
      <c r="I111" s="9" t="inlineStr">
        <is>
          <t>25/07/26</t>
        </is>
      </c>
      <c r="J111" s="9" t="inlineStr">
        <is>
          <t>29/07/26</t>
        </is>
      </c>
      <c r="K111" s="8" t="inlineStr">
        <is>
          <t>-</t>
        </is>
      </c>
      <c r="L111" s="94" t="inlineStr">
        <is>
          <t>15.00</t>
        </is>
      </c>
      <c r="M111" s="23" t="n"/>
      <c r="N111" s="22" t="inlineStr">
        <is>
          <t>-</t>
        </is>
      </c>
      <c r="O111" s="23" t="n"/>
      <c r="P111" s="27" t="inlineStr">
        <is>
          <t>POA RB/2A THB 3,969.00+++ per night 
- This 4th time for visit 
- Total amount THB 18,811.12 net 
- Redeem with D$ at THB 12,042.65 net 
- PAID (PG) THB 6,768.47 net 
ABOUT YOUR BOOK DIRECT BENEFITS 
Stays of 1-4 nights
• 20% savings on dining (excluding In-Room Dining, minibar &amp; alcoholic beverages)
• 20% savings on spa treatment at AvaniSpa (excluding Coco Breeze Salas)
• 20% savings on laundry service</t>
        </is>
      </c>
      <c r="Q111" s="28" t="n"/>
      <c r="R111" s="28" t="n"/>
      <c r="S111" s="28" t="n"/>
      <c r="T111" s="28" t="n"/>
      <c r="U111" s="28" t="n"/>
      <c r="V111" s="23" t="n"/>
    </row>
    <row r="112" ht="114" customHeight="1">
      <c r="A112" s="93" t="inlineStr">
        <is>
          <t>Ms. Pawinee Norasetgamol</t>
        </is>
      </c>
      <c r="B112" s="23" t="n"/>
      <c r="C112" s="7" t="inlineStr">
        <is>
          <t>-</t>
        </is>
      </c>
      <c r="D112" s="24" t="inlineStr">
        <is>
          <t>3111</t>
        </is>
      </c>
      <c r="E112" s="23" t="n"/>
      <c r="F112" s="24" t="inlineStr">
        <is>
          <t>VIP2
TITANIUM</t>
        </is>
      </c>
      <c r="G112" s="23" t="n"/>
      <c r="H112" s="8" t="inlineStr">
        <is>
          <t>2</t>
        </is>
      </c>
      <c r="I112" s="9" t="inlineStr">
        <is>
          <t>25/07/26</t>
        </is>
      </c>
      <c r="J112" s="9" t="inlineStr">
        <is>
          <t>27/07/26</t>
        </is>
      </c>
      <c r="K112" s="8" t="inlineStr">
        <is>
          <t>-</t>
        </is>
      </c>
      <c r="L112" s="94" t="inlineStr">
        <is>
          <t>17.00</t>
        </is>
      </c>
      <c r="M112" s="23" t="n"/>
      <c r="N112" s="22" t="inlineStr">
        <is>
          <t>-</t>
        </is>
      </c>
      <c r="O112" s="23" t="n"/>
      <c r="P112" s="27" t="inlineStr">
        <is>
          <t>POA RB/2A at THB. 1,710+++ per night (settle payment on arrival at THB. 4,059.54 net) - COMP UPG to Deluxe Corner Room  - Rate by Khun Pattiya, REV. - Guest is Senior Director, Revenue Management, Commercial systems and Customer Contact | MINOR  MINOR HOTELS TEAM MEMBER :  • Special rates with daily breakfast  • Up to 50% off food &amp; beverages including alcohol* in hotel-operated outlets  when booked in advance, subject to availability  • Up to 50% off spa treatments (may vary depending on item, subject to  availability)  • A valid employee ID card or a certificate of employment must be presented at  check-in, otherwise the Flexi plus Breakfast rate will apply  • A maximum of two rooms per stay may be requested, unless the hotel allows  otherwise</t>
        </is>
      </c>
      <c r="Q112" s="28" t="n"/>
      <c r="R112" s="28" t="n"/>
      <c r="S112" s="28" t="n"/>
      <c r="T112" s="28" t="n"/>
      <c r="U112" s="28" t="n"/>
      <c r="V112" s="23" t="n"/>
    </row>
    <row r="113" ht="114" customHeight="1">
      <c r="A113" s="93" t="inlineStr">
        <is>
          <t>Mr. Eyal Cohen</t>
        </is>
      </c>
      <c r="B113" s="23" t="n"/>
      <c r="C113" s="7" t="inlineStr">
        <is>
          <t>-</t>
        </is>
      </c>
      <c r="D113" s="24" t="inlineStr">
        <is>
          <t>3202</t>
        </is>
      </c>
      <c r="E113" s="23" t="n"/>
      <c r="F113" s="24" t="inlineStr">
        <is>
          <t>-</t>
        </is>
      </c>
      <c r="G113" s="23" t="n"/>
      <c r="H113" s="8" t="inlineStr">
        <is>
          <t>3</t>
        </is>
      </c>
      <c r="I113" s="9" t="inlineStr">
        <is>
          <t>25/07/26</t>
        </is>
      </c>
      <c r="J113" s="9" t="inlineStr">
        <is>
          <t>28/07/26</t>
        </is>
      </c>
      <c r="K113" s="8" t="inlineStr">
        <is>
          <t>-</t>
        </is>
      </c>
      <c r="L113" s="94" t="inlineStr">
        <is>
          <t>15.00</t>
        </is>
      </c>
      <c r="M113" s="23" t="n"/>
      <c r="N113" s="22" t="inlineStr">
        <is>
          <t>-</t>
        </is>
      </c>
      <c r="O113" s="23" t="n"/>
      <c r="P113" s="27" t="inlineStr">
        <is>
          <t>PAID (Bank TRSF) RB/3A THB 4,200.00 net per night 
- Green season Promotion 
- Pty 2 rooms</t>
        </is>
      </c>
      <c r="Q113" s="28" t="n"/>
      <c r="R113" s="28" t="n"/>
      <c r="S113" s="28" t="n"/>
      <c r="T113" s="28" t="n"/>
      <c r="U113" s="28" t="n"/>
      <c r="V113" s="23" t="n"/>
    </row>
    <row r="114" ht="114" customHeight="1">
      <c r="A114" s="93" t="inlineStr">
        <is>
          <t>Mr. Eyal Cohen</t>
        </is>
      </c>
      <c r="B114" s="23" t="n"/>
      <c r="C114" s="7" t="inlineStr">
        <is>
          <t>-</t>
        </is>
      </c>
      <c r="D114" s="24" t="inlineStr">
        <is>
          <t>3203</t>
        </is>
      </c>
      <c r="E114" s="23" t="n"/>
      <c r="F114" s="24" t="inlineStr">
        <is>
          <t>-</t>
        </is>
      </c>
      <c r="G114" s="23" t="n"/>
      <c r="H114" s="8" t="inlineStr">
        <is>
          <t>2+1</t>
        </is>
      </c>
      <c r="I114" s="9" t="inlineStr">
        <is>
          <t>25/07/26</t>
        </is>
      </c>
      <c r="J114" s="9" t="inlineStr">
        <is>
          <t>28/07/26</t>
        </is>
      </c>
      <c r="K114" s="8" t="inlineStr">
        <is>
          <t>-</t>
        </is>
      </c>
      <c r="L114" s="94" t="inlineStr">
        <is>
          <t>15.00</t>
        </is>
      </c>
      <c r="M114" s="23" t="n"/>
      <c r="N114" s="22" t="inlineStr">
        <is>
          <t>-</t>
        </is>
      </c>
      <c r="O114" s="23" t="n"/>
      <c r="P114" s="27" t="inlineStr">
        <is>
          <t>PAID (Bank TRSF) RB/2A THB 2,700 net per night 
- FOC 1 CHD age 3 Yrs old 
- Green season Promotion 
- Pty 2 rooms</t>
        </is>
      </c>
      <c r="Q114" s="28" t="n"/>
      <c r="R114" s="28" t="n"/>
      <c r="S114" s="28" t="n"/>
      <c r="T114" s="28" t="n"/>
      <c r="U114" s="28" t="n"/>
      <c r="V114" s="23" t="n"/>
    </row>
    <row r="115" ht="114" customHeight="1">
      <c r="A115" s="93" t="inlineStr">
        <is>
          <t>Ms. Poppy Spencer</t>
        </is>
      </c>
      <c r="B115" s="23" t="n"/>
      <c r="C115" s="7" t="inlineStr">
        <is>
          <t>-</t>
        </is>
      </c>
      <c r="D115" s="24" t="inlineStr">
        <is>
          <t>3204</t>
        </is>
      </c>
      <c r="E115" s="23" t="n"/>
      <c r="F115" s="24" t="inlineStr">
        <is>
          <t>-</t>
        </is>
      </c>
      <c r="G115" s="23" t="n"/>
      <c r="H115" s="8" t="inlineStr">
        <is>
          <t>2</t>
        </is>
      </c>
      <c r="I115" s="9" t="inlineStr">
        <is>
          <t>25/07/26</t>
        </is>
      </c>
      <c r="J115" s="9" t="inlineStr">
        <is>
          <t>31/07/26</t>
        </is>
      </c>
      <c r="K115" s="8" t="inlineStr">
        <is>
          <t>-</t>
        </is>
      </c>
      <c r="L115" s="94" t="inlineStr">
        <is>
          <t>15.00</t>
        </is>
      </c>
      <c r="M115" s="23" t="n"/>
      <c r="N115" s="22" t="inlineStr">
        <is>
          <t>-</t>
        </is>
      </c>
      <c r="O115" s="23" t="n"/>
      <c r="P115" s="27" t="inlineStr">
        <is>
          <t>COD (see trace) RB/2A THB 3,247.63 net per night
- 20% comm prepaid at 3,897.17 THB
- party 2 rooms
- Strong RQ twin bed</t>
        </is>
      </c>
      <c r="Q115" s="28" t="n"/>
      <c r="R115" s="28" t="n"/>
      <c r="S115" s="28" t="n"/>
      <c r="T115" s="28" t="n"/>
      <c r="U115" s="28" t="n"/>
      <c r="V115" s="23" t="n"/>
    </row>
    <row r="116" ht="114" customHeight="1">
      <c r="A116" s="93" t="inlineStr">
        <is>
          <t>Mr. Louise Spencer</t>
        </is>
      </c>
      <c r="B116" s="23" t="n"/>
      <c r="C116" s="7" t="inlineStr">
        <is>
          <t>-</t>
        </is>
      </c>
      <c r="D116" s="24" t="inlineStr">
        <is>
          <t>3205</t>
        </is>
      </c>
      <c r="E116" s="23" t="n"/>
      <c r="F116" s="24" t="inlineStr">
        <is>
          <t>-</t>
        </is>
      </c>
      <c r="G116" s="23" t="n"/>
      <c r="H116" s="8" t="inlineStr">
        <is>
          <t>2</t>
        </is>
      </c>
      <c r="I116" s="9" t="inlineStr">
        <is>
          <t>25/07/26</t>
        </is>
      </c>
      <c r="J116" s="9" t="inlineStr">
        <is>
          <t>31/07/26</t>
        </is>
      </c>
      <c r="K116" s="8" t="inlineStr">
        <is>
          <t>-</t>
        </is>
      </c>
      <c r="L116" s="94" t="inlineStr">
        <is>
          <t>15.00</t>
        </is>
      </c>
      <c r="M116" s="23" t="n"/>
      <c r="N116" s="22" t="inlineStr">
        <is>
          <t>-</t>
        </is>
      </c>
      <c r="O116" s="23" t="n"/>
      <c r="P116" s="27" t="inlineStr">
        <is>
          <t>COD (see trace) RB/2A THB 3,247.63 net per night
- 20% comm prepaid at 3,897.17 THB
- Party 2 rooms</t>
        </is>
      </c>
      <c r="Q116" s="28" t="n"/>
      <c r="R116" s="28" t="n"/>
      <c r="S116" s="28" t="n"/>
      <c r="T116" s="28" t="n"/>
      <c r="U116" s="28" t="n"/>
      <c r="V116" s="23" t="n"/>
    </row>
    <row r="117" ht="114" customHeight="1">
      <c r="A117" s="93" t="inlineStr">
        <is>
          <t>Ms. Amonrat Ajsamart</t>
        </is>
      </c>
      <c r="B117" s="23" t="n"/>
      <c r="C117" s="7" t="inlineStr">
        <is>
          <t>-</t>
        </is>
      </c>
      <c r="D117" s="24" t="inlineStr">
        <is>
          <t>3208</t>
        </is>
      </c>
      <c r="E117" s="23" t="n"/>
      <c r="F117" s="24" t="inlineStr">
        <is>
          <t>VIPS
SILVER</t>
        </is>
      </c>
      <c r="G117" s="23" t="n"/>
      <c r="H117" s="8" t="inlineStr">
        <is>
          <t>2</t>
        </is>
      </c>
      <c r="I117" s="9" t="inlineStr">
        <is>
          <t>25/07/26</t>
        </is>
      </c>
      <c r="J117" s="9" t="inlineStr">
        <is>
          <t>28/07/26</t>
        </is>
      </c>
      <c r="K117" s="8" t="inlineStr">
        <is>
          <t>-</t>
        </is>
      </c>
      <c r="L117" s="94" t="inlineStr">
        <is>
          <t>15.00</t>
        </is>
      </c>
      <c r="M117" s="23" t="n"/>
      <c r="N117" s="22" t="inlineStr">
        <is>
          <t>-</t>
        </is>
      </c>
      <c r="O117" s="23" t="n"/>
      <c r="P117" s="27" t="inlineStr">
        <is>
          <t>PAID (PG) RB/2A THB 1,935+++ (25/07) + THB 2,250+++ (26-27/07) per night
-She is Complex Director of Sales - Leisure from Anantara Riverside Bangkok Resort
-Req Twin Bed
MINOR HOTELS TEAM MEMBER
-Special rates with daily breakfast
-Up to 50% off food &amp; beverages including alcohol* in hotel-operated outlets when booked in advance, subject to availability
-Up to 50% off spa treatments (may vary depending on item, subject to availability)
-A valid employee ID card or a certificate of employment must be presented at check-in, otherwise the Flexi plus Breakfast rate will apply
-A maximum of two rooms per stay may be requested, unless the hotel allows otherwise</t>
        </is>
      </c>
      <c r="Q117" s="28" t="n"/>
      <c r="R117" s="28" t="n"/>
      <c r="S117" s="28" t="n"/>
      <c r="T117" s="28" t="n"/>
      <c r="U117" s="28" t="n"/>
      <c r="V117" s="23" t="n"/>
    </row>
    <row r="118" ht="114" customHeight="1">
      <c r="A118" s="93" t="inlineStr">
        <is>
          <t>Ms. Chayapas Thanasombat</t>
        </is>
      </c>
      <c r="B118" s="23" t="n"/>
      <c r="C118" s="7" t="inlineStr">
        <is>
          <t>-</t>
        </is>
      </c>
      <c r="D118" s="24" t="inlineStr">
        <is>
          <t>3209</t>
        </is>
      </c>
      <c r="E118" s="23" t="n"/>
      <c r="F118" s="24" t="inlineStr">
        <is>
          <t>-</t>
        </is>
      </c>
      <c r="G118" s="23" t="n"/>
      <c r="H118" s="8" t="inlineStr">
        <is>
          <t>2</t>
        </is>
      </c>
      <c r="I118" s="9" t="inlineStr">
        <is>
          <t>25/07/26</t>
        </is>
      </c>
      <c r="J118" s="9" t="inlineStr">
        <is>
          <t>27/07/26</t>
        </is>
      </c>
      <c r="K118" s="8" t="inlineStr">
        <is>
          <t>-</t>
        </is>
      </c>
      <c r="L118" s="94" t="inlineStr">
        <is>
          <t>15.00</t>
        </is>
      </c>
      <c r="M118" s="23" t="n"/>
      <c r="N118" s="22" t="inlineStr">
        <is>
          <t>-</t>
        </is>
      </c>
      <c r="O118" s="23" t="n"/>
      <c r="P118" s="27" t="inlineStr">
        <is>
          <t>COA (See Trace) RB/2A THB 2,946.49+++per night (25/07/2026) + THB 3,507.90+++per night (26/07/2026)
- 18% COMM Kickback at THB 1,367.43 net
LargeBed, NonSmoke, smoking preference: Non-Smoking, You have received a virtual credit card for this reservation.You may charge it as of 2026-07-22. LargeBed, NonSmoke</t>
        </is>
      </c>
      <c r="Q118" s="28" t="n"/>
      <c r="R118" s="28" t="n"/>
      <c r="S118" s="28" t="n"/>
      <c r="T118" s="28" t="n"/>
      <c r="U118" s="28" t="n"/>
      <c r="V118" s="23" t="n"/>
    </row>
    <row r="119" ht="114" customHeight="1">
      <c r="A119" s="93" t="inlineStr">
        <is>
          <t>Mr. Axl Hallam</t>
        </is>
      </c>
      <c r="B119" s="23" t="n"/>
      <c r="C119" s="7" t="inlineStr">
        <is>
          <t>-</t>
        </is>
      </c>
      <c r="D119" s="24" t="inlineStr">
        <is>
          <t>3210</t>
        </is>
      </c>
      <c r="E119" s="23" t="n"/>
      <c r="F119" s="24" t="inlineStr">
        <is>
          <t>-</t>
        </is>
      </c>
      <c r="G119" s="23" t="n"/>
      <c r="H119" s="8" t="inlineStr">
        <is>
          <t>2</t>
        </is>
      </c>
      <c r="I119" s="9" t="inlineStr">
        <is>
          <t>25/07/26</t>
        </is>
      </c>
      <c r="J119" s="9" t="inlineStr">
        <is>
          <t>28/07/26</t>
        </is>
      </c>
      <c r="K119" s="8" t="inlineStr">
        <is>
          <t>-</t>
        </is>
      </c>
      <c r="L119" s="94" t="inlineStr">
        <is>
          <t>15.00</t>
        </is>
      </c>
      <c r="M119" s="23" t="n"/>
      <c r="N119" s="22" t="inlineStr">
        <is>
          <t>-</t>
        </is>
      </c>
      <c r="O119" s="23" t="n"/>
      <c r="P119" s="27" t="inlineStr">
        <is>
          <t>POA RB/2A THB 2,274.64+++per night (THB 2700)
Minor Friend and Family Rate
- Daily Breakfast</t>
        </is>
      </c>
      <c r="Q119" s="28" t="n"/>
      <c r="R119" s="28" t="n"/>
      <c r="S119" s="28" t="n"/>
      <c r="T119" s="28" t="n"/>
      <c r="U119" s="28" t="n"/>
      <c r="V119" s="23" t="n"/>
    </row>
    <row r="120" ht="114" customHeight="1">
      <c r="A120" s="93" t="inlineStr">
        <is>
          <t>Ms. Waratchaya Wongchaisuriya</t>
        </is>
      </c>
      <c r="B120" s="23" t="n"/>
      <c r="C120" s="7" t="inlineStr">
        <is>
          <t>-</t>
        </is>
      </c>
      <c r="D120" s="24" t="inlineStr">
        <is>
          <t>3306</t>
        </is>
      </c>
      <c r="E120" s="23" t="n"/>
      <c r="F120" s="24" t="inlineStr">
        <is>
          <t>VIPG
SILVER</t>
        </is>
      </c>
      <c r="G120" s="23" t="n"/>
      <c r="H120" s="8" t="inlineStr">
        <is>
          <t>2</t>
        </is>
      </c>
      <c r="I120" s="9" t="inlineStr">
        <is>
          <t>25/07/26</t>
        </is>
      </c>
      <c r="J120" s="9" t="inlineStr">
        <is>
          <t>28/07/26</t>
        </is>
      </c>
      <c r="K120" s="8" t="inlineStr">
        <is>
          <t>-</t>
        </is>
      </c>
      <c r="L120" s="94" t="inlineStr">
        <is>
          <t>15.00</t>
        </is>
      </c>
      <c r="M120" s="23" t="n"/>
      <c r="N120" s="22" t="inlineStr">
        <is>
          <t>-</t>
        </is>
      </c>
      <c r="O120" s="23" t="n"/>
      <c r="P120" s="27" t="inlineStr">
        <is>
          <t>PAID(PG) RB/2A THB 2,500 net 
- Position: Senior Executive-Product Owner Minor (MF-PRODUCT OWNER) 
- Party 2 rooms with twin bed and connect bed to one bed 
- Rq. Closed with K. Nichakarn’s room  - HBD K.Waratchaya on 26 July ( Rq. by call / Kai-Mook 16.06.26 )  
Hello 365 Days Review  -Exclusive Benefits
-Daily breakfast for 2 persons 
-Children under 4 stay free (sharing existing bed) 
-20% discount on food &amp; beverage (excluding alcohol, in-room dinning and minibar) 
-20% discount on treatment at AvaniSpa (excluding ongoing promotions)
Value Added: Minor Hotels Team Member
- 50% discount on food and alcohol beverages (Except In room Dining) 
- 50% discount on spa treatment (except promotion package) 
- Valid employee ID card is required upon check-in</t>
        </is>
      </c>
      <c r="Q120" s="28" t="n"/>
      <c r="R120" s="28" t="n"/>
      <c r="S120" s="28" t="n"/>
      <c r="T120" s="28" t="n"/>
      <c r="U120" s="28" t="n"/>
      <c r="V120" s="23" t="n"/>
    </row>
    <row r="121" ht="114" customHeight="1">
      <c r="A121" s="93" t="inlineStr">
        <is>
          <t>Ms. Waratchaya Wongchaisuriya</t>
        </is>
      </c>
      <c r="B121" s="23" t="n"/>
      <c r="C121" s="7" t="inlineStr">
        <is>
          <t>-</t>
        </is>
      </c>
      <c r="D121" s="24" t="inlineStr">
        <is>
          <t>3308</t>
        </is>
      </c>
      <c r="E121" s="23" t="n"/>
      <c r="F121" s="24" t="inlineStr">
        <is>
          <t>VIPG
SILVER</t>
        </is>
      </c>
      <c r="G121" s="23" t="n"/>
      <c r="H121" s="8" t="inlineStr">
        <is>
          <t>2</t>
        </is>
      </c>
      <c r="I121" s="9" t="inlineStr">
        <is>
          <t>25/07/26</t>
        </is>
      </c>
      <c r="J121" s="9" t="inlineStr">
        <is>
          <t>28/07/26</t>
        </is>
      </c>
      <c r="K121" s="8" t="inlineStr">
        <is>
          <t>-</t>
        </is>
      </c>
      <c r="L121" s="94" t="inlineStr">
        <is>
          <t>15.00</t>
        </is>
      </c>
      <c r="M121" s="23" t="n"/>
      <c r="N121" s="22" t="inlineStr">
        <is>
          <t>-</t>
        </is>
      </c>
      <c r="O121" s="23" t="n"/>
      <c r="P121" s="27" t="inlineStr">
        <is>
          <t>PAID (PG) RB/2A THB 2,500 net 
- Position: Senior Executive-Product Owner Minor (MF-PRODUCT OWNER) 
- Party 2 rooms with twin bed and connect bed to one bed 
- RQ. Closed with K. Nichakarn’s room   
Hello 365 Days Review: 
-Exclusive Benefits-Daily breakfast for 2 persons 
-Children under 4 stay free (sharing existing bed) 
-20% discount on food &amp; beverage (excluding alcohol, in-room dinning and minibar) 
-20% discount on treatment at AvaniSpa (excluding ongoing promotions)
Value Added: Minor Hotels Team Member
- 50% discount on food and alcohol beverages (Except In room Dining) 
- 50% discount on spa treatment (except promotion package) 
- Valid employee ID card is required upon check-in</t>
        </is>
      </c>
      <c r="Q121" s="28" t="n"/>
      <c r="R121" s="28" t="n"/>
      <c r="S121" s="28" t="n"/>
      <c r="T121" s="28" t="n"/>
      <c r="U121" s="28" t="n"/>
      <c r="V121" s="23" t="n"/>
    </row>
    <row r="122" ht="114" customHeight="1">
      <c r="A122" s="93" t="inlineStr">
        <is>
          <t>Ms. Nichakarn Wongsakul</t>
        </is>
      </c>
      <c r="B122" s="23" t="n"/>
      <c r="C122" s="7" t="inlineStr">
        <is>
          <t>-</t>
        </is>
      </c>
      <c r="D122" s="24" t="inlineStr">
        <is>
          <t>3310</t>
        </is>
      </c>
      <c r="E122" s="23" t="n"/>
      <c r="F122" s="24" t="inlineStr">
        <is>
          <t>-</t>
        </is>
      </c>
      <c r="G122" s="23" t="n"/>
      <c r="H122" s="8" t="inlineStr">
        <is>
          <t>2</t>
        </is>
      </c>
      <c r="I122" s="9" t="inlineStr">
        <is>
          <t>25/07/26</t>
        </is>
      </c>
      <c r="J122" s="9" t="inlineStr">
        <is>
          <t>28/07/26</t>
        </is>
      </c>
      <c r="K122" s="8" t="inlineStr">
        <is>
          <t>-</t>
        </is>
      </c>
      <c r="L122" s="94" t="inlineStr">
        <is>
          <t>15.00</t>
        </is>
      </c>
      <c r="M122" s="23" t="n"/>
      <c r="N122" s="22" t="inlineStr">
        <is>
          <t>-</t>
        </is>
      </c>
      <c r="O122" s="23" t="n"/>
      <c r="P122" s="27" t="inlineStr">
        <is>
          <t>PAID(PG) RB/2A THB 2,500 net
Hello 365 Days Review 
-Exclusive Benefits-Daily breakfast for 2 persons
-Children under 4 stay free (sharing existing bed)
-20% discount on food &amp; beverage (excluding alcohol, in-room dinning and minibar)
-20% discount on treatment at AvaniSpa (excluding ongoing promotions)</t>
        </is>
      </c>
      <c r="Q122" s="28" t="n"/>
      <c r="R122" s="28" t="n"/>
      <c r="S122" s="28" t="n"/>
      <c r="T122" s="28" t="n"/>
      <c r="U122" s="28" t="n"/>
      <c r="V122" s="23" t="n"/>
    </row>
    <row r="123" ht="114" customHeight="1">
      <c r="A123" s="93" t="inlineStr">
        <is>
          <t>Mr. Vichai Jienjitlert</t>
        </is>
      </c>
      <c r="B123" s="23" t="n"/>
      <c r="C123" s="7" t="inlineStr">
        <is>
          <t>-</t>
        </is>
      </c>
      <c r="D123" s="24" t="inlineStr">
        <is>
          <t>3404</t>
        </is>
      </c>
      <c r="E123" s="23" t="n"/>
      <c r="F123" s="24" t="inlineStr">
        <is>
          <t>-</t>
        </is>
      </c>
      <c r="G123" s="23" t="n"/>
      <c r="H123" s="8" t="inlineStr">
        <is>
          <t>2</t>
        </is>
      </c>
      <c r="I123" s="9" t="inlineStr">
        <is>
          <t>25/07/26</t>
        </is>
      </c>
      <c r="J123" s="9" t="inlineStr">
        <is>
          <t>26/07/26</t>
        </is>
      </c>
      <c r="K123" s="8" t="inlineStr">
        <is>
          <t>-</t>
        </is>
      </c>
      <c r="L123" s="94" t="inlineStr">
        <is>
          <t>15.00</t>
        </is>
      </c>
      <c r="M123" s="23" t="n"/>
      <c r="N123" s="22" t="inlineStr">
        <is>
          <t>-</t>
        </is>
      </c>
      <c r="O123" s="23" t="n"/>
      <c r="P123" s="27" t="inlineStr">
        <is>
          <t>PAID (Credit Card /Visa-card 2750) RB/2A THB 2,750 net per night
- FOC up to Deluxe Conner
- Guest booked 2 nights package and 1 night package both Deluxe and Two Bedroom
Consecutive 
- 1st call periods on 23-24/07/2026 #843995972
- 2nd call periods on 25/07/2026 #843996033
77th Discovery Thailand 05-08 March 2026
- Rate includes daily breakfast
- Early Check - in 10 AM and Late Check - out 3 PM subject to availability
- 1 Child (0 - 11 years) stay free in existing bed with ABF
- Thai ID/ Passport/ or Work Permit must be required to present at time of check – in
- 20% Discount on Spa, Food, and Non-Alcoholic Beverages.</t>
        </is>
      </c>
      <c r="Q123" s="28" t="n"/>
      <c r="R123" s="28" t="n"/>
      <c r="S123" s="28" t="n"/>
      <c r="T123" s="28" t="n"/>
      <c r="U123" s="28" t="n"/>
      <c r="V123" s="23" t="n"/>
    </row>
    <row r="124" ht="114" customHeight="1">
      <c r="A124" s="93" t="inlineStr">
        <is>
          <t>Ms. Thanchanok Nuanla-ong</t>
        </is>
      </c>
      <c r="B124" s="23" t="n"/>
      <c r="C124" s="7" t="inlineStr">
        <is>
          <t>-</t>
        </is>
      </c>
      <c r="D124" s="24" t="inlineStr">
        <is>
          <t>3409</t>
        </is>
      </c>
      <c r="E124" s="23" t="n"/>
      <c r="F124" s="24" t="inlineStr">
        <is>
          <t>-</t>
        </is>
      </c>
      <c r="G124" s="23" t="n"/>
      <c r="H124" s="8" t="inlineStr">
        <is>
          <t>2+1</t>
        </is>
      </c>
      <c r="I124" s="9" t="inlineStr">
        <is>
          <t>25/07/26</t>
        </is>
      </c>
      <c r="J124" s="9" t="inlineStr">
        <is>
          <t>26/07/26</t>
        </is>
      </c>
      <c r="K124" s="8" t="inlineStr">
        <is>
          <t>-</t>
        </is>
      </c>
      <c r="L124" s="94" t="inlineStr">
        <is>
          <t>15.00</t>
        </is>
      </c>
      <c r="M124" s="23" t="n"/>
      <c r="N124" s="22" t="inlineStr">
        <is>
          <t>-</t>
        </is>
      </c>
      <c r="O124" s="23" t="n"/>
      <c r="P124" s="27" t="inlineStr">
        <is>
          <t>COMP RB/2A  "COMP FORM ATTD"  Pls COL VCH
-FOC 1 CHD age 1 Yrs 
-Cost charge to Sale and Marketing-Hotel review page Bachpain Journey
-VKHL1199/2025-Valid 31 Aug 2026
Consecutive bookings:
-On 25-26 July 2026 (GF) #848389004
-On 26-27 July 2026 (Direct Booking)</t>
        </is>
      </c>
      <c r="Q124" s="28" t="n"/>
      <c r="R124" s="28" t="n"/>
      <c r="S124" s="28" t="n"/>
      <c r="T124" s="28" t="n"/>
      <c r="U124" s="28" t="n"/>
      <c r="V124" s="23" t="n"/>
    </row>
    <row r="125" ht="114" customHeight="1">
      <c r="A125" s="93" t="inlineStr">
        <is>
          <t>Mr. Chatchai Santiskulpong</t>
        </is>
      </c>
      <c r="B125" s="23" t="n"/>
      <c r="C125" s="7" t="inlineStr">
        <is>
          <t>-</t>
        </is>
      </c>
      <c r="D125" s="24" t="inlineStr">
        <is>
          <t>3411</t>
        </is>
      </c>
      <c r="E125" s="23" t="n"/>
      <c r="F125" s="24" t="inlineStr">
        <is>
          <t>-</t>
        </is>
      </c>
      <c r="G125" s="23" t="n"/>
      <c r="H125" s="8" t="inlineStr">
        <is>
          <t>2+1</t>
        </is>
      </c>
      <c r="I125" s="9" t="inlineStr">
        <is>
          <t>25/07/26</t>
        </is>
      </c>
      <c r="J125" s="9" t="inlineStr">
        <is>
          <t>27/07/26</t>
        </is>
      </c>
      <c r="K125" s="8" t="inlineStr">
        <is>
          <t>-</t>
        </is>
      </c>
      <c r="L125" s="94" t="inlineStr">
        <is>
          <t>15.00</t>
        </is>
      </c>
      <c r="M125" s="23" t="n"/>
      <c r="N125" s="22" t="inlineStr">
        <is>
          <t>-</t>
        </is>
      </c>
      <c r="O125" s="23" t="n"/>
      <c r="P125" s="27" t="inlineStr">
        <is>
          <t>PAID (PG) RB/2A THB 2,900 net per night + 1x CBF THB 375 net per person per day
-1 CHD: 9 yrs.old
STAY &amp; BENEFITS: Bonus Credit Escape
- Daily Breakfast
- THB 500 resort credit per night **FO Cost allocation to 81108**
- No minimum length of stay required
- Purchase your voucher today and choose your stay dates later
- 20% savings on food and beverages
- 20% savings on selected treatments at AvaniSpa</t>
        </is>
      </c>
      <c r="Q125" s="28" t="n"/>
      <c r="R125" s="28" t="n"/>
      <c r="S125" s="28" t="n"/>
      <c r="T125" s="28" t="n"/>
      <c r="U125" s="28" t="n"/>
      <c r="V125" s="23" t="n"/>
    </row>
    <row r="126" ht="114" customHeight="1">
      <c r="A126" s="93" t="inlineStr">
        <is>
          <t>Mrs. Napatsakorn Saetun</t>
        </is>
      </c>
      <c r="B126" s="23" t="n"/>
      <c r="C126" s="7" t="inlineStr">
        <is>
          <t>-</t>
        </is>
      </c>
      <c r="D126" s="24" t="inlineStr">
        <is>
          <t>3501</t>
        </is>
      </c>
      <c r="E126" s="23" t="n"/>
      <c r="F126" s="24" t="inlineStr">
        <is>
          <t>VIPS
PLATINUM</t>
        </is>
      </c>
      <c r="G126" s="23" t="n"/>
      <c r="H126" s="8" t="inlineStr">
        <is>
          <t>2</t>
        </is>
      </c>
      <c r="I126" s="9" t="inlineStr">
        <is>
          <t>25/07/26</t>
        </is>
      </c>
      <c r="J126" s="9" t="inlineStr">
        <is>
          <t>27/07/26</t>
        </is>
      </c>
      <c r="K126" s="8" t="inlineStr">
        <is>
          <t>-</t>
        </is>
      </c>
      <c r="L126" s="94" t="inlineStr">
        <is>
          <t>15.00</t>
        </is>
      </c>
      <c r="M126" s="23" t="n"/>
      <c r="N126" s="22" t="inlineStr">
        <is>
          <t>-</t>
        </is>
      </c>
      <c r="O126" s="23" t="n"/>
      <c r="P126" s="27" t="inlineStr">
        <is>
          <t>PAID (PG) RB/2A THB 2,750 net per night
- Confirmed stay period 24-26/07/26 at Front desk by P' Apple //KN
- Repeat Guest -12th Visit 
Consecutive bookings (same room):
1.) 843923125: 24-26/07/26
2.) 843923608: 26-27/07/26
77th Discovery Thailand 05-08 March 2026
- Rate includes daily breakfast
- Free One-time meal at Burgur &amp; Wing (food only) *Already breakdown from room rate at THB 150 net/pax*
- Early Check - in 10 AM and Late Check - out 3 PM
- 1 Child (0 - 11 years) stay free in existing bed with ABF
- 20% Discount on Spa, Food, and Non-Alcoholic Beverages.
- Thai ID/ Passport/ or Work Permit must be required to present at time of check – in</t>
        </is>
      </c>
      <c r="Q126" s="28" t="n"/>
      <c r="R126" s="28" t="n"/>
      <c r="S126" s="28" t="n"/>
      <c r="T126" s="28" t="n"/>
      <c r="U126" s="28" t="n"/>
      <c r="V126" s="23" t="n"/>
    </row>
    <row r="127" ht="114" customHeight="1">
      <c r="A127" s="93" t="inlineStr">
        <is>
          <t>Ms. Kotchapan Anansetsiri</t>
        </is>
      </c>
      <c r="B127" s="23" t="n"/>
      <c r="C127" s="7" t="inlineStr">
        <is>
          <t>-</t>
        </is>
      </c>
      <c r="D127" s="24" t="inlineStr">
        <is>
          <t>3511</t>
        </is>
      </c>
      <c r="E127" s="23" t="n"/>
      <c r="F127" s="24" t="inlineStr">
        <is>
          <t>-</t>
        </is>
      </c>
      <c r="G127" s="23" t="n"/>
      <c r="H127" s="8" t="inlineStr">
        <is>
          <t>1</t>
        </is>
      </c>
      <c r="I127" s="9" t="inlineStr">
        <is>
          <t>25/07/26</t>
        </is>
      </c>
      <c r="J127" s="9" t="inlineStr">
        <is>
          <t>26/07/26</t>
        </is>
      </c>
      <c r="K127" s="8" t="inlineStr">
        <is>
          <t>-</t>
        </is>
      </c>
      <c r="L127" s="94" t="inlineStr">
        <is>
          <t>15.00</t>
        </is>
      </c>
      <c r="M127" s="23" t="n"/>
      <c r="N127" s="22" t="inlineStr">
        <is>
          <t>-</t>
        </is>
      </c>
      <c r="O127" s="23" t="n"/>
      <c r="P127" s="27" t="inlineStr">
        <is>
          <t>PAID RB/1A THB 2,700 net per night 
- Booking Trial stay 
- Lead from Khun Namfon
- No agent profiled</t>
        </is>
      </c>
      <c r="Q127" s="28" t="n"/>
      <c r="R127" s="28" t="n"/>
      <c r="S127" s="28" t="n"/>
      <c r="T127" s="28" t="n"/>
      <c r="U127" s="28" t="n"/>
      <c r="V127" s="23" t="n"/>
    </row>
    <row r="128" ht="114" customHeight="1">
      <c r="A128" s="93" t="inlineStr">
        <is>
          <t>Mr. Surajit Klinmeang</t>
        </is>
      </c>
      <c r="B128" s="23" t="n"/>
      <c r="C128" s="7" t="inlineStr">
        <is>
          <t>-</t>
        </is>
      </c>
      <c r="D128" s="24" t="inlineStr">
        <is>
          <t>3512</t>
        </is>
      </c>
      <c r="E128" s="23" t="n"/>
      <c r="F128" s="24" t="inlineStr">
        <is>
          <t>-</t>
        </is>
      </c>
      <c r="G128" s="23" t="n"/>
      <c r="H128" s="8" t="inlineStr">
        <is>
          <t>2</t>
        </is>
      </c>
      <c r="I128" s="9" t="inlineStr">
        <is>
          <t>25/07/26</t>
        </is>
      </c>
      <c r="J128" s="9" t="inlineStr">
        <is>
          <t>26/07/26</t>
        </is>
      </c>
      <c r="K128" s="8" t="inlineStr">
        <is>
          <t>-</t>
        </is>
      </c>
      <c r="L128" s="94" t="inlineStr">
        <is>
          <t>14.00</t>
        </is>
      </c>
      <c r="M128" s="23" t="n"/>
      <c r="N128" s="22" t="inlineStr">
        <is>
          <t>-</t>
        </is>
      </c>
      <c r="O128" s="23" t="n"/>
      <c r="P128" s="27" t="inlineStr">
        <is>
          <t>PAID (credit voucher) RB/2A THB 4,212+++per night (total THB 5,000 net) 
- Voucher no. VKHL P084/2025 of SFS Aviation Co., Ltd.
**Guest RQ. that check-in dates keep confidential and not be disclosed to any third party.**
Booking include:
-One night accommodation in a Deluxe room include breakfast for 2 persons
-One-time dinner (food only) for 2 persons (FO please deduct to transaction #81108 at 450 THB per person)
-Please note that the one-time dinner can be arranged at either:  Beach House (set menu) or •Elements Restaurant (join buffet)</t>
        </is>
      </c>
      <c r="Q128" s="28" t="n"/>
      <c r="R128" s="28" t="n"/>
      <c r="S128" s="28" t="n"/>
      <c r="T128" s="28" t="n"/>
      <c r="U128" s="28" t="n"/>
      <c r="V128" s="23" t="n"/>
    </row>
    <row r="129" ht="114" customHeight="1">
      <c r="A129" s="93" t="inlineStr">
        <is>
          <t>Ms. Nitikul Saelo</t>
        </is>
      </c>
      <c r="B129" s="23" t="n"/>
      <c r="C129" s="7" t="inlineStr">
        <is>
          <t>-</t>
        </is>
      </c>
      <c r="D129" s="24" t="inlineStr">
        <is>
          <t>3602</t>
        </is>
      </c>
      <c r="E129" s="23" t="n"/>
      <c r="F129" s="24" t="inlineStr">
        <is>
          <t>-</t>
        </is>
      </c>
      <c r="G129" s="23" t="n"/>
      <c r="H129" s="8" t="inlineStr">
        <is>
          <t>2</t>
        </is>
      </c>
      <c r="I129" s="9" t="inlineStr">
        <is>
          <t>25/07/26</t>
        </is>
      </c>
      <c r="J129" s="9" t="inlineStr">
        <is>
          <t>27/07/26</t>
        </is>
      </c>
      <c r="K129" s="8" t="inlineStr">
        <is>
          <t>-</t>
        </is>
      </c>
      <c r="L129" s="94" t="inlineStr">
        <is>
          <t>15.00</t>
        </is>
      </c>
      <c r="M129" s="23" t="n"/>
      <c r="N129" s="22" t="inlineStr">
        <is>
          <t>-</t>
        </is>
      </c>
      <c r="O129" s="23" t="n"/>
      <c r="P129" s="27" t="inlineStr">
        <is>
          <t>PAID (PG) RB/2A THB 2,900 net per night  
-Party 2 rooms
STAY &amp; BENEFITS: Bonus Credit Escape
- Daily Breakfast
- THB 500 resort credit per night **FO Cost allocation to 81108**
- No minimum length of stay required
- 20% savings on food and beverages
- 20% savings on selected treatments at AvaniSpa
-Proof of Thai residency must be presented at check-in</t>
        </is>
      </c>
      <c r="Q129" s="28" t="n"/>
      <c r="R129" s="28" t="n"/>
      <c r="S129" s="28" t="n"/>
      <c r="T129" s="28" t="n"/>
      <c r="U129" s="28" t="n"/>
      <c r="V129" s="23" t="n"/>
    </row>
    <row r="130" ht="114" customHeight="1">
      <c r="A130" s="93" t="inlineStr">
        <is>
          <t>Ms. Nitikul Saelo</t>
        </is>
      </c>
      <c r="B130" s="23" t="n"/>
      <c r="C130" s="7" t="inlineStr">
        <is>
          <t>-</t>
        </is>
      </c>
      <c r="D130" s="24" t="inlineStr">
        <is>
          <t>3603</t>
        </is>
      </c>
      <c r="E130" s="23" t="n"/>
      <c r="F130" s="24" t="inlineStr">
        <is>
          <t>-</t>
        </is>
      </c>
      <c r="G130" s="23" t="n"/>
      <c r="H130" s="8" t="inlineStr">
        <is>
          <t>2</t>
        </is>
      </c>
      <c r="I130" s="9" t="inlineStr">
        <is>
          <t>25/07/26</t>
        </is>
      </c>
      <c r="J130" s="9" t="inlineStr">
        <is>
          <t>27/07/26</t>
        </is>
      </c>
      <c r="K130" s="8" t="inlineStr">
        <is>
          <t>-</t>
        </is>
      </c>
      <c r="L130" s="94" t="inlineStr">
        <is>
          <t>15.00</t>
        </is>
      </c>
      <c r="M130" s="23" t="n"/>
      <c r="N130" s="22" t="inlineStr">
        <is>
          <t>-</t>
        </is>
      </c>
      <c r="O130" s="23" t="n"/>
      <c r="P130" s="27" t="inlineStr">
        <is>
          <t>PAID (PG) RB/2A THB 2,900 net per night  
-Party 2 rooms
STAY &amp; BENEFITS: Bonus Credit Escape
- Daily Breakfast
- THB 500 resort credit per night **FO Cost allocation to 81108**
- No minimum length of stay required
- 20% savings on food and beverages
- 20% savings on selected treatments at AvaniSpa
-Proof of Thai residency must be presented at check-in</t>
        </is>
      </c>
      <c r="Q130" s="28" t="n"/>
      <c r="R130" s="28" t="n"/>
      <c r="S130" s="28" t="n"/>
      <c r="T130" s="28" t="n"/>
      <c r="U130" s="28" t="n"/>
      <c r="V130" s="23" t="n"/>
    </row>
    <row r="131" ht="99" customFormat="1" customHeight="1" s="2">
      <c r="A131" s="95" t="inlineStr">
        <is>
          <t>VIP DEPARTURE</t>
        </is>
      </c>
      <c r="B131" s="95" t="n"/>
      <c r="C131" s="95" t="n"/>
      <c r="D131" s="95" t="n"/>
      <c r="E131" s="95" t="n"/>
      <c r="F131" s="95" t="n"/>
      <c r="G131" s="95" t="n"/>
      <c r="H131" s="95" t="n"/>
      <c r="I131" s="95" t="n"/>
      <c r="J131" s="95" t="n"/>
      <c r="K131" s="95" t="n"/>
      <c r="L131" s="95" t="n"/>
      <c r="M131" s="95" t="n"/>
      <c r="N131" s="95" t="n"/>
      <c r="O131" s="95" t="n"/>
      <c r="P131" s="95" t="n"/>
      <c r="Q131" s="95" t="n"/>
      <c r="R131" s="95" t="n"/>
      <c r="S131" s="95" t="n"/>
      <c r="T131" s="95" t="n"/>
      <c r="U131" s="95" t="n"/>
      <c r="V131" s="95" t="n"/>
    </row>
    <row r="132" ht="96" customHeight="1">
      <c r="A132" s="26" t="inlineStr">
        <is>
          <t xml:space="preserve"> Name</t>
        </is>
      </c>
      <c r="B132" s="23" t="n"/>
      <c r="C132" s="26" t="inlineStr">
        <is>
          <t>Country</t>
        </is>
      </c>
      <c r="D132" s="26" t="inlineStr">
        <is>
          <t>Room No.</t>
        </is>
      </c>
      <c r="E132" s="23" t="n"/>
      <c r="F132" s="26" t="inlineStr">
        <is>
          <t>VIP</t>
        </is>
      </c>
      <c r="G132" s="23" t="n"/>
      <c r="H132" s="26" t="inlineStr">
        <is>
          <t>Pax</t>
        </is>
      </c>
      <c r="I132" s="26" t="inlineStr">
        <is>
          <t xml:space="preserve">ARR </t>
        </is>
      </c>
      <c r="J132" s="6" t="inlineStr">
        <is>
          <t xml:space="preserve">DEP </t>
        </is>
      </c>
      <c r="K132" s="6" t="inlineStr">
        <is>
          <t>Flight</t>
        </is>
      </c>
      <c r="L132" s="26" t="inlineStr">
        <is>
          <t>ETD</t>
        </is>
      </c>
      <c r="M132" s="23" t="n"/>
      <c r="N132" s="26" t="inlineStr">
        <is>
          <t>TRSF</t>
        </is>
      </c>
      <c r="O132" s="23" t="n"/>
      <c r="P132" s="26" t="inlineStr">
        <is>
          <t>Remark</t>
        </is>
      </c>
      <c r="Q132" s="28" t="n"/>
      <c r="R132" s="28" t="n"/>
      <c r="S132" s="28" t="n"/>
      <c r="T132" s="28" t="n"/>
      <c r="U132" s="28" t="n"/>
      <c r="V132" s="23" t="n"/>
    </row>
    <row r="133" ht="114" customHeight="1">
      <c r="A133" s="75" t="n"/>
      <c r="B133" s="23" t="n"/>
      <c r="C133" s="7" t="n"/>
      <c r="D133" s="24" t="n"/>
      <c r="E133" s="23" t="n"/>
      <c r="F133" s="24" t="n"/>
      <c r="G133" s="23" t="n"/>
      <c r="H133" s="8" t="n"/>
      <c r="I133" s="9" t="n"/>
      <c r="J133" s="9" t="n"/>
      <c r="K133" s="8" t="n"/>
      <c r="L133" s="50" t="n"/>
      <c r="M133" s="23" t="n"/>
      <c r="N133" s="22" t="n"/>
      <c r="O133" s="23" t="n"/>
      <c r="P133" s="27" t="n"/>
      <c r="Q133" s="28" t="n"/>
      <c r="R133" s="28" t="n"/>
      <c r="S133" s="28" t="n"/>
      <c r="T133" s="28" t="n"/>
      <c r="U133" s="28" t="n"/>
      <c r="V133" s="23" t="n"/>
    </row>
    <row r="134" ht="114" customHeight="1">
      <c r="A134" s="75" t="n"/>
      <c r="B134" s="23" t="n"/>
      <c r="C134" s="7" t="n"/>
      <c r="D134" s="24" t="n"/>
      <c r="E134" s="23" t="n"/>
      <c r="F134" s="24" t="n"/>
      <c r="G134" s="23" t="n"/>
      <c r="H134" s="8" t="n"/>
      <c r="I134" s="9" t="n"/>
      <c r="J134" s="9" t="n"/>
      <c r="K134" s="8" t="n"/>
      <c r="L134" s="50" t="n"/>
      <c r="M134" s="23" t="n"/>
      <c r="N134" s="22" t="n"/>
      <c r="O134" s="23" t="n"/>
      <c r="P134" s="27" t="n"/>
      <c r="Q134" s="28" t="n"/>
      <c r="R134" s="28" t="n"/>
      <c r="S134" s="28" t="n"/>
      <c r="T134" s="28" t="n"/>
      <c r="U134" s="28" t="n"/>
      <c r="V134" s="23" t="n"/>
    </row>
    <row r="135" ht="99" customFormat="1" customHeight="1" s="2">
      <c r="A135" s="96" t="inlineStr">
        <is>
          <t>Priority Guest (Handicap In House)</t>
        </is>
      </c>
      <c r="B135" s="28" t="n"/>
      <c r="C135" s="28" t="n"/>
      <c r="D135" s="28" t="n"/>
      <c r="E135" s="28" t="n"/>
      <c r="F135" s="28" t="n"/>
      <c r="G135" s="28" t="n"/>
      <c r="H135" s="28" t="n"/>
      <c r="I135" s="28" t="n"/>
      <c r="J135" s="28" t="n"/>
      <c r="K135" s="28" t="n"/>
      <c r="L135" s="28" t="n"/>
      <c r="M135" s="28" t="n"/>
      <c r="N135" s="28" t="n"/>
      <c r="O135" s="28" t="n"/>
      <c r="P135" s="28" t="n"/>
      <c r="Q135" s="28" t="n"/>
      <c r="R135" s="28" t="n"/>
      <c r="S135" s="28" t="n"/>
      <c r="T135" s="28" t="n"/>
      <c r="U135" s="28" t="n"/>
      <c r="V135" s="23" t="n"/>
    </row>
    <row r="136" ht="96" customHeight="1">
      <c r="A136" s="26" t="inlineStr">
        <is>
          <t xml:space="preserve"> Name</t>
        </is>
      </c>
      <c r="B136" s="23" t="n"/>
      <c r="C136" s="26" t="inlineStr">
        <is>
          <t>Country</t>
        </is>
      </c>
      <c r="D136" s="26" t="inlineStr">
        <is>
          <t>Room No.</t>
        </is>
      </c>
      <c r="E136" s="23" t="n"/>
      <c r="F136" s="26" t="inlineStr">
        <is>
          <t>VIP</t>
        </is>
      </c>
      <c r="G136" s="23" t="n"/>
      <c r="H136" s="26" t="inlineStr">
        <is>
          <t>Pax</t>
        </is>
      </c>
      <c r="I136" s="26" t="inlineStr">
        <is>
          <t xml:space="preserve">ARR </t>
        </is>
      </c>
      <c r="J136" s="6" t="inlineStr">
        <is>
          <t xml:space="preserve">DEP </t>
        </is>
      </c>
      <c r="K136" s="6" t="inlineStr">
        <is>
          <t>Flight</t>
        </is>
      </c>
      <c r="L136" s="26" t="inlineStr">
        <is>
          <t>ETD</t>
        </is>
      </c>
      <c r="M136" s="23" t="n"/>
      <c r="N136" s="26" t="inlineStr">
        <is>
          <t>TRSF</t>
        </is>
      </c>
      <c r="O136" s="23" t="n"/>
      <c r="P136" s="26" t="inlineStr">
        <is>
          <t>Remark</t>
        </is>
      </c>
      <c r="Q136" s="28" t="n"/>
      <c r="R136" s="28" t="n"/>
      <c r="S136" s="28" t="n"/>
      <c r="T136" s="28" t="n"/>
      <c r="U136" s="28" t="n"/>
      <c r="V136" s="23" t="n"/>
    </row>
    <row r="137" ht="114" customHeight="1">
      <c r="A137" s="75" t="n"/>
      <c r="B137" s="23" t="n"/>
      <c r="C137" s="7" t="n"/>
      <c r="D137" s="24" t="n"/>
      <c r="E137" s="23" t="n"/>
      <c r="F137" s="24" t="n"/>
      <c r="G137" s="23" t="n"/>
      <c r="H137" s="8" t="n"/>
      <c r="I137" s="9" t="n"/>
      <c r="J137" s="9" t="n"/>
      <c r="K137" s="8" t="n"/>
      <c r="L137" s="50" t="n"/>
      <c r="M137" s="23" t="n"/>
      <c r="N137" s="22" t="n"/>
      <c r="O137" s="23" t="n"/>
      <c r="P137" s="27" t="n"/>
      <c r="Q137" s="28" t="n"/>
      <c r="R137" s="28" t="n"/>
      <c r="S137" s="28" t="n"/>
      <c r="T137" s="28" t="n"/>
      <c r="U137" s="28" t="n"/>
      <c r="V137" s="23" t="n"/>
    </row>
    <row r="138" ht="103.5" customHeight="1">
      <c r="A138" s="72" t="inlineStr">
        <is>
          <t>Guest's Birthday</t>
        </is>
      </c>
      <c r="B138" s="28" t="n"/>
      <c r="C138" s="28" t="n"/>
      <c r="D138" s="28" t="n"/>
      <c r="E138" s="28" t="n"/>
      <c r="F138" s="28" t="n"/>
      <c r="G138" s="28" t="n"/>
      <c r="H138" s="28" t="n"/>
      <c r="I138" s="28" t="n"/>
      <c r="J138" s="28" t="n"/>
      <c r="K138" s="28" t="n"/>
      <c r="L138" s="28" t="n"/>
      <c r="M138" s="28" t="n"/>
      <c r="N138" s="28" t="n"/>
      <c r="O138" s="28" t="n"/>
      <c r="P138" s="28" t="n"/>
      <c r="Q138" s="28" t="n"/>
      <c r="R138" s="28" t="n"/>
      <c r="S138" s="28" t="n"/>
      <c r="T138" s="28" t="n"/>
      <c r="U138" s="28" t="n"/>
      <c r="V138" s="23" t="n"/>
    </row>
    <row r="139" ht="87.75" customHeight="1">
      <c r="A139" s="35" t="inlineStr">
        <is>
          <t>Name</t>
        </is>
      </c>
      <c r="B139" s="28" t="n"/>
      <c r="C139" s="28" t="n"/>
      <c r="D139" s="28" t="n"/>
      <c r="E139" s="28" t="n"/>
      <c r="F139" s="28" t="n"/>
      <c r="G139" s="28" t="n"/>
      <c r="H139" s="28" t="n"/>
      <c r="I139" s="28" t="n"/>
      <c r="J139" s="28" t="n"/>
      <c r="K139" s="28" t="n"/>
      <c r="L139" s="28" t="n"/>
      <c r="M139" s="28" t="n"/>
      <c r="N139" s="28" t="n"/>
      <c r="O139" s="23" t="n"/>
      <c r="P139" s="35" t="inlineStr">
        <is>
          <t>Room Number</t>
        </is>
      </c>
      <c r="Q139" s="28" t="n"/>
      <c r="R139" s="28" t="n"/>
      <c r="S139" s="28" t="n"/>
      <c r="T139" s="28" t="n"/>
      <c r="U139" s="28" t="n"/>
      <c r="V139" s="23" t="n"/>
    </row>
    <row r="140" ht="114" customHeight="1">
      <c r="A140" s="42" t="n"/>
      <c r="B140" s="28" t="n"/>
      <c r="C140" s="28" t="n"/>
      <c r="D140" s="28" t="n"/>
      <c r="E140" s="28" t="n"/>
      <c r="F140" s="28" t="n"/>
      <c r="G140" s="28" t="n"/>
      <c r="H140" s="28" t="n"/>
      <c r="I140" s="28" t="n"/>
      <c r="J140" s="28" t="n"/>
      <c r="K140" s="28" t="n"/>
      <c r="L140" s="28" t="n"/>
      <c r="M140" s="28" t="n"/>
      <c r="N140" s="28" t="n"/>
      <c r="O140" s="23" t="n"/>
      <c r="P140" s="36" t="n"/>
      <c r="Q140" s="28" t="n"/>
      <c r="R140" s="28" t="n"/>
      <c r="S140" s="28" t="n"/>
      <c r="T140" s="28" t="n"/>
      <c r="U140" s="28" t="n"/>
      <c r="V140" s="23" t="n"/>
    </row>
    <row r="141" ht="114" customHeight="1">
      <c r="A141" s="42" t="n"/>
      <c r="B141" s="28" t="n"/>
      <c r="C141" s="28" t="n"/>
      <c r="D141" s="28" t="n"/>
      <c r="E141" s="28" t="n"/>
      <c r="F141" s="28" t="n"/>
      <c r="G141" s="28" t="n"/>
      <c r="H141" s="28" t="n"/>
      <c r="I141" s="28" t="n"/>
      <c r="J141" s="28" t="n"/>
      <c r="K141" s="28" t="n"/>
      <c r="L141" s="28" t="n"/>
      <c r="M141" s="28" t="n"/>
      <c r="N141" s="28" t="n"/>
      <c r="O141" s="23" t="n"/>
      <c r="P141" s="36" t="n"/>
      <c r="Q141" s="28" t="n"/>
      <c r="R141" s="28" t="n"/>
      <c r="S141" s="28" t="n"/>
      <c r="T141" s="28" t="n"/>
      <c r="U141" s="28" t="n"/>
      <c r="V141" s="23" t="n"/>
    </row>
    <row r="142" ht="114" customHeight="1">
      <c r="A142" s="42" t="n"/>
      <c r="B142" s="28" t="n"/>
      <c r="C142" s="28" t="n"/>
      <c r="D142" s="28" t="n"/>
      <c r="E142" s="28" t="n"/>
      <c r="F142" s="28" t="n"/>
      <c r="G142" s="28" t="n"/>
      <c r="H142" s="28" t="n"/>
      <c r="I142" s="28" t="n"/>
      <c r="J142" s="28" t="n"/>
      <c r="K142" s="28" t="n"/>
      <c r="L142" s="28" t="n"/>
      <c r="M142" s="28" t="n"/>
      <c r="N142" s="28" t="n"/>
      <c r="O142" s="23" t="n"/>
      <c r="P142" s="36" t="n"/>
      <c r="Q142" s="28" t="n"/>
      <c r="R142" s="28" t="n"/>
      <c r="S142" s="28" t="n"/>
      <c r="T142" s="28" t="n"/>
      <c r="U142" s="28" t="n"/>
      <c r="V142" s="23" t="n"/>
    </row>
    <row r="143" ht="103.5" customHeight="1">
      <c r="A143" s="72" t="inlineStr">
        <is>
          <t>INSPECTION</t>
        </is>
      </c>
      <c r="B143" s="28" t="n"/>
      <c r="C143" s="28" t="n"/>
      <c r="D143" s="28" t="n"/>
      <c r="E143" s="28" t="n"/>
      <c r="F143" s="28" t="n"/>
      <c r="G143" s="28" t="n"/>
      <c r="H143" s="28" t="n"/>
      <c r="I143" s="28" t="n"/>
      <c r="J143" s="28" t="n"/>
      <c r="K143" s="28" t="n"/>
      <c r="L143" s="28" t="n"/>
      <c r="M143" s="28" t="n"/>
      <c r="N143" s="28" t="n"/>
      <c r="O143" s="28" t="n"/>
      <c r="P143" s="28" t="n"/>
      <c r="Q143" s="28" t="n"/>
      <c r="R143" s="28" t="n"/>
      <c r="S143" s="28" t="n"/>
      <c r="T143" s="28" t="n"/>
      <c r="U143" s="28" t="n"/>
      <c r="V143" s="23" t="n"/>
    </row>
    <row r="144" ht="87.75" customHeight="1">
      <c r="A144" s="35" t="inlineStr">
        <is>
          <t>Name</t>
        </is>
      </c>
      <c r="B144" s="28" t="n"/>
      <c r="C144" s="28" t="n"/>
      <c r="D144" s="23" t="n"/>
      <c r="E144" s="35" t="inlineStr">
        <is>
          <t xml:space="preserve">Company </t>
        </is>
      </c>
      <c r="F144" s="28" t="n"/>
      <c r="G144" s="28" t="n"/>
      <c r="H144" s="28" t="n"/>
      <c r="I144" s="28" t="n"/>
      <c r="J144" s="28" t="n"/>
      <c r="K144" s="23" t="n"/>
      <c r="L144" s="35" t="inlineStr">
        <is>
          <t>Pax</t>
        </is>
      </c>
      <c r="M144" s="28" t="n"/>
      <c r="N144" s="28" t="n"/>
      <c r="O144" s="23" t="n"/>
      <c r="P144" s="35" t="inlineStr">
        <is>
          <t>Time</t>
        </is>
      </c>
      <c r="Q144" s="23" t="n"/>
      <c r="R144" s="35" t="inlineStr">
        <is>
          <t>Remark</t>
        </is>
      </c>
      <c r="S144" s="28" t="n"/>
      <c r="T144" s="28" t="n"/>
      <c r="U144" s="23" t="n"/>
      <c r="V144" s="35" t="inlineStr">
        <is>
          <t>Contact Person</t>
        </is>
      </c>
    </row>
    <row r="145" ht="117" customFormat="1" customHeight="1" s="10">
      <c r="A145" s="46" t="n"/>
      <c r="B145" s="28" t="n"/>
      <c r="C145" s="28" t="n"/>
      <c r="D145" s="23" t="n"/>
      <c r="E145" s="46" t="n"/>
      <c r="F145" s="28" t="n"/>
      <c r="G145" s="28" t="n"/>
      <c r="H145" s="28" t="n"/>
      <c r="I145" s="28" t="n"/>
      <c r="J145" s="28" t="n"/>
      <c r="K145" s="23" t="n"/>
      <c r="L145" s="46" t="n"/>
      <c r="M145" s="28" t="n"/>
      <c r="N145" s="28" t="n"/>
      <c r="O145" s="23" t="n"/>
      <c r="P145" s="46" t="n"/>
      <c r="Q145" s="23" t="n"/>
      <c r="R145" s="46" t="n"/>
      <c r="S145" s="28" t="n"/>
      <c r="T145" s="28" t="n"/>
      <c r="U145" s="23" t="n"/>
      <c r="V145" s="46" t="n"/>
    </row>
    <row r="146" ht="117" customFormat="1" customHeight="1" s="10">
      <c r="A146" s="46" t="n"/>
      <c r="B146" s="28" t="n"/>
      <c r="C146" s="28" t="n"/>
      <c r="D146" s="23" t="n"/>
      <c r="E146" s="46" t="n"/>
      <c r="F146" s="28" t="n"/>
      <c r="G146" s="28" t="n"/>
      <c r="H146" s="28" t="n"/>
      <c r="I146" s="28" t="n"/>
      <c r="J146" s="28" t="n"/>
      <c r="K146" s="23" t="n"/>
      <c r="L146" s="46" t="n"/>
      <c r="M146" s="28" t="n"/>
      <c r="N146" s="28" t="n"/>
      <c r="O146" s="23" t="n"/>
      <c r="P146" s="46" t="n"/>
      <c r="Q146" s="23" t="n"/>
      <c r="R146" s="46" t="n"/>
      <c r="S146" s="28" t="n"/>
      <c r="T146" s="28" t="n"/>
      <c r="U146" s="23" t="n"/>
      <c r="V146" s="46" t="n"/>
    </row>
    <row r="147" ht="103.5" customFormat="1" customHeight="1" s="10">
      <c r="A147" s="72" t="inlineStr">
        <is>
          <t>GROUP</t>
        </is>
      </c>
      <c r="B147" s="28" t="n"/>
      <c r="C147" s="28" t="n"/>
      <c r="D147" s="28" t="n"/>
      <c r="E147" s="28" t="n"/>
      <c r="F147" s="28" t="n"/>
      <c r="G147" s="28" t="n"/>
      <c r="H147" s="28" t="n"/>
      <c r="I147" s="28" t="n"/>
      <c r="J147" s="28" t="n"/>
      <c r="K147" s="28" t="n"/>
      <c r="L147" s="28" t="n"/>
      <c r="M147" s="28" t="n"/>
      <c r="N147" s="28" t="n"/>
      <c r="O147" s="28" t="n"/>
      <c r="P147" s="28" t="n"/>
      <c r="Q147" s="28" t="n"/>
      <c r="R147" s="28" t="n"/>
      <c r="S147" s="28" t="n"/>
      <c r="T147" s="28" t="n"/>
      <c r="U147" s="28" t="n"/>
      <c r="V147" s="23" t="n"/>
    </row>
    <row r="148" ht="87.75" customFormat="1" customHeight="1" s="10">
      <c r="A148" s="35" t="inlineStr">
        <is>
          <t>Group Name</t>
        </is>
      </c>
      <c r="B148" s="28" t="n"/>
      <c r="C148" s="28" t="n"/>
      <c r="D148" s="23" t="n"/>
      <c r="E148" s="35" t="inlineStr">
        <is>
          <t>Period of stay</t>
        </is>
      </c>
      <c r="F148" s="28" t="n"/>
      <c r="G148" s="28" t="n"/>
      <c r="H148" s="28" t="n"/>
      <c r="I148" s="28" t="n"/>
      <c r="J148" s="23" t="n"/>
      <c r="K148" s="35" t="inlineStr">
        <is>
          <t>Rooms</t>
        </is>
      </c>
      <c r="L148" s="23" t="n"/>
      <c r="M148" s="35" t="inlineStr">
        <is>
          <t>Event</t>
        </is>
      </c>
      <c r="N148" s="28" t="n"/>
      <c r="O148" s="28" t="n"/>
      <c r="P148" s="28" t="n"/>
      <c r="Q148" s="28" t="n"/>
      <c r="R148" s="28" t="n"/>
      <c r="S148" s="28" t="n"/>
      <c r="T148" s="28" t="n"/>
      <c r="U148" s="23" t="n"/>
      <c r="V148" s="35" t="inlineStr">
        <is>
          <t>Contact Person</t>
        </is>
      </c>
    </row>
    <row r="149" ht="114" customFormat="1" customHeight="1" s="10">
      <c r="A149" s="29" t="n"/>
      <c r="B149" s="28" t="n"/>
      <c r="C149" s="28" t="n"/>
      <c r="D149" s="23" t="n"/>
      <c r="E149" s="29" t="n"/>
      <c r="F149" s="28" t="n"/>
      <c r="G149" s="28" t="n"/>
      <c r="H149" s="28" t="n"/>
      <c r="I149" s="28" t="n"/>
      <c r="J149" s="23" t="n"/>
      <c r="K149" s="29" t="n"/>
      <c r="L149" s="23" t="n"/>
      <c r="M149" s="29" t="n"/>
      <c r="N149" s="28" t="n"/>
      <c r="O149" s="28" t="n"/>
      <c r="P149" s="28" t="n"/>
      <c r="Q149" s="28" t="n"/>
      <c r="R149" s="28" t="n"/>
      <c r="S149" s="28" t="n"/>
      <c r="T149" s="28" t="n"/>
      <c r="U149" s="23" t="n"/>
      <c r="V149" s="29" t="n"/>
    </row>
    <row r="150" ht="93.75" customFormat="1" customHeight="1" s="10">
      <c r="A150" s="51" t="inlineStr">
        <is>
          <t>Outlet</t>
        </is>
      </c>
      <c r="B150" s="28" t="n"/>
      <c r="C150" s="28" t="n"/>
      <c r="D150" s="35" t="inlineStr">
        <is>
          <t>Special</t>
        </is>
      </c>
      <c r="E150" s="28" t="n"/>
      <c r="F150" s="28" t="n"/>
      <c r="G150" s="28" t="n"/>
      <c r="H150" s="28" t="n"/>
      <c r="I150" s="28" t="n"/>
      <c r="J150" s="23" t="n"/>
      <c r="K150" s="35" t="inlineStr">
        <is>
          <t>Outlet</t>
        </is>
      </c>
      <c r="L150" s="28" t="n"/>
      <c r="M150" s="28" t="n"/>
      <c r="N150" s="28" t="n"/>
      <c r="O150" s="23" t="n"/>
      <c r="P150" s="35" t="inlineStr">
        <is>
          <t>Special</t>
        </is>
      </c>
      <c r="Q150" s="28" t="n"/>
      <c r="R150" s="28" t="n"/>
      <c r="S150" s="28" t="n"/>
      <c r="T150" s="28" t="n"/>
      <c r="U150" s="28" t="n"/>
      <c r="V150" s="23" t="n"/>
    </row>
    <row r="151" ht="114" customHeight="1">
      <c r="A151" s="76" t="inlineStr">
        <is>
          <t>Elements</t>
        </is>
      </c>
      <c r="B151" s="56" t="n"/>
      <c r="C151" s="56" t="n"/>
      <c r="D151" s="45" t="inlineStr">
        <is>
          <t>Opening from 06.30 - 10.30 for breakfast</t>
        </is>
      </c>
      <c r="E151" s="28" t="n"/>
      <c r="F151" s="28" t="n"/>
      <c r="G151" s="28" t="n"/>
      <c r="H151" s="28" t="n"/>
      <c r="I151" s="28" t="n"/>
      <c r="J151" s="23" t="n"/>
      <c r="K151" s="70" t="inlineStr">
        <is>
          <t xml:space="preserve">Burger N' Wing </t>
        </is>
      </c>
      <c r="L151" s="56" t="n"/>
      <c r="M151" s="56" t="n"/>
      <c r="N151" s="56" t="n"/>
      <c r="O151" s="56" t="n"/>
      <c r="P151" s="74" t="inlineStr">
        <is>
          <t>Opening from 12.00 - 20.00</t>
        </is>
      </c>
      <c r="Q151" s="56" t="n"/>
      <c r="R151" s="56" t="n"/>
      <c r="S151" s="56" t="n"/>
      <c r="T151" s="56" t="n"/>
      <c r="U151" s="56" t="n"/>
      <c r="V151" s="38" t="n"/>
    </row>
    <row r="152" ht="114" customHeight="1">
      <c r="A152" s="39" t="n"/>
      <c r="B152" s="57" t="n"/>
      <c r="C152" s="57" t="n"/>
      <c r="D152" s="65" t="inlineStr">
        <is>
          <t>Opening from 18.00 - 22.00 for dinner (only Friday to Sunday)</t>
        </is>
      </c>
      <c r="E152" s="28" t="n"/>
      <c r="F152" s="28" t="n"/>
      <c r="G152" s="28" t="n"/>
      <c r="H152" s="28" t="n"/>
      <c r="I152" s="28" t="n"/>
      <c r="J152" s="23" t="n"/>
      <c r="K152" s="67" t="inlineStr">
        <is>
          <t>Coco Fire</t>
        </is>
      </c>
      <c r="L152" s="28" t="n"/>
      <c r="M152" s="28" t="n"/>
      <c r="N152" s="28" t="n"/>
      <c r="O152" s="28" t="n"/>
      <c r="P152" s="30" t="inlineStr">
        <is>
          <t>Opening from 12.00 - 20.00</t>
        </is>
      </c>
      <c r="Q152" s="28" t="n"/>
      <c r="R152" s="28" t="n"/>
      <c r="S152" s="28" t="n"/>
      <c r="T152" s="28" t="n"/>
      <c r="U152" s="28" t="n"/>
      <c r="V152" s="23" t="n"/>
    </row>
    <row r="153" ht="114" customHeight="1">
      <c r="A153" s="76" t="inlineStr">
        <is>
          <t>The Pantry</t>
        </is>
      </c>
      <c r="B153" s="28" t="n"/>
      <c r="C153" s="28" t="n"/>
      <c r="D153" s="79" t="inlineStr">
        <is>
          <t>Opening from 07.00 - 19.00</t>
        </is>
      </c>
      <c r="E153" s="57" t="n"/>
      <c r="F153" s="57" t="n"/>
      <c r="G153" s="57" t="n"/>
      <c r="H153" s="57" t="n"/>
      <c r="I153" s="57" t="n"/>
      <c r="J153" s="57" t="n"/>
      <c r="K153" s="67" t="inlineStr">
        <is>
          <t>Mizu Bar</t>
        </is>
      </c>
      <c r="L153" s="28" t="n"/>
      <c r="M153" s="28" t="n"/>
      <c r="N153" s="28" t="n"/>
      <c r="O153" s="28" t="n"/>
      <c r="P153" s="30" t="inlineStr">
        <is>
          <t>Opening from 12.00 - 20.00</t>
        </is>
      </c>
      <c r="Q153" s="28" t="n"/>
      <c r="R153" s="28" t="n"/>
      <c r="S153" s="28" t="n"/>
      <c r="T153" s="28" t="n"/>
      <c r="U153" s="28" t="n"/>
      <c r="V153" s="23" t="n"/>
    </row>
    <row r="154" ht="114" customHeight="1">
      <c r="A154" s="67" t="inlineStr">
        <is>
          <t>Mi Scusi</t>
        </is>
      </c>
      <c r="B154" s="28" t="n"/>
      <c r="C154" s="28" t="n"/>
      <c r="D154" s="65" t="inlineStr">
        <is>
          <t>Monday to Thursday 11.00 - 21.00 | Friday to Sunday 11.00 - 18.00</t>
        </is>
      </c>
      <c r="E154" s="28" t="n"/>
      <c r="F154" s="28" t="n"/>
      <c r="G154" s="28" t="n"/>
      <c r="H154" s="28" t="n"/>
      <c r="I154" s="28" t="n"/>
      <c r="J154" s="23" t="n"/>
      <c r="K154" s="67" t="inlineStr">
        <is>
          <t>AvaniSpa</t>
        </is>
      </c>
      <c r="L154" s="28" t="n"/>
      <c r="M154" s="28" t="n"/>
      <c r="N154" s="28" t="n"/>
      <c r="O154" s="28" t="n"/>
      <c r="P154" s="45" t="inlineStr">
        <is>
          <t>Opening from 09.00 - 21.00</t>
        </is>
      </c>
      <c r="Q154" s="28" t="n"/>
      <c r="R154" s="28" t="n"/>
      <c r="S154" s="28" t="n"/>
      <c r="T154" s="28" t="n"/>
      <c r="U154" s="28" t="n"/>
      <c r="V154" s="23" t="n"/>
    </row>
    <row r="155" ht="114" customHeight="1">
      <c r="A155" s="76" t="inlineStr">
        <is>
          <t>Scoop It</t>
        </is>
      </c>
      <c r="B155" s="28" t="n"/>
      <c r="C155" s="28" t="n"/>
      <c r="D155" s="82" t="inlineStr">
        <is>
          <t>Closed</t>
        </is>
      </c>
      <c r="E155" s="28" t="n"/>
      <c r="F155" s="28" t="n"/>
      <c r="G155" s="28" t="n"/>
      <c r="H155" s="28" t="n"/>
      <c r="I155" s="28" t="n"/>
      <c r="J155" s="23" t="n"/>
      <c r="K155" s="32" t="inlineStr">
        <is>
          <t>Mini Golf</t>
        </is>
      </c>
      <c r="L155" s="28" t="n"/>
      <c r="M155" s="28" t="n"/>
      <c r="N155" s="28" t="n"/>
      <c r="O155" s="28" t="n"/>
      <c r="P155" s="48" t="inlineStr">
        <is>
          <t>Opening from 09.00 - 20.00</t>
        </is>
      </c>
      <c r="Q155" s="28" t="n"/>
      <c r="R155" s="28" t="n"/>
      <c r="S155" s="28" t="n"/>
      <c r="T155" s="28" t="n"/>
      <c r="U155" s="28" t="n"/>
      <c r="V155" s="23" t="n"/>
    </row>
    <row r="156" ht="114" customHeight="1">
      <c r="A156" s="67" t="inlineStr">
        <is>
          <t>The Beach House</t>
        </is>
      </c>
      <c r="B156" s="28" t="n"/>
      <c r="C156" s="28" t="n"/>
      <c r="D156" s="30" t="inlineStr">
        <is>
          <t>Opening from 11.00 - 22.30</t>
        </is>
      </c>
      <c r="E156" s="28" t="n"/>
      <c r="F156" s="28" t="n"/>
      <c r="G156" s="28" t="n"/>
      <c r="H156" s="28" t="n"/>
      <c r="I156" s="28" t="n"/>
      <c r="J156" s="23" t="n"/>
      <c r="K156" s="32" t="inlineStr">
        <is>
          <t>AvaniKids</t>
        </is>
      </c>
      <c r="L156" s="28" t="n"/>
      <c r="M156" s="28" t="n"/>
      <c r="N156" s="28" t="n"/>
      <c r="O156" s="28" t="n"/>
      <c r="P156" s="48" t="inlineStr">
        <is>
          <t>Opening from 09.00 - 20.00</t>
        </is>
      </c>
      <c r="Q156" s="28" t="n"/>
      <c r="R156" s="28" t="n"/>
      <c r="S156" s="28" t="n"/>
      <c r="T156" s="28" t="n"/>
      <c r="U156" s="28" t="n"/>
      <c r="V156" s="23" t="n"/>
    </row>
    <row r="157" ht="114" customHeight="1">
      <c r="A157" s="67" t="inlineStr">
        <is>
          <t>The Beach Bar</t>
        </is>
      </c>
      <c r="B157" s="28" t="n"/>
      <c r="C157" s="28" t="n"/>
      <c r="D157" s="30" t="inlineStr">
        <is>
          <t>Opening from 11.00 - 23.30</t>
        </is>
      </c>
      <c r="E157" s="28" t="n"/>
      <c r="F157" s="28" t="n"/>
      <c r="G157" s="28" t="n"/>
      <c r="H157" s="28" t="n"/>
      <c r="I157" s="28" t="n"/>
      <c r="J157" s="23" t="n"/>
      <c r="K157" s="32" t="inlineStr">
        <is>
          <t>Tennis Court</t>
        </is>
      </c>
      <c r="L157" s="28" t="n"/>
      <c r="M157" s="28" t="n"/>
      <c r="N157" s="28" t="n"/>
      <c r="O157" s="28" t="n"/>
      <c r="P157" s="48" t="inlineStr">
        <is>
          <t>Opening from 06.00 - 22.00</t>
        </is>
      </c>
      <c r="Q157" s="28" t="n"/>
      <c r="R157" s="28" t="n"/>
      <c r="S157" s="28" t="n"/>
      <c r="T157" s="28" t="n"/>
      <c r="U157" s="28" t="n"/>
      <c r="V157" s="23" t="n"/>
    </row>
    <row r="158" ht="99" customFormat="1" customHeight="1" s="2">
      <c r="A158" s="60" t="inlineStr">
        <is>
          <t>Room Available for Upsell</t>
        </is>
      </c>
      <c r="B158" s="28" t="n"/>
      <c r="C158" s="28" t="n"/>
      <c r="D158" s="28" t="n"/>
      <c r="E158" s="28" t="n"/>
      <c r="F158" s="23" t="n"/>
      <c r="G158" s="62" t="inlineStr">
        <is>
          <t>Room Number</t>
        </is>
      </c>
      <c r="H158" s="28" t="n"/>
      <c r="I158" s="28" t="n"/>
      <c r="J158" s="28" t="n"/>
      <c r="K158" s="28" t="n"/>
      <c r="L158" s="28" t="n"/>
      <c r="M158" s="28" t="n"/>
      <c r="N158" s="28" t="n"/>
      <c r="O158" s="23" t="n"/>
      <c r="P158" s="62" t="inlineStr">
        <is>
          <t>Available unit</t>
        </is>
      </c>
      <c r="Q158" s="28" t="n"/>
      <c r="R158" s="28" t="n"/>
      <c r="S158" s="28" t="n"/>
      <c r="T158" s="28" t="n"/>
      <c r="U158" s="28" t="n"/>
      <c r="V158" s="23" t="n"/>
    </row>
    <row r="159" ht="114" customHeight="1">
      <c r="A159" s="86" t="inlineStr">
        <is>
          <t>Suite</t>
        </is>
      </c>
      <c r="B159" s="28" t="n"/>
      <c r="C159" s="28" t="n"/>
      <c r="D159" s="28" t="n"/>
      <c r="E159" s="28" t="n"/>
      <c r="F159" s="23" t="n"/>
      <c r="G159" s="83" t="n"/>
      <c r="H159" s="28" t="n"/>
      <c r="I159" s="28" t="n"/>
      <c r="J159" s="28" t="n"/>
      <c r="K159" s="28" t="n"/>
      <c r="L159" s="28" t="n"/>
      <c r="M159" s="28" t="n"/>
      <c r="N159" s="28" t="n"/>
      <c r="O159" s="23" t="n"/>
      <c r="P159" s="44" t="n"/>
      <c r="Q159" s="28" t="n"/>
      <c r="R159" s="28" t="n"/>
      <c r="S159" s="28" t="n"/>
      <c r="T159" s="28" t="n"/>
      <c r="U159" s="28" t="n"/>
      <c r="V159" s="23" t="n"/>
    </row>
    <row r="160" ht="114" customHeight="1">
      <c r="A160" s="86" t="inlineStr">
        <is>
          <t>Pool Access</t>
        </is>
      </c>
      <c r="B160" s="28" t="n"/>
      <c r="C160" s="28" t="n"/>
      <c r="D160" s="28" t="n"/>
      <c r="E160" s="28" t="n"/>
      <c r="F160" s="23" t="n"/>
      <c r="G160" s="44" t="n"/>
      <c r="H160" s="28" t="n"/>
      <c r="I160" s="28" t="n"/>
      <c r="J160" s="28" t="n"/>
      <c r="K160" s="28" t="n"/>
      <c r="L160" s="28" t="n"/>
      <c r="M160" s="28" t="n"/>
      <c r="N160" s="28" t="n"/>
      <c r="O160" s="23" t="n"/>
      <c r="P160" s="44" t="n"/>
      <c r="Q160" s="28" t="n"/>
      <c r="R160" s="28" t="n"/>
      <c r="S160" s="28" t="n"/>
      <c r="T160" s="28" t="n"/>
      <c r="U160" s="28" t="n"/>
      <c r="V160" s="23" t="n"/>
    </row>
    <row r="161" ht="99" customFormat="1" customHeight="1" s="2">
      <c r="A161" s="60" t="inlineStr">
        <is>
          <t>ReviewPro</t>
        </is>
      </c>
      <c r="B161" s="28" t="n"/>
      <c r="C161" s="28" t="n"/>
      <c r="D161" s="28" t="n"/>
      <c r="E161" s="28" t="n"/>
      <c r="F161" s="28" t="n"/>
      <c r="G161" s="28" t="n"/>
      <c r="H161" s="28" t="n"/>
      <c r="I161" s="28" t="n"/>
      <c r="J161" s="28" t="n"/>
      <c r="K161" s="28" t="n"/>
      <c r="L161" s="28" t="n"/>
      <c r="M161" s="28" t="n"/>
      <c r="N161" s="28" t="n"/>
      <c r="O161" s="28" t="n"/>
      <c r="P161" s="28" t="n"/>
      <c r="Q161" s="28" t="n"/>
      <c r="R161" s="28" t="n"/>
      <c r="S161" s="28" t="n"/>
      <c r="T161" s="28" t="n"/>
      <c r="U161" s="28" t="n"/>
      <c r="V161" s="23" t="n"/>
    </row>
    <row r="722" ht="101.25" customHeight="1">
      <c r="A722" s="60" t="inlineStr">
        <is>
          <t>ReviewPro Comment</t>
        </is>
      </c>
      <c r="B722" s="28" t="n"/>
      <c r="C722" s="28" t="n"/>
      <c r="D722" s="28" t="n"/>
      <c r="E722" s="28" t="n"/>
      <c r="F722" s="28" t="n"/>
      <c r="G722" s="28" t="n"/>
      <c r="H722" s="28" t="n"/>
      <c r="I722" s="28" t="n"/>
      <c r="J722" s="28" t="n"/>
      <c r="K722" s="28" t="n"/>
      <c r="L722" s="28" t="n"/>
      <c r="M722" s="28" t="n"/>
      <c r="N722" s="28" t="n"/>
      <c r="O722" s="28" t="n"/>
      <c r="P722" s="28" t="n"/>
      <c r="Q722" s="28" t="n"/>
      <c r="R722" s="28" t="n"/>
      <c r="S722" s="28" t="n"/>
      <c r="T722" s="28" t="n"/>
      <c r="U722" s="28" t="n"/>
      <c r="V722" s="23" t="n"/>
    </row>
  </sheetData>
  <mergeCells count="883">
    <mergeCell ref="N101:O101"/>
    <mergeCell ref="D60:E60"/>
    <mergeCell ref="A64:B64"/>
    <mergeCell ref="F116:G116"/>
    <mergeCell ref="N76:O76"/>
    <mergeCell ref="F16:G16"/>
    <mergeCell ref="N113:O113"/>
    <mergeCell ref="A15:B15"/>
    <mergeCell ref="A51:B51"/>
    <mergeCell ref="F103:G103"/>
    <mergeCell ref="N100:O100"/>
    <mergeCell ref="P87:V87"/>
    <mergeCell ref="F108:G108"/>
    <mergeCell ref="N94:O94"/>
    <mergeCell ref="A107:B107"/>
    <mergeCell ref="E149:J149"/>
    <mergeCell ref="F118:G118"/>
    <mergeCell ref="D45:E45"/>
    <mergeCell ref="P24:V24"/>
    <mergeCell ref="P89:V89"/>
    <mergeCell ref="N77:O77"/>
    <mergeCell ref="P88:V88"/>
    <mergeCell ref="P26:V26"/>
    <mergeCell ref="L136:M136"/>
    <mergeCell ref="P153:V153"/>
    <mergeCell ref="D70:E70"/>
    <mergeCell ref="F70:G70"/>
    <mergeCell ref="L102:M102"/>
    <mergeCell ref="L29:M29"/>
    <mergeCell ref="D78:E78"/>
    <mergeCell ref="N29:O29"/>
    <mergeCell ref="D134:E134"/>
    <mergeCell ref="A33:B33"/>
    <mergeCell ref="F134:G134"/>
    <mergeCell ref="F23:G23"/>
    <mergeCell ref="F121:G121"/>
    <mergeCell ref="D71:E71"/>
    <mergeCell ref="L31:M31"/>
    <mergeCell ref="F96:G96"/>
    <mergeCell ref="F71:G71"/>
    <mergeCell ref="N31:O31"/>
    <mergeCell ref="N87:O87"/>
    <mergeCell ref="P115:V115"/>
    <mergeCell ref="A35:B35"/>
    <mergeCell ref="A62:B62"/>
    <mergeCell ref="A149:D149"/>
    <mergeCell ref="D98:E98"/>
    <mergeCell ref="K156:O156"/>
    <mergeCell ref="D73:E73"/>
    <mergeCell ref="G12:G13"/>
    <mergeCell ref="P77:V77"/>
    <mergeCell ref="F98:G98"/>
    <mergeCell ref="N24:O24"/>
    <mergeCell ref="N89:O89"/>
    <mergeCell ref="R144:U144"/>
    <mergeCell ref="A28:B28"/>
    <mergeCell ref="A39:B39"/>
    <mergeCell ref="P141:V141"/>
    <mergeCell ref="N26:O26"/>
    <mergeCell ref="A30:B30"/>
    <mergeCell ref="L120:M120"/>
    <mergeCell ref="A59:B59"/>
    <mergeCell ref="U12:V13"/>
    <mergeCell ref="P37:V37"/>
    <mergeCell ref="M12:N13"/>
    <mergeCell ref="L107:M107"/>
    <mergeCell ref="O12:P13"/>
    <mergeCell ref="A103:B103"/>
    <mergeCell ref="I7:I8"/>
    <mergeCell ref="L57:M57"/>
    <mergeCell ref="A61:B61"/>
    <mergeCell ref="D124:E124"/>
    <mergeCell ref="L121:M121"/>
    <mergeCell ref="N36:O36"/>
    <mergeCell ref="A128:B128"/>
    <mergeCell ref="N121:O121"/>
    <mergeCell ref="N115:O115"/>
    <mergeCell ref="L42:M42"/>
    <mergeCell ref="F18:G18"/>
    <mergeCell ref="F45:G45"/>
    <mergeCell ref="N42:O42"/>
    <mergeCell ref="N102:O102"/>
    <mergeCell ref="F42:G42"/>
    <mergeCell ref="A141:O141"/>
    <mergeCell ref="D12:D13"/>
    <mergeCell ref="D66:E66"/>
    <mergeCell ref="P113:V113"/>
    <mergeCell ref="D126:E126"/>
    <mergeCell ref="F66:G66"/>
    <mergeCell ref="N52:O52"/>
    <mergeCell ref="F126:G126"/>
    <mergeCell ref="D53:E53"/>
    <mergeCell ref="F17:G17"/>
    <mergeCell ref="A136:B136"/>
    <mergeCell ref="D47:E47"/>
    <mergeCell ref="F109:G109"/>
    <mergeCell ref="P159:V159"/>
    <mergeCell ref="F47:G47"/>
    <mergeCell ref="N44:O44"/>
    <mergeCell ref="A129:B129"/>
    <mergeCell ref="N116:O116"/>
    <mergeCell ref="F46:G46"/>
    <mergeCell ref="P96:V96"/>
    <mergeCell ref="A127:B127"/>
    <mergeCell ref="P90:V90"/>
    <mergeCell ref="F111:G111"/>
    <mergeCell ref="F61:G61"/>
    <mergeCell ref="P27:V27"/>
    <mergeCell ref="A52:B52"/>
    <mergeCell ref="F48:G48"/>
    <mergeCell ref="P154:V154"/>
    <mergeCell ref="D15:E15"/>
    <mergeCell ref="A145:D145"/>
    <mergeCell ref="D129:E129"/>
    <mergeCell ref="P91:V91"/>
    <mergeCell ref="D79:E79"/>
    <mergeCell ref="P156:V156"/>
    <mergeCell ref="A83:B83"/>
    <mergeCell ref="L70:M70"/>
    <mergeCell ref="A34:B34"/>
    <mergeCell ref="F73:G73"/>
    <mergeCell ref="N70:O70"/>
    <mergeCell ref="H3:K3"/>
    <mergeCell ref="L32:M32"/>
    <mergeCell ref="A49:B49"/>
    <mergeCell ref="L103:M103"/>
    <mergeCell ref="N32:O32"/>
    <mergeCell ref="D81:E81"/>
    <mergeCell ref="R7:R8"/>
    <mergeCell ref="A36:B36"/>
    <mergeCell ref="F137:G137"/>
    <mergeCell ref="L134:M134"/>
    <mergeCell ref="N134:O134"/>
    <mergeCell ref="F124:G124"/>
    <mergeCell ref="L47:M47"/>
    <mergeCell ref="P108:V108"/>
    <mergeCell ref="N96:O96"/>
    <mergeCell ref="A78:B78"/>
    <mergeCell ref="P118:V118"/>
    <mergeCell ref="M148:U148"/>
    <mergeCell ref="A65:B65"/>
    <mergeCell ref="P45:V45"/>
    <mergeCell ref="F114:G114"/>
    <mergeCell ref="A150:C150"/>
    <mergeCell ref="N98:O98"/>
    <mergeCell ref="A80:B80"/>
    <mergeCell ref="P38:V38"/>
    <mergeCell ref="P109:V109"/>
    <mergeCell ref="A55:B55"/>
    <mergeCell ref="L9:L10"/>
    <mergeCell ref="L58:M58"/>
    <mergeCell ref="L129:M129"/>
    <mergeCell ref="L123:M123"/>
    <mergeCell ref="P40:V40"/>
    <mergeCell ref="N123:O123"/>
    <mergeCell ref="L50:M50"/>
    <mergeCell ref="D28:E28"/>
    <mergeCell ref="L25:M25"/>
    <mergeCell ref="L60:M60"/>
    <mergeCell ref="N60:O60"/>
    <mergeCell ref="H9:H11"/>
    <mergeCell ref="D117:E117"/>
    <mergeCell ref="D92:E92"/>
    <mergeCell ref="D55:E55"/>
    <mergeCell ref="F117:G117"/>
    <mergeCell ref="L52:M52"/>
    <mergeCell ref="D30:E30"/>
    <mergeCell ref="J9:J11"/>
    <mergeCell ref="F92:G92"/>
    <mergeCell ref="D67:E67"/>
    <mergeCell ref="L124:M124"/>
    <mergeCell ref="N124:O124"/>
    <mergeCell ref="N118:O118"/>
    <mergeCell ref="D94:E94"/>
    <mergeCell ref="N45:O45"/>
    <mergeCell ref="P98:V98"/>
    <mergeCell ref="F119:G119"/>
    <mergeCell ref="D69:E69"/>
    <mergeCell ref="F69:G69"/>
    <mergeCell ref="A24:B24"/>
    <mergeCell ref="N126:O126"/>
    <mergeCell ref="A60:B60"/>
    <mergeCell ref="F112:G112"/>
    <mergeCell ref="N109:O109"/>
    <mergeCell ref="N47:O47"/>
    <mergeCell ref="P106:V106"/>
    <mergeCell ref="F127:G127"/>
    <mergeCell ref="A124:B124"/>
    <mergeCell ref="P33:V33"/>
    <mergeCell ref="P93:V93"/>
    <mergeCell ref="D21:E21"/>
    <mergeCell ref="O1:R2"/>
    <mergeCell ref="L78:M78"/>
    <mergeCell ref="F51:G51"/>
    <mergeCell ref="P35:V35"/>
    <mergeCell ref="E145:K145"/>
    <mergeCell ref="L15:M15"/>
    <mergeCell ref="A84:B84"/>
    <mergeCell ref="L71:M71"/>
    <mergeCell ref="N71:O71"/>
    <mergeCell ref="A148:D148"/>
    <mergeCell ref="L117:M117"/>
    <mergeCell ref="L55:M55"/>
    <mergeCell ref="I5:I6"/>
    <mergeCell ref="A50:B50"/>
    <mergeCell ref="A5:A6"/>
    <mergeCell ref="D16:E16"/>
    <mergeCell ref="A146:D146"/>
    <mergeCell ref="A86:B86"/>
    <mergeCell ref="D87:E87"/>
    <mergeCell ref="L73:M73"/>
    <mergeCell ref="N73:O73"/>
    <mergeCell ref="F38:G38"/>
    <mergeCell ref="F7:G8"/>
    <mergeCell ref="D122:E122"/>
    <mergeCell ref="L119:M119"/>
    <mergeCell ref="N119:O119"/>
    <mergeCell ref="D18:E18"/>
    <mergeCell ref="P59:V59"/>
    <mergeCell ref="P130:V130"/>
    <mergeCell ref="N137:O137"/>
    <mergeCell ref="P46:V46"/>
    <mergeCell ref="F67:G67"/>
    <mergeCell ref="P111:V111"/>
    <mergeCell ref="D82:E82"/>
    <mergeCell ref="A81:B81"/>
    <mergeCell ref="P61:V61"/>
    <mergeCell ref="F82:G82"/>
    <mergeCell ref="F5:G6"/>
    <mergeCell ref="P48:V48"/>
    <mergeCell ref="N114:O114"/>
    <mergeCell ref="G160:O160"/>
    <mergeCell ref="P125:V125"/>
    <mergeCell ref="P112:V112"/>
    <mergeCell ref="D100:E100"/>
    <mergeCell ref="F29:G29"/>
    <mergeCell ref="L12:L13"/>
    <mergeCell ref="L66:M66"/>
    <mergeCell ref="N66:O66"/>
    <mergeCell ref="L53:M53"/>
    <mergeCell ref="D31:E31"/>
    <mergeCell ref="L28:M28"/>
    <mergeCell ref="N53:O53"/>
    <mergeCell ref="A70:B70"/>
    <mergeCell ref="D50:E50"/>
    <mergeCell ref="D77:E77"/>
    <mergeCell ref="A161:V161"/>
    <mergeCell ref="L130:M130"/>
    <mergeCell ref="L3:V3"/>
    <mergeCell ref="N130:O130"/>
    <mergeCell ref="F133:G133"/>
    <mergeCell ref="N68:O68"/>
    <mergeCell ref="D108:E108"/>
    <mergeCell ref="N46:O46"/>
    <mergeCell ref="L68:M68"/>
    <mergeCell ref="N117:O117"/>
    <mergeCell ref="A99:B99"/>
    <mergeCell ref="D44:E44"/>
    <mergeCell ref="P139:V139"/>
    <mergeCell ref="A74:B74"/>
    <mergeCell ref="L132:M132"/>
    <mergeCell ref="N61:O61"/>
    <mergeCell ref="P114:V114"/>
    <mergeCell ref="P7:P8"/>
    <mergeCell ref="N48:O48"/>
    <mergeCell ref="F122:G122"/>
    <mergeCell ref="A101:B101"/>
    <mergeCell ref="L146:O146"/>
    <mergeCell ref="D72:E72"/>
    <mergeCell ref="U9:V10"/>
    <mergeCell ref="F72:G72"/>
    <mergeCell ref="A76:B76"/>
    <mergeCell ref="P34:V34"/>
    <mergeCell ref="L79:M79"/>
    <mergeCell ref="G158:O158"/>
    <mergeCell ref="P49:V49"/>
    <mergeCell ref="P36:V36"/>
    <mergeCell ref="D24:E24"/>
    <mergeCell ref="L21:M21"/>
    <mergeCell ref="L81:M81"/>
    <mergeCell ref="Q11:R11"/>
    <mergeCell ref="O11:P11"/>
    <mergeCell ref="D113:E113"/>
    <mergeCell ref="D88:E88"/>
    <mergeCell ref="D26:E26"/>
    <mergeCell ref="F88:G88"/>
    <mergeCell ref="S4:T4"/>
    <mergeCell ref="L110:M110"/>
    <mergeCell ref="D4:G4"/>
    <mergeCell ref="U4:V4"/>
    <mergeCell ref="D115:E115"/>
    <mergeCell ref="P102:V102"/>
    <mergeCell ref="F54:G54"/>
    <mergeCell ref="L16:M16"/>
    <mergeCell ref="D19:E19"/>
    <mergeCell ref="D90:E90"/>
    <mergeCell ref="N16:O16"/>
    <mergeCell ref="F19:G19"/>
    <mergeCell ref="A45:B45"/>
    <mergeCell ref="N51:O51"/>
    <mergeCell ref="N122:O122"/>
    <mergeCell ref="B9:C10"/>
    <mergeCell ref="P62:V62"/>
    <mergeCell ref="A87:B87"/>
    <mergeCell ref="P133:V133"/>
    <mergeCell ref="F83:G83"/>
    <mergeCell ref="P127:V127"/>
    <mergeCell ref="F20:G20"/>
    <mergeCell ref="A46:B46"/>
    <mergeCell ref="P64:V64"/>
    <mergeCell ref="A89:B89"/>
    <mergeCell ref="F85:G85"/>
    <mergeCell ref="P51:V51"/>
    <mergeCell ref="A105:B105"/>
    <mergeCell ref="L92:M92"/>
    <mergeCell ref="L30:M30"/>
    <mergeCell ref="N92:O92"/>
    <mergeCell ref="A26:B26"/>
    <mergeCell ref="P128:V128"/>
    <mergeCell ref="N67:O67"/>
    <mergeCell ref="A71:B71"/>
    <mergeCell ref="D103:E103"/>
    <mergeCell ref="D37:E37"/>
    <mergeCell ref="L94:M94"/>
    <mergeCell ref="L69:M69"/>
    <mergeCell ref="L44:M44"/>
    <mergeCell ref="N69:O69"/>
    <mergeCell ref="D118:E118"/>
    <mergeCell ref="D154:J154"/>
    <mergeCell ref="A100:B100"/>
    <mergeCell ref="P67:V67"/>
    <mergeCell ref="F136:G136"/>
    <mergeCell ref="A115:B115"/>
    <mergeCell ref="D38:E38"/>
    <mergeCell ref="N133:O133"/>
    <mergeCell ref="P17:V17"/>
    <mergeCell ref="D156:J156"/>
    <mergeCell ref="A102:B102"/>
    <mergeCell ref="P82:V82"/>
    <mergeCell ref="A77:B77"/>
    <mergeCell ref="P19:V19"/>
    <mergeCell ref="P75:V75"/>
    <mergeCell ref="D63:E63"/>
    <mergeCell ref="D157:J157"/>
    <mergeCell ref="V1:V2"/>
    <mergeCell ref="D96:E96"/>
    <mergeCell ref="K154:O154"/>
    <mergeCell ref="E148:J148"/>
    <mergeCell ref="D52:E52"/>
    <mergeCell ref="E11:G11"/>
    <mergeCell ref="A12:A13"/>
    <mergeCell ref="P110:V110"/>
    <mergeCell ref="D27:E27"/>
    <mergeCell ref="L24:M24"/>
    <mergeCell ref="L18:M18"/>
    <mergeCell ref="L89:M89"/>
    <mergeCell ref="N18:O18"/>
    <mergeCell ref="D116:E116"/>
    <mergeCell ref="A120:B120"/>
    <mergeCell ref="K9:K11"/>
    <mergeCell ref="L126:M126"/>
    <mergeCell ref="N17:O17"/>
    <mergeCell ref="D91:E91"/>
    <mergeCell ref="L88:M88"/>
    <mergeCell ref="F91:G91"/>
    <mergeCell ref="L26:M26"/>
    <mergeCell ref="A21:B21"/>
    <mergeCell ref="N82:O82"/>
    <mergeCell ref="A57:B57"/>
    <mergeCell ref="A113:B113"/>
    <mergeCell ref="S12:T13"/>
    <mergeCell ref="D106:E106"/>
    <mergeCell ref="A32:B32"/>
    <mergeCell ref="D93:E93"/>
    <mergeCell ref="K151:O151"/>
    <mergeCell ref="N19:O19"/>
    <mergeCell ref="P72:V72"/>
    <mergeCell ref="F93:G93"/>
    <mergeCell ref="F22:G22"/>
    <mergeCell ref="A23:B23"/>
    <mergeCell ref="L113:M113"/>
    <mergeCell ref="P146:Q146"/>
    <mergeCell ref="L100:M100"/>
    <mergeCell ref="P5:P6"/>
    <mergeCell ref="B12:C13"/>
    <mergeCell ref="A96:B96"/>
    <mergeCell ref="R5:R6"/>
    <mergeCell ref="P65:V65"/>
    <mergeCell ref="H5:H6"/>
    <mergeCell ref="J5:J6"/>
    <mergeCell ref="P136:V136"/>
    <mergeCell ref="L115:M115"/>
    <mergeCell ref="L77:M77"/>
    <mergeCell ref="L108:M108"/>
    <mergeCell ref="N108:O108"/>
    <mergeCell ref="D109:E109"/>
    <mergeCell ref="L95:M95"/>
    <mergeCell ref="N95:O95"/>
    <mergeCell ref="D119:E119"/>
    <mergeCell ref="A123:B123"/>
    <mergeCell ref="D46:E46"/>
    <mergeCell ref="D40:E40"/>
    <mergeCell ref="L37:M37"/>
    <mergeCell ref="L97:M97"/>
    <mergeCell ref="F40:G40"/>
    <mergeCell ref="N37:O37"/>
    <mergeCell ref="N97:O97"/>
    <mergeCell ref="A110:B110"/>
    <mergeCell ref="D111:E111"/>
    <mergeCell ref="M149:U149"/>
    <mergeCell ref="N72:O72"/>
    <mergeCell ref="A16:B16"/>
    <mergeCell ref="D104:E104"/>
    <mergeCell ref="P83:V83"/>
    <mergeCell ref="F104:G104"/>
    <mergeCell ref="A108:B108"/>
    <mergeCell ref="N136:O136"/>
    <mergeCell ref="A118:B118"/>
    <mergeCell ref="D41:E41"/>
    <mergeCell ref="A18:B18"/>
    <mergeCell ref="P20:V20"/>
    <mergeCell ref="F41:G41"/>
    <mergeCell ref="P25:V25"/>
    <mergeCell ref="F35:G35"/>
    <mergeCell ref="P85:V85"/>
    <mergeCell ref="F106:G106"/>
    <mergeCell ref="P60:V60"/>
    <mergeCell ref="A722:V722"/>
    <mergeCell ref="A138:V138"/>
    <mergeCell ref="P84:V84"/>
    <mergeCell ref="D43:E43"/>
    <mergeCell ref="P22:V22"/>
    <mergeCell ref="A47:B47"/>
    <mergeCell ref="K155:O155"/>
    <mergeCell ref="H1:I2"/>
    <mergeCell ref="L63:M63"/>
    <mergeCell ref="N88:O88"/>
    <mergeCell ref="J1:K2"/>
    <mergeCell ref="D137:E137"/>
    <mergeCell ref="P124:V124"/>
    <mergeCell ref="L96:M96"/>
    <mergeCell ref="P80:V80"/>
    <mergeCell ref="D74:E74"/>
    <mergeCell ref="P151:V151"/>
    <mergeCell ref="D130:E130"/>
    <mergeCell ref="A134:B134"/>
    <mergeCell ref="A29:B29"/>
    <mergeCell ref="F130:G130"/>
    <mergeCell ref="R145:U145"/>
    <mergeCell ref="K157:O157"/>
    <mergeCell ref="D68:E68"/>
    <mergeCell ref="A121:B121"/>
    <mergeCell ref="P126:V126"/>
    <mergeCell ref="N90:O90"/>
    <mergeCell ref="L27:M27"/>
    <mergeCell ref="A44:B44"/>
    <mergeCell ref="N27:O27"/>
    <mergeCell ref="N83:O83"/>
    <mergeCell ref="D132:E132"/>
    <mergeCell ref="A31:B31"/>
    <mergeCell ref="F132:G132"/>
    <mergeCell ref="A58:B58"/>
    <mergeCell ref="D59:E59"/>
    <mergeCell ref="L91:M91"/>
    <mergeCell ref="K152:O152"/>
    <mergeCell ref="N20:O20"/>
    <mergeCell ref="A98:B98"/>
    <mergeCell ref="N91:O91"/>
    <mergeCell ref="A73:B73"/>
    <mergeCell ref="N85:O85"/>
    <mergeCell ref="F25:G25"/>
    <mergeCell ref="D36:E36"/>
    <mergeCell ref="P15:V15"/>
    <mergeCell ref="N22:O22"/>
    <mergeCell ref="P71:V71"/>
    <mergeCell ref="L116:M116"/>
    <mergeCell ref="A147:V147"/>
    <mergeCell ref="E146:K146"/>
    <mergeCell ref="P58:V58"/>
    <mergeCell ref="P79:V79"/>
    <mergeCell ref="P73:V73"/>
    <mergeCell ref="D61:E61"/>
    <mergeCell ref="L118:M118"/>
    <mergeCell ref="D48:E48"/>
    <mergeCell ref="L45:M45"/>
    <mergeCell ref="D125:E125"/>
    <mergeCell ref="F125:G125"/>
    <mergeCell ref="L38:M38"/>
    <mergeCell ref="N111:O111"/>
    <mergeCell ref="D112:E112"/>
    <mergeCell ref="L109:M109"/>
    <mergeCell ref="N38:O38"/>
    <mergeCell ref="A42:B42"/>
    <mergeCell ref="L122:M122"/>
    <mergeCell ref="D62:E62"/>
    <mergeCell ref="D56:E56"/>
    <mergeCell ref="A17:B17"/>
    <mergeCell ref="A126:B126"/>
    <mergeCell ref="F56:G56"/>
    <mergeCell ref="D127:E127"/>
    <mergeCell ref="L90:M90"/>
    <mergeCell ref="A53:B53"/>
    <mergeCell ref="A109:B109"/>
    <mergeCell ref="P155:V155"/>
    <mergeCell ref="D114:E114"/>
    <mergeCell ref="F43:G43"/>
    <mergeCell ref="N40:O40"/>
    <mergeCell ref="L40:M40"/>
    <mergeCell ref="F105:G105"/>
    <mergeCell ref="A151:C152"/>
    <mergeCell ref="N15:O15"/>
    <mergeCell ref="D64:E64"/>
    <mergeCell ref="A68:B68"/>
    <mergeCell ref="F120:G120"/>
    <mergeCell ref="A19:B19"/>
    <mergeCell ref="D51:E51"/>
    <mergeCell ref="A117:B117"/>
    <mergeCell ref="P86:V86"/>
    <mergeCell ref="A111:B111"/>
    <mergeCell ref="P157:V157"/>
    <mergeCell ref="F107:G107"/>
    <mergeCell ref="D1:G2"/>
    <mergeCell ref="N79:O79"/>
    <mergeCell ref="F57:G57"/>
    <mergeCell ref="A48:B48"/>
    <mergeCell ref="P28:V28"/>
    <mergeCell ref="N35:O35"/>
    <mergeCell ref="P150:V150"/>
    <mergeCell ref="L98:M98"/>
    <mergeCell ref="A135:V135"/>
    <mergeCell ref="P30:V30"/>
    <mergeCell ref="P152:V152"/>
    <mergeCell ref="A79:B79"/>
    <mergeCell ref="L137:M137"/>
    <mergeCell ref="L106:M106"/>
    <mergeCell ref="B11:C11"/>
    <mergeCell ref="L93:M93"/>
    <mergeCell ref="B5:C6"/>
    <mergeCell ref="N93:O93"/>
    <mergeCell ref="A37:B37"/>
    <mergeCell ref="F33:G33"/>
    <mergeCell ref="A137:B137"/>
    <mergeCell ref="D153:J153"/>
    <mergeCell ref="P104:V104"/>
    <mergeCell ref="D75:E75"/>
    <mergeCell ref="F75:G75"/>
    <mergeCell ref="R146:U146"/>
    <mergeCell ref="P41:V41"/>
    <mergeCell ref="F62:G62"/>
    <mergeCell ref="H12:H13"/>
    <mergeCell ref="J12:J13"/>
    <mergeCell ref="F31:G31"/>
    <mergeCell ref="N28:O28"/>
    <mergeCell ref="P56:V56"/>
    <mergeCell ref="F28:G28"/>
    <mergeCell ref="P105:V105"/>
    <mergeCell ref="P99:V99"/>
    <mergeCell ref="D39:E39"/>
    <mergeCell ref="F39:G39"/>
    <mergeCell ref="N30:O30"/>
    <mergeCell ref="L59:M59"/>
    <mergeCell ref="A9:A10"/>
    <mergeCell ref="P107:V107"/>
    <mergeCell ref="A63:B63"/>
    <mergeCell ref="L46:M46"/>
    <mergeCell ref="P101:V101"/>
    <mergeCell ref="L111:M111"/>
    <mergeCell ref="D89:E89"/>
    <mergeCell ref="L61:M61"/>
    <mergeCell ref="N7:N8"/>
    <mergeCell ref="F64:G64"/>
    <mergeCell ref="L48:M48"/>
    <mergeCell ref="A92:B92"/>
    <mergeCell ref="N104:O104"/>
    <mergeCell ref="Q9:R10"/>
    <mergeCell ref="S9:T10"/>
    <mergeCell ref="L125:M125"/>
    <mergeCell ref="N54:O54"/>
    <mergeCell ref="D128:E128"/>
    <mergeCell ref="F128:G128"/>
    <mergeCell ref="E144:K144"/>
    <mergeCell ref="L112:M112"/>
    <mergeCell ref="N41:O41"/>
    <mergeCell ref="A119:B119"/>
    <mergeCell ref="A94:B94"/>
    <mergeCell ref="N112:O112"/>
    <mergeCell ref="N106:O106"/>
    <mergeCell ref="D65:E65"/>
    <mergeCell ref="A139:O139"/>
    <mergeCell ref="A69:B69"/>
    <mergeCell ref="N56:O56"/>
    <mergeCell ref="F21:G21"/>
    <mergeCell ref="L43:M43"/>
    <mergeCell ref="N105:O105"/>
    <mergeCell ref="N43:O43"/>
    <mergeCell ref="P92:V92"/>
    <mergeCell ref="M11:N11"/>
    <mergeCell ref="P54:V54"/>
    <mergeCell ref="A133:B133"/>
    <mergeCell ref="A143:V143"/>
    <mergeCell ref="P29:V29"/>
    <mergeCell ref="F50:G50"/>
    <mergeCell ref="P100:V100"/>
    <mergeCell ref="F110:G110"/>
    <mergeCell ref="O4:P4"/>
    <mergeCell ref="P94:V94"/>
    <mergeCell ref="L74:M74"/>
    <mergeCell ref="Q4:R4"/>
    <mergeCell ref="A140:O140"/>
    <mergeCell ref="D17:E17"/>
    <mergeCell ref="N107:O107"/>
    <mergeCell ref="P44:V44"/>
    <mergeCell ref="L114:M114"/>
    <mergeCell ref="P31:V31"/>
    <mergeCell ref="P158:V158"/>
    <mergeCell ref="L76:M76"/>
    <mergeCell ref="N132:O132"/>
    <mergeCell ref="N59:O59"/>
    <mergeCell ref="P95:V95"/>
    <mergeCell ref="D83:E83"/>
    <mergeCell ref="A38:B38"/>
    <mergeCell ref="F49:G49"/>
    <mergeCell ref="D85:E85"/>
    <mergeCell ref="A153:C153"/>
    <mergeCell ref="P120:V120"/>
    <mergeCell ref="A40:B40"/>
    <mergeCell ref="A67:B67"/>
    <mergeCell ref="D3:G3"/>
    <mergeCell ref="P57:V57"/>
    <mergeCell ref="A82:B82"/>
    <mergeCell ref="F78:G78"/>
    <mergeCell ref="L67:M67"/>
    <mergeCell ref="F65:G65"/>
    <mergeCell ref="N110:O110"/>
    <mergeCell ref="A154:C154"/>
    <mergeCell ref="P121:V121"/>
    <mergeCell ref="D80:E80"/>
    <mergeCell ref="P42:V42"/>
    <mergeCell ref="N125:O125"/>
    <mergeCell ref="F55:G55"/>
    <mergeCell ref="L87:M87"/>
    <mergeCell ref="P123:V123"/>
    <mergeCell ref="L62:M62"/>
    <mergeCell ref="I12:I13"/>
    <mergeCell ref="L133:M133"/>
    <mergeCell ref="D136:E136"/>
    <mergeCell ref="K12:K13"/>
    <mergeCell ref="L127:M127"/>
    <mergeCell ref="A66:B66"/>
    <mergeCell ref="N62:O62"/>
    <mergeCell ref="N127:O127"/>
    <mergeCell ref="L64:M64"/>
    <mergeCell ref="F129:G129"/>
    <mergeCell ref="N64:O64"/>
    <mergeCell ref="N120:O120"/>
    <mergeCell ref="D155:J155"/>
    <mergeCell ref="L51:M51"/>
    <mergeCell ref="A95:B95"/>
    <mergeCell ref="Q12:R13"/>
    <mergeCell ref="G159:O159"/>
    <mergeCell ref="L128:M128"/>
    <mergeCell ref="K7:K8"/>
    <mergeCell ref="N57:O57"/>
    <mergeCell ref="N128:O128"/>
    <mergeCell ref="A3:C4"/>
    <mergeCell ref="D58:E58"/>
    <mergeCell ref="F58:G58"/>
    <mergeCell ref="D151:J151"/>
    <mergeCell ref="A122:B122"/>
    <mergeCell ref="A97:B97"/>
    <mergeCell ref="F52:G52"/>
    <mergeCell ref="F37:G37"/>
    <mergeCell ref="L1:N2"/>
    <mergeCell ref="A72:B72"/>
    <mergeCell ref="A1:C1"/>
    <mergeCell ref="D150:J150"/>
    <mergeCell ref="P39:V39"/>
    <mergeCell ref="F60:G60"/>
    <mergeCell ref="P70:V70"/>
    <mergeCell ref="P116:V116"/>
    <mergeCell ref="P32:V32"/>
    <mergeCell ref="F53:G53"/>
    <mergeCell ref="P103:V103"/>
    <mergeCell ref="D20:E20"/>
    <mergeCell ref="L17:M17"/>
    <mergeCell ref="P97:V97"/>
    <mergeCell ref="P134:V134"/>
    <mergeCell ref="A144:D144"/>
    <mergeCell ref="L82:M82"/>
    <mergeCell ref="P47:V47"/>
    <mergeCell ref="F68:G68"/>
    <mergeCell ref="A14:V14"/>
    <mergeCell ref="A158:F158"/>
    <mergeCell ref="A7:A8"/>
    <mergeCell ref="D84:E84"/>
    <mergeCell ref="L19:M19"/>
    <mergeCell ref="F84:G84"/>
    <mergeCell ref="L75:M75"/>
    <mergeCell ref="D22:E22"/>
    <mergeCell ref="N75:O75"/>
    <mergeCell ref="A88:B88"/>
    <mergeCell ref="N5:N6"/>
    <mergeCell ref="A160:F160"/>
    <mergeCell ref="A54:B54"/>
    <mergeCell ref="D86:E86"/>
    <mergeCell ref="F15:G15"/>
    <mergeCell ref="A90:B90"/>
    <mergeCell ref="F86:G86"/>
    <mergeCell ref="A41:B41"/>
    <mergeCell ref="F80:G80"/>
    <mergeCell ref="A159:F159"/>
    <mergeCell ref="A56:B56"/>
    <mergeCell ref="A27:B27"/>
    <mergeCell ref="F79:G79"/>
    <mergeCell ref="A156:C156"/>
    <mergeCell ref="L39:M39"/>
    <mergeCell ref="N39:O39"/>
    <mergeCell ref="P129:V129"/>
    <mergeCell ref="P63:V63"/>
    <mergeCell ref="P50:V50"/>
    <mergeCell ref="A155:C155"/>
    <mergeCell ref="B7:C8"/>
    <mergeCell ref="N103:O103"/>
    <mergeCell ref="A85:B85"/>
    <mergeCell ref="F81:G81"/>
    <mergeCell ref="T7:T8"/>
    <mergeCell ref="V7:V8"/>
    <mergeCell ref="E9:G10"/>
    <mergeCell ref="P52:V52"/>
    <mergeCell ref="A157:C157"/>
    <mergeCell ref="A22:B22"/>
    <mergeCell ref="L72:M72"/>
    <mergeCell ref="D33:E33"/>
    <mergeCell ref="L65:M65"/>
    <mergeCell ref="N65:O65"/>
    <mergeCell ref="D35:E35"/>
    <mergeCell ref="L144:O144"/>
    <mergeCell ref="N129:O129"/>
    <mergeCell ref="N63:O63"/>
    <mergeCell ref="D34:E34"/>
    <mergeCell ref="F63:G63"/>
    <mergeCell ref="F34:G34"/>
    <mergeCell ref="D152:J152"/>
    <mergeCell ref="N50:O50"/>
    <mergeCell ref="D99:E99"/>
    <mergeCell ref="P78:V78"/>
    <mergeCell ref="F99:G99"/>
    <mergeCell ref="N25:O25"/>
    <mergeCell ref="F74:G74"/>
    <mergeCell ref="P142:V142"/>
    <mergeCell ref="D101:E101"/>
    <mergeCell ref="L145:O145"/>
    <mergeCell ref="F30:G30"/>
    <mergeCell ref="D76:E76"/>
    <mergeCell ref="P117:V117"/>
    <mergeCell ref="P55:V55"/>
    <mergeCell ref="F76:G76"/>
    <mergeCell ref="K150:O150"/>
    <mergeCell ref="F94:G94"/>
    <mergeCell ref="L83:M83"/>
    <mergeCell ref="P119:V119"/>
    <mergeCell ref="D9:D10"/>
    <mergeCell ref="L20:M20"/>
    <mergeCell ref="L85:M85"/>
    <mergeCell ref="A116:B116"/>
    <mergeCell ref="L84:M84"/>
    <mergeCell ref="L22:M22"/>
    <mergeCell ref="N84:O84"/>
    <mergeCell ref="A91:B91"/>
    <mergeCell ref="N78:O78"/>
    <mergeCell ref="K148:L148"/>
    <mergeCell ref="D29:E29"/>
    <mergeCell ref="D23:E23"/>
    <mergeCell ref="L80:M80"/>
    <mergeCell ref="A93:B93"/>
    <mergeCell ref="N80:O80"/>
    <mergeCell ref="N55:O55"/>
    <mergeCell ref="K5:K6"/>
    <mergeCell ref="P66:V66"/>
    <mergeCell ref="F87:G87"/>
    <mergeCell ref="P137:V137"/>
    <mergeCell ref="P144:Q144"/>
    <mergeCell ref="P53:V53"/>
    <mergeCell ref="P68:V68"/>
    <mergeCell ref="F89:G89"/>
    <mergeCell ref="A2:C2"/>
    <mergeCell ref="D105:E105"/>
    <mergeCell ref="P132:V132"/>
    <mergeCell ref="D49:E49"/>
    <mergeCell ref="D120:E120"/>
    <mergeCell ref="A75:B75"/>
    <mergeCell ref="L33:M33"/>
    <mergeCell ref="D107:E107"/>
    <mergeCell ref="N33:O33"/>
    <mergeCell ref="N58:O58"/>
    <mergeCell ref="F36:G36"/>
    <mergeCell ref="F101:G101"/>
    <mergeCell ref="L35:M35"/>
    <mergeCell ref="A104:B104"/>
    <mergeCell ref="F100:G100"/>
    <mergeCell ref="F115:G115"/>
    <mergeCell ref="D102:E102"/>
    <mergeCell ref="P21:V21"/>
    <mergeCell ref="P81:V81"/>
    <mergeCell ref="F102:G102"/>
    <mergeCell ref="A106:B106"/>
    <mergeCell ref="D25:E25"/>
    <mergeCell ref="F77:G77"/>
    <mergeCell ref="A43:B43"/>
    <mergeCell ref="P23:V23"/>
    <mergeCell ref="A142:O142"/>
    <mergeCell ref="D133:E133"/>
    <mergeCell ref="D54:E54"/>
    <mergeCell ref="T5:T6"/>
    <mergeCell ref="P160:V160"/>
    <mergeCell ref="P16:V16"/>
    <mergeCell ref="V5:V6"/>
    <mergeCell ref="L86:M86"/>
    <mergeCell ref="A130:B130"/>
    <mergeCell ref="N86:O86"/>
    <mergeCell ref="P122:V122"/>
    <mergeCell ref="S1:U2"/>
    <mergeCell ref="F12:F13"/>
    <mergeCell ref="P43:V43"/>
    <mergeCell ref="L101:M101"/>
    <mergeCell ref="P18:V18"/>
    <mergeCell ref="A132:B132"/>
    <mergeCell ref="F59:G59"/>
    <mergeCell ref="D95:E95"/>
    <mergeCell ref="K153:O153"/>
    <mergeCell ref="N21:O21"/>
    <mergeCell ref="F24:G24"/>
    <mergeCell ref="P74:V74"/>
    <mergeCell ref="A25:B25"/>
    <mergeCell ref="F95:G95"/>
    <mergeCell ref="S11:T11"/>
    <mergeCell ref="U11:V11"/>
    <mergeCell ref="N81:O81"/>
    <mergeCell ref="D57:E57"/>
    <mergeCell ref="F113:G113"/>
    <mergeCell ref="D32:E32"/>
    <mergeCell ref="H7:H8"/>
    <mergeCell ref="F32:G32"/>
    <mergeCell ref="L23:M23"/>
    <mergeCell ref="J7:J8"/>
    <mergeCell ref="N23:O23"/>
    <mergeCell ref="I9:I11"/>
    <mergeCell ref="P76:V76"/>
    <mergeCell ref="F97:G97"/>
    <mergeCell ref="P145:Q145"/>
    <mergeCell ref="K149:L149"/>
    <mergeCell ref="F26:G26"/>
    <mergeCell ref="D97:E97"/>
    <mergeCell ref="M9:N10"/>
    <mergeCell ref="L104:M104"/>
    <mergeCell ref="O9:P10"/>
    <mergeCell ref="P69:V69"/>
    <mergeCell ref="F90:G90"/>
    <mergeCell ref="P140:V140"/>
    <mergeCell ref="L54:M54"/>
    <mergeCell ref="L41:M41"/>
    <mergeCell ref="F27:G27"/>
    <mergeCell ref="D121:E121"/>
    <mergeCell ref="L56:M56"/>
    <mergeCell ref="A20:B20"/>
    <mergeCell ref="L34:M34"/>
    <mergeCell ref="A125:B125"/>
    <mergeCell ref="L105:M105"/>
    <mergeCell ref="N34:O34"/>
    <mergeCell ref="D42:E42"/>
    <mergeCell ref="L99:M99"/>
    <mergeCell ref="A112:B112"/>
    <mergeCell ref="N99:O99"/>
    <mergeCell ref="L49:M49"/>
    <mergeCell ref="D123:E123"/>
    <mergeCell ref="N74:O74"/>
    <mergeCell ref="N49:O49"/>
    <mergeCell ref="F123:G123"/>
    <mergeCell ref="L36:M36"/>
    <mergeCell ref="D110:E110"/>
    <mergeCell ref="M4:N4"/>
    <mergeCell ref="A114:B114"/>
    <mergeCell ref="F44:G44"/>
  </mergeCells>
  <dataValidations count="30">
    <dataValidation sqref="D64580:F64580 CS64553" showDropDown="0" showInputMessage="1" showErrorMessage="1" allowBlank="1" error="XLBVal:5=9175.87085811385_x000d__x000a_" type="textLength" errorStyle="information">
      <formula1>0</formula1>
      <formula2>300</formula2>
    </dataValidation>
    <dataValidation sqref="D64592:F64592 CS64565" showDropDown="0" showInputMessage="1" showErrorMessage="1" allowBlank="1" error="XLBVal:5=1971.66180968562_x000d__x000a_" type="textLength" errorStyle="information">
      <formula1>0</formula1>
      <formula2>300</formula2>
    </dataValidation>
    <dataValidation sqref="D64588:F64588 CS64561" showDropDown="0" showInputMessage="1" showErrorMessage="1" allowBlank="1" error="XLBVal:5=654.21_x000d__x000a_" type="textLength" errorStyle="information">
      <formula1>0</formula1>
      <formula2>300</formula2>
    </dataValidation>
    <dataValidation sqref="D64597:F64597 CS64570" showDropDown="0" showInputMessage="1" showErrorMessage="1" allowBlank="1" error="XLBVal:5=3831.77570093458_x000d__x000a_" type="textLength" errorStyle="information">
      <formula1>0</formula1>
      <formula2>300</formula2>
    </dataValidation>
    <dataValidation sqref="D64593:F64593 CS64566" showDropDown="0" showInputMessage="1" showErrorMessage="1" allowBlank="1" error="XLBVal:5=969_x000d__x000a_" type="textLength" errorStyle="information">
      <formula1>0</formula1>
      <formula2>300</formula2>
    </dataValidation>
    <dataValidation sqref="D64590:F64590 CS64563" showDropDown="0" showInputMessage="1" showErrorMessage="1" allowBlank="1" error="XLBVal:5=29778.32_x000d__x000a_" type="textLength" errorStyle="information">
      <formula1>0</formula1>
      <formula2>300</formula2>
    </dataValidation>
    <dataValidation sqref="D64585:F64585 CS64558" showDropDown="0" showInputMessage="1" showErrorMessage="1" allowBlank="1" error="XLBVal:5=2730_x000d__x000a_" type="textLength" errorStyle="information">
      <formula1>0</formula1>
      <formula2>300</formula2>
    </dataValidation>
    <dataValidation sqref="D64582:F64582 CS64555" showDropDown="0" showInputMessage="1" showErrorMessage="1" allowBlank="1" error="XLBVal:5=140.186915887849_x000d__x000a_" type="textLength" errorStyle="information">
      <formula1>0</formula1>
      <formula2>300</formula2>
    </dataValidation>
    <dataValidation sqref="D64586:F64586 CS64559" showDropDown="0" showInputMessage="1" showErrorMessage="1" allowBlank="1" error="XLBVal:5=3495_x000d__x000a_" type="textLength" errorStyle="information">
      <formula1>0</formula1>
      <formula2>300</formula2>
    </dataValidation>
    <dataValidation sqref="D64581:F64581 CS64554" showDropDown="0" showInputMessage="1" showErrorMessage="1" allowBlank="1" error="XLBVal:5=76.46_x000d__x000a_" type="textLength" errorStyle="information">
      <formula1>0</formula1>
      <formula2>300</formula2>
    </dataValidation>
    <dataValidation sqref="D64579:F64579 D64583:F64584 D64587:F64587 D64589:F64589 D64594:F64596 P64579:Q64579 P64583:Q64584 P64587:Q64587 P64589:Q64589 P64592:Q64592 P64594:Q64595 CS64560" showDropDown="0" showInputMessage="1" showErrorMessage="1" allowBlank="1" error="XLBVal:2=0_x000d__x000a_" type="textLength" errorStyle="information">
      <formula1>0</formula1>
      <formula2>300</formula2>
    </dataValidation>
    <dataValidation sqref="P64596:Q64596 DA64569" showDropDown="0" showInputMessage="1" showErrorMessage="1" allowBlank="1" error="XLBVal:5=3124.44_x000d__x000a_" type="textLength" errorStyle="information">
      <formula1>0</formula1>
      <formula2>300</formula2>
    </dataValidation>
    <dataValidation sqref="P64588:Q64588 DA64561" showDropDown="0" showInputMessage="1" showErrorMessage="1" allowBlank="1" error="XLBVal:5=2947.48_x000d__x000a_" type="textLength" errorStyle="information">
      <formula1>0</formula1>
      <formula2>300</formula2>
    </dataValidation>
    <dataValidation sqref="P64590:Q64590 DA64563" showDropDown="0" showInputMessage="1" showErrorMessage="1" allowBlank="1" error="XLBVal:5=337579.47_x000d__x000a_" type="textLength" errorStyle="information">
      <formula1>0</formula1>
      <formula2>300</formula2>
    </dataValidation>
    <dataValidation sqref="P64597:Q64597 DA64570" showDropDown="0" showInputMessage="1" showErrorMessage="1" allowBlank="1" error="XLBVal:5=3041.07_x000d__x000a_" type="textLength" errorStyle="information">
      <formula1>0</formula1>
      <formula2>300</formula2>
    </dataValidation>
    <dataValidation sqref="P64593:Q64593 DA64566" showDropDown="0" showInputMessage="1" showErrorMessage="1" allowBlank="1" error="XLBVal:5=10387_x000d__x000a_" type="textLength" errorStyle="information">
      <formula1>0</formula1>
      <formula2>300</formula2>
    </dataValidation>
    <dataValidation sqref="P64586:Q64586 DA64559" showDropDown="0" showInputMessage="1" showErrorMessage="1" allowBlank="1" error="XLBVal:5=7600_x000d__x000a_" type="textLength" errorStyle="information">
      <formula1>0</formula1>
      <formula2>300</formula2>
    </dataValidation>
    <dataValidation sqref="P64585:Q64585 DA64558" showDropDown="0" showInputMessage="1" showErrorMessage="1" allowBlank="1" error="XLBVal:5=33859.1606542056_x000d__x000a_" type="textLength" errorStyle="information">
      <formula1>0</formula1>
      <formula2>300</formula2>
    </dataValidation>
    <dataValidation sqref="P64581:Q64581 DA64554" showDropDown="0" showInputMessage="1" showErrorMessage="1" allowBlank="1" error="XLBVal:5=108462.39_x000d__x000a_" type="textLength" errorStyle="information">
      <formula1>0</formula1>
      <formula2>300</formula2>
    </dataValidation>
    <dataValidation sqref="P64582:Q64582 DA64555" showDropDown="0" showInputMessage="1" showErrorMessage="1" allowBlank="1" error="XLBVal:5=1064.01962616822_x000d__x000a_" type="textLength" errorStyle="information">
      <formula1>0</formula1>
      <formula2>300</formula2>
    </dataValidation>
    <dataValidation sqref="CX64565" showDropDown="0" showInputMessage="1" showErrorMessage="1" allowBlank="1" error="XLBVal:5=16849.7162616821_x000d__x000a_" type="textLength" errorStyle="information">
      <formula1>0</formula1>
      <formula2>300</formula2>
    </dataValidation>
    <dataValidation sqref="CX64561" showDropDown="0" showInputMessage="1" showErrorMessage="1" allowBlank="1" error="XLBVal:5=116642.038971963_x000d__x000a_" type="textLength" errorStyle="information">
      <formula1>0</formula1>
      <formula2>300</formula2>
    </dataValidation>
    <dataValidation sqref="CX64563" showDropDown="0" showInputMessage="1" showErrorMessage="1" allowBlank="1" error="XLBVal:5=379048.61_x000d__x000a_" type="textLength" errorStyle="information">
      <formula1>0</formula1>
      <formula2>300</formula2>
    </dataValidation>
    <dataValidation sqref="CX64555" showDropDown="0" showInputMessage="1" showErrorMessage="1" allowBlank="1" error="XLBVal:5=1031.37196261682_x000d__x000a_" type="textLength" errorStyle="information">
      <formula1>0</formula1>
      <formula2>300</formula2>
    </dataValidation>
    <dataValidation sqref="CX64553" showDropDown="0" showInputMessage="1" showErrorMessage="1" allowBlank="1" error="XLBVal:5=57417.1622769754_x000d__x000a_" type="textLength" errorStyle="information">
      <formula1>0</formula1>
      <formula2>300</formula2>
    </dataValidation>
    <dataValidation sqref="CX64559" showDropDown="0" showInputMessage="1" showErrorMessage="1" allowBlank="1" error="XLBVal:5=78897.0664655905_x000d__x000a_" type="textLength" errorStyle="information">
      <formula1>0</formula1>
      <formula2>300</formula2>
    </dataValidation>
    <dataValidation sqref="CX64570" showDropDown="0" showInputMessage="1" showErrorMessage="1" allowBlank="1" error="XLBVal:5=812367.264112149_x000d__x000a_" type="textLength" errorStyle="information">
      <formula1>0</formula1>
      <formula2>300</formula2>
    </dataValidation>
    <dataValidation sqref="CX64566" showDropDown="0" showInputMessage="1" showErrorMessage="1" allowBlank="1" error="XLBVal:5=7558.54_x000d__x000a_" type="textLength" errorStyle="information">
      <formula1>0</formula1>
      <formula2>300</formula2>
    </dataValidation>
    <dataValidation sqref="CX64558" showDropDown="0" showInputMessage="1" showErrorMessage="1" allowBlank="1" error="XLBVal:5=33220_x000d__x000a_" type="textLength" errorStyle="information">
      <formula1>0</formula1>
      <formula2>300</formula2>
    </dataValidation>
    <dataValidation sqref="CX64554" showDropDown="0" showInputMessage="1" showErrorMessage="1" allowBlank="1" error="XLBVal:5=65552.82_x000d__x000a_" type="textLength" errorStyle="information">
      <formula1>0</formula1>
      <formula2>300</formula2>
    </dataValidation>
  </dataValidations>
  <printOptions horizontalCentered="1"/>
  <pageMargins left="0" right="0" top="0" bottom="0" header="0" footer="0"/>
  <pageSetup orientation="portrait" paperSize="9" scale="12" fitToHeight="0" horizontalDpi="300" verticalDpi="300"/>
  <rowBreaks count="3" manualBreakCount="3">
    <brk id="146" min="0" max="26" man="1"/>
    <brk id="443" min="0" max="26" man="1"/>
    <brk id="827" min="0" max="26" man="1"/>
  </rowBreaks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Duty Manager Avani+ Khao Lak</dc:creator>
  <dcterms:created xsi:type="dcterms:W3CDTF">2026-07-24T20:34:28Z</dcterms:created>
  <dcterms:modified xsi:type="dcterms:W3CDTF">2026-07-26T12:12:11Z</dcterms:modified>
  <cp:lastModifiedBy>Taweesak Jantasan</cp:lastModifiedBy>
</cp:coreProperties>
</file>