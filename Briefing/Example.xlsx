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tymanager.vkhl\Documents\ngt_VKHL\Briefing\"/>
    </mc:Choice>
  </mc:AlternateContent>
  <xr:revisionPtr revIDLastSave="0" documentId="8_{0715C1C1-D45D-4BAE-BF32-37063EEA031F}" xr6:coauthVersionLast="47" xr6:coauthVersionMax="47" xr10:uidLastSave="{00000000-0000-0000-0000-000000000000}"/>
  <bookViews>
    <workbookView xWindow="6810" yWindow="1470" windowWidth="15810" windowHeight="12720" xr2:uid="{2DF3D2F5-8207-4519-8927-FDA618172945}"/>
  </bookViews>
  <sheets>
    <sheet name="24.07.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" i="1" l="1"/>
  <c r="U8" i="1"/>
  <c r="S8" i="1"/>
  <c r="Q8" i="1"/>
  <c r="O8" i="1"/>
  <c r="M8" i="1"/>
  <c r="E8" i="1"/>
  <c r="U6" i="1"/>
  <c r="S6" i="1"/>
  <c r="Q6" i="1"/>
  <c r="O6" i="1"/>
  <c r="M6" i="1"/>
  <c r="E6" i="1"/>
  <c r="M4" i="1"/>
  <c r="O4" i="1" s="1"/>
  <c r="Q4" i="1" s="1"/>
  <c r="S4" i="1" s="1"/>
  <c r="U4" i="1" s="1"/>
</calcChain>
</file>

<file path=xl/sharedStrings.xml><?xml version="1.0" encoding="utf-8"?>
<sst xmlns="http://schemas.openxmlformats.org/spreadsheetml/2006/main" count="348" uniqueCount="220">
  <si>
    <r>
      <t xml:space="preserve">
</t>
    </r>
    <r>
      <rPr>
        <b/>
        <sz val="48"/>
        <rFont val="Arial"/>
        <family val="2"/>
      </rPr>
      <t>YTD GRI</t>
    </r>
    <r>
      <rPr>
        <b/>
        <sz val="30"/>
        <rFont val="Arial"/>
        <family val="2"/>
      </rPr>
      <t xml:space="preserve"> 
Goal 95.3 %
by 31 Dec. 2026</t>
    </r>
  </si>
  <si>
    <r>
      <t xml:space="preserve">
</t>
    </r>
    <r>
      <rPr>
        <b/>
        <sz val="48"/>
        <rFont val="Arial"/>
        <family val="2"/>
      </rPr>
      <t>YTD NPS</t>
    </r>
    <r>
      <rPr>
        <b/>
        <sz val="30"/>
        <rFont val="Arial"/>
        <family val="2"/>
      </rPr>
      <t xml:space="preserve">
Goal 71.9 %
by 31 Dec. 2026</t>
    </r>
  </si>
  <si>
    <r>
      <t xml:space="preserve">
</t>
    </r>
    <r>
      <rPr>
        <b/>
        <sz val="48"/>
        <rFont val="Arial"/>
        <family val="2"/>
      </rPr>
      <t>MTD GRI</t>
    </r>
    <r>
      <rPr>
        <b/>
        <sz val="30"/>
        <rFont val="Arial"/>
        <family val="2"/>
      </rPr>
      <t xml:space="preserve">
.
Goal 95.3 %
by 31 Dec. 2026</t>
    </r>
  </si>
  <si>
    <r>
      <t xml:space="preserve">
</t>
    </r>
    <r>
      <rPr>
        <b/>
        <sz val="48"/>
        <rFont val="Arial"/>
        <family val="2"/>
      </rPr>
      <t>MTD NPS</t>
    </r>
    <r>
      <rPr>
        <b/>
        <sz val="30"/>
        <rFont val="Arial"/>
        <family val="2"/>
      </rPr>
      <t xml:space="preserve">
Goal 71.9 %
by 31 Dec. 2026</t>
    </r>
  </si>
  <si>
    <t xml:space="preserve">
Enrollment Done: -
MTD = 371
Monthly Target = 680
YTD = 3,927</t>
  </si>
  <si>
    <r>
      <t xml:space="preserve">
</t>
    </r>
    <r>
      <rPr>
        <b/>
        <sz val="32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Hotel in Khao Lak 
(84 hotels)
Rank #5</t>
    </r>
    <r>
      <rPr>
        <b/>
        <sz val="32"/>
        <rFont val="Calibri"/>
        <family val="2"/>
        <scheme val="minor"/>
      </rPr>
      <t xml:space="preserve">
</t>
    </r>
    <r>
      <rPr>
        <b/>
        <sz val="30"/>
        <rFont val="Calibri"/>
        <family val="2"/>
        <scheme val="minor"/>
      </rPr>
      <t>Goal #</t>
    </r>
    <r>
      <rPr>
        <b/>
        <sz val="32"/>
        <rFont val="Calibri"/>
        <family val="2"/>
        <scheme val="minor"/>
      </rPr>
      <t>1</t>
    </r>
  </si>
  <si>
    <r>
      <rPr>
        <b/>
        <sz val="30"/>
        <color theme="1"/>
        <rFont val="Arial"/>
        <family val="2"/>
      </rPr>
      <t>Show Room</t>
    </r>
    <r>
      <rPr>
        <b/>
        <sz val="36"/>
        <color theme="1"/>
        <rFont val="Arial"/>
        <family val="2"/>
      </rPr>
      <t xml:space="preserve">
21, 22, 3101, 3203
</t>
    </r>
    <r>
      <rPr>
        <b/>
        <sz val="30"/>
        <color theme="1"/>
        <rFont val="Arial"/>
        <family val="2"/>
      </rPr>
      <t>Early Departure</t>
    </r>
    <r>
      <rPr>
        <b/>
        <sz val="36"/>
        <color theme="1"/>
        <rFont val="Arial"/>
        <family val="2"/>
      </rPr>
      <t xml:space="preserve">
-</t>
    </r>
  </si>
  <si>
    <t>Daily Briefing
Friday July 24, 2026</t>
  </si>
  <si>
    <t>Yesterday</t>
  </si>
  <si>
    <t>TODAY</t>
  </si>
  <si>
    <t>Next 5 days</t>
  </si>
  <si>
    <t>Details</t>
  </si>
  <si>
    <t>Actual MTD</t>
  </si>
  <si>
    <t>Target</t>
  </si>
  <si>
    <t>COMP.</t>
  </si>
  <si>
    <t>N/A</t>
  </si>
  <si>
    <t>ARR.</t>
  </si>
  <si>
    <t>Room 
Upselling</t>
  </si>
  <si>
    <t>-</t>
  </si>
  <si>
    <t>AVC</t>
  </si>
  <si>
    <t>HOU</t>
  </si>
  <si>
    <t>DEP.</t>
  </si>
  <si>
    <t>Late C/O</t>
  </si>
  <si>
    <t>No Show</t>
  </si>
  <si>
    <t>RM Occ.</t>
  </si>
  <si>
    <t>Excursion
Comm. target</t>
  </si>
  <si>
    <t>ADR</t>
  </si>
  <si>
    <t>Occ %</t>
  </si>
  <si>
    <t>OCC %</t>
  </si>
  <si>
    <t>65.23%</t>
  </si>
  <si>
    <t>83.38%</t>
  </si>
  <si>
    <t>67.69%</t>
  </si>
  <si>
    <t>88.61%</t>
  </si>
  <si>
    <t>66.46%</t>
  </si>
  <si>
    <t>Occ%</t>
  </si>
  <si>
    <t>Guest In 
House</t>
  </si>
  <si>
    <t>Gallery</t>
  </si>
  <si>
    <t>Guest of the Day</t>
  </si>
  <si>
    <t xml:space="preserve"> Name</t>
  </si>
  <si>
    <t>Country</t>
  </si>
  <si>
    <t>Room No.</t>
  </si>
  <si>
    <t>VIP</t>
  </si>
  <si>
    <t>Pax</t>
  </si>
  <si>
    <t xml:space="preserve">ARR </t>
  </si>
  <si>
    <t xml:space="preserve">DEP </t>
  </si>
  <si>
    <t>Flight</t>
  </si>
  <si>
    <t>ETA</t>
  </si>
  <si>
    <t>TRSF</t>
  </si>
  <si>
    <t>Remark</t>
  </si>
  <si>
    <t>Mr. Surapong Piyawatcharavijit</t>
  </si>
  <si>
    <t>TH</t>
  </si>
  <si>
    <t>2101
Domestic</t>
  </si>
  <si>
    <t>VIP2
SILVER</t>
  </si>
  <si>
    <t>2+2</t>
  </si>
  <si>
    <t>15:00</t>
  </si>
  <si>
    <t>OWN</t>
  </si>
  <si>
    <t>PAID (PG) RB/2A THB 2,390 net per night + 1 x CBF at THB 375 net/child/night- 1 CHD (Ages 7,5)- FOC 1 CHD</t>
  </si>
  <si>
    <t>VIP ARRIVAL</t>
  </si>
  <si>
    <t>Mr. Edmund Min Hai Tan</t>
  </si>
  <si>
    <t>SG</t>
  </si>
  <si>
    <t>0001</t>
  </si>
  <si>
    <t>VIP1</t>
  </si>
  <si>
    <t>4</t>
  </si>
  <si>
    <t>PAID RB//4A THB 32,500.00 net per night- Guest is VP, Head of Finance and Corporate Affairs, Accounting</t>
  </si>
  <si>
    <t>Mrs. Sally Pickstone</t>
  </si>
  <si>
    <t>GB</t>
  </si>
  <si>
    <t>0015
DOTW</t>
  </si>
  <si>
    <t>VIPS</t>
  </si>
  <si>
    <t>12:00</t>
  </si>
  <si>
    <t>COA (see trace) RB/2A2C THB 9,415 net per night-Chd a
- VIP guest from travel agent</t>
  </si>
  <si>
    <t>Mrs. Sirach Kheosopa</t>
  </si>
  <si>
    <t>0036</t>
  </si>
  <si>
    <t>VIPS
SILVER</t>
  </si>
  <si>
    <t>COMP RB/4A + 4 x FB with Beverages (Non-Alcoholic) + R/T TRSF + IVD + SPA **COMP FORM ATTD** 
- Blogger will arrive and depart by their own car- Company: “Chill Chill on the way” &amp; “Tiew Journey”- Note: Lifestyle blogger, coming 2 pages but stay same room, twin bed</t>
  </si>
  <si>
    <t>Ms. Emma Aubert</t>
  </si>
  <si>
    <t>CH</t>
  </si>
  <si>
    <t>0044
Travelbullz</t>
  </si>
  <si>
    <t>COA (see trace) RB/4A THB 9,764.94 net per night</t>
  </si>
  <si>
    <t>Ms. Angela Donnelly</t>
  </si>
  <si>
    <t>0074
MI Squared</t>
  </si>
  <si>
    <t>5</t>
  </si>
  <si>
    <t>CTC RO/5A **Billing to MI Squared Limited**</t>
  </si>
  <si>
    <t>Mrs. Waldorf-Löhr 5. Susanne</t>
  </si>
  <si>
    <t>DE</t>
  </si>
  <si>
    <t>1424</t>
  </si>
  <si>
    <t>TK0172
15.20</t>
  </si>
  <si>
    <t>16.50</t>
  </si>
  <si>
    <t>VNA</t>
  </si>
  <si>
    <t>MAST AC RB
POA 2,000 APT transfer per way per van
WTW Dariush Ansari &amp; Ilka Strenge</t>
  </si>
  <si>
    <t>Mr. Xu Deng</t>
  </si>
  <si>
    <t>CN</t>
  </si>
  <si>
    <t>1607</t>
  </si>
  <si>
    <t>VIPO
PLATINUM</t>
  </si>
  <si>
    <t>2+1</t>
  </si>
  <si>
    <t xml:space="preserve">CTC RO/2A1C **Billing to AVC**-1 child </t>
  </si>
  <si>
    <t>1608</t>
  </si>
  <si>
    <t>CTC RO/2A1C **Billing to AVC**-1 chil</t>
  </si>
  <si>
    <t>1621</t>
  </si>
  <si>
    <t>1</t>
  </si>
  <si>
    <t>POA RB/1A THB 2,000 net per night (Collect payment upon arrival)- Guest is driver of Mr. Edmund Min Hai T</t>
  </si>
  <si>
    <t>Mr. Daniel Steckel</t>
  </si>
  <si>
    <t>2111</t>
  </si>
  <si>
    <t>POA RB/2A THB 4,800 net/night/room + 1 x EXB CHD THB 750 net/child/night**Settle payment upon arrival***- Total THB 38,850 net
WTW Dariush Ansari &amp; Ilka Strenge</t>
  </si>
  <si>
    <t>Ms. Chorchat Sangiempong</t>
  </si>
  <si>
    <t>2414</t>
  </si>
  <si>
    <t>2</t>
  </si>
  <si>
    <t>COMP RB/2A *COMP FORM ATTD*-Guest is Director of Fun &amp; Sun Thailand-Remark: Hotel inspection upon arrival (Arrival Time: 13.00 hrs.)</t>
  </si>
  <si>
    <t>Mr. Aleksei Zubenko</t>
  </si>
  <si>
    <t>RU</t>
  </si>
  <si>
    <t>2609
BG Asia</t>
  </si>
  <si>
    <t>PAID RB/2A THB 2,700 net per night + 2 x ADL FB (3 courses) THB 1,700 net per person per day**TOTAL THB 54,900 net**</t>
  </si>
  <si>
    <t>Mr. Akkachai Sittibush</t>
  </si>
  <si>
    <t>3105</t>
  </si>
  <si>
    <t>–</t>
  </si>
  <si>
    <t>3</t>
  </si>
  <si>
    <t>POA RB/3A THB 6,032.01+++ per night (total 7,160 THB)</t>
  </si>
  <si>
    <t>Mr. Aleksander Hojgaard</t>
  </si>
  <si>
    <t>DK</t>
  </si>
  <si>
    <t>3212</t>
  </si>
  <si>
    <t>SL750
08.10</t>
  </si>
  <si>
    <t>09.40</t>
  </si>
  <si>
    <t>Paid RB/2A THB 2,021.90+++per night (THB 2,400 net)- Guest Is Director of Talent Acquisition - Minor Hotels</t>
  </si>
  <si>
    <t>Mrs. Napatsakorn Saetun</t>
  </si>
  <si>
    <t>3601</t>
  </si>
  <si>
    <t>VIPS
PLATINUM</t>
  </si>
  <si>
    <t>PAID (PG) RB/2A THB 2,750 net per night
- Repeat Guest -12th Visit 
Consecutive bookings (same room):
1.) 843923125: 24-26/07/26
2.) 843923608: 26-27/07/26</t>
  </si>
  <si>
    <t>APOLLO 1</t>
  </si>
  <si>
    <t>Mr. Matthew Peter Cleave</t>
  </si>
  <si>
    <t>0029</t>
  </si>
  <si>
    <t>VIP2
TITANIUM</t>
  </si>
  <si>
    <t>11:00</t>
  </si>
  <si>
    <t>POA RB/1A THB 2,444+++ per night **TOTAL THB 5,800 net**- FOC UPG Deluxe to Deluxe Pool Access for GHA TITANIUM MEMBER
- Extend stay BK #850633452: 26/07-09/08/26 (Same room)</t>
  </si>
  <si>
    <t>VIP DEPARTURE</t>
  </si>
  <si>
    <t>ETD</t>
  </si>
  <si>
    <t>Mrs. Niranjani Kulaveerasingam</t>
  </si>
  <si>
    <t>MY</t>
  </si>
  <si>
    <t>0064</t>
  </si>
  <si>
    <t>MH795
14.05</t>
  </si>
  <si>
    <t>10.15</t>
  </si>
  <si>
    <t>CRA</t>
  </si>
  <si>
    <t>CTC RO/2A + 2 x ABF at THB 570 net/pax/nt + 2 x HB ADT (3-course) THB 950 net/pax/nt + R/T APT TRSF by Toyota Camry at THB 3,100 
net/car/way **Billing to AVC**</t>
  </si>
  <si>
    <t>Mr. Sze Kit Ken Chan</t>
  </si>
  <si>
    <t>HK</t>
  </si>
  <si>
    <t>0072</t>
  </si>
  <si>
    <t>3+1</t>
  </si>
  <si>
    <t>12.00</t>
  </si>
  <si>
    <t>CTC RO/3A1C + 3 x ABF at THB 570 net/pax/nt + 1 x CBF at THB 285 net/child/nt **Billing to AVC** - 1 child (a</t>
  </si>
  <si>
    <t>Mr. Oleg Kulikov</t>
  </si>
  <si>
    <t>1419
BG Asia</t>
  </si>
  <si>
    <t>COMP RB/2A1C**COMP FORM ATTACH***
- FOC CHD age 3 yrs old</t>
  </si>
  <si>
    <t>Mrs. Aiping Deng</t>
  </si>
  <si>
    <t>1605</t>
  </si>
  <si>
    <t>VIPO
DIAMOND</t>
  </si>
  <si>
    <t>9C872
22.40</t>
  </si>
  <si>
    <t>19.30</t>
  </si>
  <si>
    <t>CRB</t>
  </si>
  <si>
    <t>CTC RO/2A + 1 x ABF at THB 570 nt/pax/nt + 1 x HB ADT (3-course) at THB 950 net/pax/nt + R/T APT TRSF by Toyota Camry at THB 3,100 
net/car/way**Billing to AVC**</t>
  </si>
  <si>
    <t>Priority Guest (Handicap In House)</t>
  </si>
  <si>
    <t>Mr. Matthias Poeschel</t>
  </si>
  <si>
    <t>0012
DERTOUR</t>
  </si>
  <si>
    <t>VIP2</t>
  </si>
  <si>
    <t>CTC RB/3A1C THB 9,576 net per night **COL VCH**- Guest will bring their own wheelchair- 1CHD
- Mr. Karl Richard is sitting in a wheelchair</t>
  </si>
  <si>
    <t>Guest's Birthday</t>
  </si>
  <si>
    <t>Name</t>
  </si>
  <si>
    <t>Room Number</t>
  </si>
  <si>
    <t>Mrs. Bee Tang</t>
  </si>
  <si>
    <t>Mr. Nipoon Sintoowong</t>
  </si>
  <si>
    <t>INSPECTION</t>
  </si>
  <si>
    <t xml:space="preserve">Company </t>
  </si>
  <si>
    <t>Time</t>
  </si>
  <si>
    <t>Contact Person</t>
  </si>
  <si>
    <t>Khun Chorchat Sangiempong, Director of Fun &amp; Sun Thailand</t>
  </si>
  <si>
    <t>Director of Fun &amp; Sun Thailand</t>
  </si>
  <si>
    <t>2 Pax</t>
  </si>
  <si>
    <t>13.00 hrs.</t>
  </si>
  <si>
    <t>Site Inspection</t>
  </si>
  <si>
    <t>K. Pay</t>
  </si>
  <si>
    <t>GROUP</t>
  </si>
  <si>
    <t>Group Name</t>
  </si>
  <si>
    <t>Period of stay</t>
  </si>
  <si>
    <t>Rooms</t>
  </si>
  <si>
    <t>Event</t>
  </si>
  <si>
    <t>Allied Function at Laguna Phuket G5</t>
  </si>
  <si>
    <t>24-25 Jul 26</t>
  </si>
  <si>
    <t>Corporate Events</t>
  </si>
  <si>
    <t>K. Rahul, K. Son</t>
  </si>
  <si>
    <t>Outlet</t>
  </si>
  <si>
    <t>Special</t>
  </si>
  <si>
    <t>Elements</t>
  </si>
  <si>
    <t>Opening from 06.30 - 10.30 for breakfast</t>
  </si>
  <si>
    <t xml:space="preserve">Burger N' Wing </t>
  </si>
  <si>
    <t>Opening from 12.00 - 20.00</t>
  </si>
  <si>
    <t>Opening from 18.00 - 22.00 for dinner (only Friday to Sunday)</t>
  </si>
  <si>
    <t>Coco Fire</t>
  </si>
  <si>
    <t>The Pantry</t>
  </si>
  <si>
    <t>Opening from 07.00 - 19.00</t>
  </si>
  <si>
    <t>Mizu Bar</t>
  </si>
  <si>
    <t>Mi Scusi</t>
  </si>
  <si>
    <t>Monday to Thursday 11.00 - 21.00 | Friday to Sunday 11.00 - 18.00</t>
  </si>
  <si>
    <t>AvaniSpa</t>
  </si>
  <si>
    <t>Opening from 09.00 - 21.00</t>
  </si>
  <si>
    <t>Scoop It</t>
  </si>
  <si>
    <t>Closed</t>
  </si>
  <si>
    <t>Mini Golf</t>
  </si>
  <si>
    <t>Opening from 09.00 - 20.00</t>
  </si>
  <si>
    <t>The Beach House</t>
  </si>
  <si>
    <t>Opening from 11.00 - 22.30</t>
  </si>
  <si>
    <t>AvaniKids</t>
  </si>
  <si>
    <t>The Beach Bar</t>
  </si>
  <si>
    <t>Opening from 11.00 - 23.30</t>
  </si>
  <si>
    <t>Tennis Court</t>
  </si>
  <si>
    <t>Opening from 06.00 - 22.00</t>
  </si>
  <si>
    <t>Room Available for Upsell</t>
  </si>
  <si>
    <t>Available unit</t>
  </si>
  <si>
    <t>Suite</t>
  </si>
  <si>
    <t>20, 21, 22, 24, 27, 28, 55, 57</t>
  </si>
  <si>
    <t>Pool Access</t>
  </si>
  <si>
    <t>2102, 2103, 2104, 2105, 2106, 2107, 2109, 2113, 3101, 3106, 3110</t>
  </si>
  <si>
    <t>ReviewPro</t>
  </si>
  <si>
    <t>ReviewPro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</si>
</sst>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48"/>
      <name val="Arial"/>
      <family val="2"/>
    </font>
    <font>
      <b/>
      <sz val="30"/>
      <name val="Arial"/>
      <family val="2"/>
    </font>
    <font>
      <b/>
      <sz val="32"/>
      <name val="Arial"/>
      <family val="2"/>
    </font>
    <font>
      <b/>
      <sz val="32"/>
      <name val="Calibri"/>
      <family val="2"/>
      <scheme val="minor"/>
    </font>
    <font>
      <b/>
      <sz val="30"/>
      <name val="Calibri"/>
      <family val="2"/>
      <scheme val="minor"/>
    </font>
    <font>
      <b/>
      <sz val="36"/>
      <color theme="1"/>
      <name val="Arial"/>
      <family val="2"/>
    </font>
    <font>
      <b/>
      <sz val="30"/>
      <color theme="1"/>
      <name val="Arial"/>
      <family val="2"/>
    </font>
    <font>
      <b/>
      <sz val="30"/>
      <color theme="1"/>
      <name val="Calibri"/>
      <family val="2"/>
      <scheme val="minor"/>
    </font>
    <font>
      <b/>
      <sz val="30"/>
      <color indexed="8"/>
      <name val="Arial"/>
      <family val="2"/>
    </font>
    <font>
      <sz val="30"/>
      <color indexed="8"/>
      <name val="Arial"/>
      <family val="2"/>
    </font>
    <font>
      <sz val="30"/>
      <name val="Arial"/>
      <family val="2"/>
    </font>
    <font>
      <b/>
      <sz val="30"/>
      <color rgb="FFFF0000"/>
      <name val="Arial"/>
      <family val="2"/>
    </font>
    <font>
      <sz val="30"/>
      <color rgb="FF000000"/>
      <name val="Arial"/>
      <family val="2"/>
    </font>
    <font>
      <sz val="11"/>
      <color indexed="8"/>
      <name val="Calibri"/>
      <family val="2"/>
    </font>
    <font>
      <sz val="28"/>
      <color rgb="FF000000"/>
      <name val="Arial"/>
      <family val="2"/>
    </font>
    <font>
      <b/>
      <sz val="30"/>
      <color rgb="FF000000"/>
      <name val="Arial"/>
      <family val="2"/>
    </font>
    <font>
      <sz val="30"/>
      <color theme="1"/>
      <name val="Calibri"/>
      <family val="2"/>
      <scheme val="minor"/>
    </font>
    <font>
      <b/>
      <sz val="34"/>
      <color indexed="8"/>
      <name val="Arial"/>
      <family val="2"/>
    </font>
    <font>
      <b/>
      <sz val="34"/>
      <color theme="9" tint="-0.249977111117893"/>
      <name val="Arial"/>
      <family val="2"/>
    </font>
    <font>
      <b/>
      <sz val="34"/>
      <name val="Arial"/>
      <family val="2"/>
    </font>
    <font>
      <b/>
      <sz val="34"/>
      <color rgb="FF0070C0"/>
      <name val="Arial"/>
      <family val="2"/>
    </font>
    <font>
      <b/>
      <sz val="34"/>
      <color rgb="FF339966"/>
      <name val="Arial"/>
      <family val="2"/>
    </font>
    <font>
      <b/>
      <sz val="34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9999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0" borderId="0"/>
    <xf numFmtId="43" fontId="16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15" fontId="3" fillId="3" borderId="1" xfId="1" applyNumberFormat="1" applyFont="1" applyFill="1" applyBorder="1" applyAlignment="1">
      <alignment horizontal="center" vertical="center" wrapText="1"/>
    </xf>
    <xf numFmtId="15" fontId="3" fillId="3" borderId="2" xfId="1" applyNumberFormat="1" applyFont="1" applyFill="1" applyBorder="1" applyAlignment="1">
      <alignment horizontal="center" vertical="center" wrapText="1"/>
    </xf>
    <xf numFmtId="15" fontId="3" fillId="3" borderId="3" xfId="1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top" wrapText="1"/>
    </xf>
    <xf numFmtId="0" fontId="4" fillId="0" borderId="2" xfId="2" applyFont="1" applyBorder="1" applyAlignment="1">
      <alignment horizontal="center" vertical="top" wrapText="1"/>
    </xf>
    <xf numFmtId="0" fontId="4" fillId="0" borderId="3" xfId="2" applyFont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top" wrapText="1"/>
    </xf>
    <xf numFmtId="0" fontId="5" fillId="0" borderId="3" xfId="2" applyFont="1" applyBorder="1" applyAlignment="1">
      <alignment horizontal="center" vertical="top" wrapText="1"/>
    </xf>
    <xf numFmtId="49" fontId="8" fillId="3" borderId="4" xfId="2" applyNumberFormat="1" applyFont="1" applyFill="1" applyBorder="1" applyAlignment="1">
      <alignment horizontal="center" vertical="center" wrapText="1"/>
    </xf>
    <xf numFmtId="0" fontId="1" fillId="0" borderId="0" xfId="2"/>
    <xf numFmtId="15" fontId="3" fillId="0" borderId="5" xfId="1" applyNumberFormat="1" applyFont="1" applyFill="1" applyBorder="1" applyAlignment="1">
      <alignment horizontal="center" vertical="center" wrapText="1"/>
    </xf>
    <xf numFmtId="15" fontId="3" fillId="0" borderId="6" xfId="1" applyNumberFormat="1" applyFont="1" applyFill="1" applyBorder="1" applyAlignment="1">
      <alignment horizontal="center" vertical="center" wrapText="1"/>
    </xf>
    <xf numFmtId="15" fontId="3" fillId="0" borderId="7" xfId="1" applyNumberFormat="1" applyFont="1" applyFill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top" wrapText="1"/>
    </xf>
    <xf numFmtId="0" fontId="4" fillId="0" borderId="6" xfId="2" applyFont="1" applyBorder="1" applyAlignment="1">
      <alignment horizontal="center" vertical="top" wrapText="1"/>
    </xf>
    <xf numFmtId="0" fontId="4" fillId="0" borderId="7" xfId="2" applyFont="1" applyBorder="1" applyAlignment="1">
      <alignment horizontal="center" vertical="top" wrapText="1"/>
    </xf>
    <xf numFmtId="0" fontId="5" fillId="0" borderId="5" xfId="2" applyFont="1" applyBorder="1" applyAlignment="1">
      <alignment horizontal="center" vertical="top" wrapText="1"/>
    </xf>
    <xf numFmtId="0" fontId="5" fillId="0" borderId="6" xfId="2" applyFont="1" applyBorder="1" applyAlignment="1">
      <alignment horizontal="center" vertical="top" wrapText="1"/>
    </xf>
    <xf numFmtId="0" fontId="5" fillId="0" borderId="7" xfId="2" applyFont="1" applyBorder="1" applyAlignment="1">
      <alignment horizontal="center" vertical="top" wrapText="1"/>
    </xf>
    <xf numFmtId="49" fontId="8" fillId="3" borderId="8" xfId="2" applyNumberFormat="1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0" fontId="4" fillId="4" borderId="10" xfId="2" applyFont="1" applyFill="1" applyBorder="1" applyAlignment="1">
      <alignment horizontal="center" vertical="center" wrapText="1"/>
    </xf>
    <xf numFmtId="0" fontId="4" fillId="4" borderId="11" xfId="2" applyFont="1" applyFill="1" applyBorder="1" applyAlignment="1">
      <alignment horizontal="center" vertical="center" wrapText="1"/>
    </xf>
    <xf numFmtId="15" fontId="4" fillId="4" borderId="9" xfId="2" applyNumberFormat="1" applyFont="1" applyFill="1" applyBorder="1" applyAlignment="1">
      <alignment horizontal="center" vertical="center" wrapText="1"/>
    </xf>
    <xf numFmtId="15" fontId="4" fillId="4" borderId="10" xfId="2" applyNumberFormat="1" applyFont="1" applyFill="1" applyBorder="1" applyAlignment="1">
      <alignment horizontal="center" vertical="center" wrapText="1"/>
    </xf>
    <xf numFmtId="15" fontId="4" fillId="4" borderId="11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10" fillId="0" borderId="0" xfId="2" applyFont="1"/>
    <xf numFmtId="0" fontId="4" fillId="4" borderId="5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164" fontId="4" fillId="5" borderId="9" xfId="2" applyNumberFormat="1" applyFont="1" applyFill="1" applyBorder="1" applyAlignment="1">
      <alignment horizontal="center" vertical="center" wrapText="1"/>
    </xf>
    <xf numFmtId="164" fontId="4" fillId="5" borderId="10" xfId="2" applyNumberFormat="1" applyFont="1" applyFill="1" applyBorder="1" applyAlignment="1">
      <alignment horizontal="center" vertical="center" wrapText="1"/>
    </xf>
    <xf numFmtId="164" fontId="4" fillId="5" borderId="11" xfId="2" applyNumberFormat="1" applyFont="1" applyFill="1" applyBorder="1" applyAlignment="1">
      <alignment horizontal="center" vertical="center" wrapText="1"/>
    </xf>
    <xf numFmtId="15" fontId="4" fillId="5" borderId="12" xfId="2" applyNumberFormat="1" applyFont="1" applyFill="1" applyBorder="1" applyAlignment="1">
      <alignment horizontal="center" vertical="center" wrapText="1"/>
    </xf>
    <xf numFmtId="164" fontId="4" fillId="5" borderId="9" xfId="2" applyNumberFormat="1" applyFont="1" applyFill="1" applyBorder="1" applyAlignment="1">
      <alignment vertical="center" wrapText="1"/>
    </xf>
    <xf numFmtId="164" fontId="4" fillId="5" borderId="4" xfId="2" applyNumberFormat="1" applyFont="1" applyFill="1" applyBorder="1" applyAlignment="1">
      <alignment horizontal="center" vertical="center" wrapText="1"/>
    </xf>
    <xf numFmtId="164" fontId="4" fillId="5" borderId="1" xfId="2" applyNumberFormat="1" applyFont="1" applyFill="1" applyBorder="1" applyAlignment="1">
      <alignment horizontal="center" vertical="center" wrapText="1"/>
    </xf>
    <xf numFmtId="164" fontId="4" fillId="5" borderId="3" xfId="2" applyNumberFormat="1" applyFont="1" applyFill="1" applyBorder="1" applyAlignment="1">
      <alignment horizontal="center" vertical="center" wrapText="1"/>
    </xf>
    <xf numFmtId="0" fontId="11" fillId="5" borderId="4" xfId="2" applyFont="1" applyFill="1" applyBorder="1" applyAlignment="1">
      <alignment horizontal="center" vertical="center" wrapText="1"/>
    </xf>
    <xf numFmtId="3" fontId="12" fillId="3" borderId="1" xfId="2" quotePrefix="1" applyNumberFormat="1" applyFont="1" applyFill="1" applyBorder="1" applyAlignment="1">
      <alignment horizontal="center" vertical="center" wrapText="1"/>
    </xf>
    <xf numFmtId="3" fontId="12" fillId="3" borderId="3" xfId="2" quotePrefix="1" applyNumberFormat="1" applyFont="1" applyFill="1" applyBorder="1" applyAlignment="1">
      <alignment horizontal="center" vertical="center" wrapText="1"/>
    </xf>
    <xf numFmtId="0" fontId="11" fillId="5" borderId="9" xfId="2" applyFont="1" applyFill="1" applyBorder="1" applyAlignment="1">
      <alignment horizontal="center" vertical="center" wrapText="1"/>
    </xf>
    <xf numFmtId="3" fontId="12" fillId="3" borderId="12" xfId="2" quotePrefix="1" applyNumberFormat="1" applyFont="1" applyFill="1" applyBorder="1" applyAlignment="1">
      <alignment horizontal="center" vertical="center" wrapText="1"/>
    </xf>
    <xf numFmtId="4" fontId="13" fillId="0" borderId="4" xfId="2" applyNumberFormat="1" applyFont="1" applyBorder="1" applyAlignment="1">
      <alignment horizontal="center" vertical="center" wrapText="1"/>
    </xf>
    <xf numFmtId="4" fontId="14" fillId="0" borderId="4" xfId="0" applyNumberFormat="1" applyFont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 wrapText="1"/>
    </xf>
    <xf numFmtId="0" fontId="15" fillId="0" borderId="12" xfId="2" applyFont="1" applyBorder="1" applyAlignment="1">
      <alignment horizontal="center" vertical="center" wrapText="1"/>
    </xf>
    <xf numFmtId="0" fontId="11" fillId="5" borderId="8" xfId="2" applyFont="1" applyFill="1" applyBorder="1" applyAlignment="1">
      <alignment horizontal="center" vertical="center" wrapText="1"/>
    </xf>
    <xf numFmtId="3" fontId="12" fillId="3" borderId="5" xfId="2" quotePrefix="1" applyNumberFormat="1" applyFont="1" applyFill="1" applyBorder="1" applyAlignment="1">
      <alignment horizontal="center" vertical="center" wrapText="1"/>
    </xf>
    <xf numFmtId="3" fontId="12" fillId="3" borderId="7" xfId="2" quotePrefix="1" applyNumberFormat="1" applyFont="1" applyFill="1" applyBorder="1" applyAlignment="1">
      <alignment horizontal="center" vertical="center" wrapText="1"/>
    </xf>
    <xf numFmtId="4" fontId="13" fillId="0" borderId="8" xfId="2" applyNumberFormat="1" applyFont="1" applyBorder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3" fontId="11" fillId="5" borderId="4" xfId="2" applyNumberFormat="1" applyFont="1" applyFill="1" applyBorder="1" applyAlignment="1">
      <alignment horizontal="center" vertical="center" wrapText="1"/>
    </xf>
    <xf numFmtId="3" fontId="12" fillId="3" borderId="2" xfId="2" quotePrefix="1" applyNumberFormat="1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3" fontId="11" fillId="5" borderId="8" xfId="2" applyNumberFormat="1" applyFont="1" applyFill="1" applyBorder="1" applyAlignment="1">
      <alignment horizontal="center" vertical="center" wrapText="1"/>
    </xf>
    <xf numFmtId="3" fontId="12" fillId="3" borderId="6" xfId="2" quotePrefix="1" applyNumberFormat="1" applyFont="1" applyFill="1" applyBorder="1" applyAlignment="1">
      <alignment horizontal="center" vertical="center" wrapText="1"/>
    </xf>
    <xf numFmtId="0" fontId="11" fillId="5" borderId="13" xfId="2" applyFont="1" applyFill="1" applyBorder="1" applyAlignment="1">
      <alignment horizontal="center" vertical="center" wrapText="1"/>
    </xf>
    <xf numFmtId="4" fontId="13" fillId="0" borderId="13" xfId="2" applyNumberFormat="1" applyFont="1" applyBorder="1" applyAlignment="1">
      <alignment horizontal="center" vertical="center" wrapText="1"/>
    </xf>
    <xf numFmtId="4" fontId="14" fillId="0" borderId="13" xfId="0" applyNumberFormat="1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center" vertical="center" wrapText="1"/>
    </xf>
    <xf numFmtId="0" fontId="11" fillId="5" borderId="12" xfId="2" applyFont="1" applyFill="1" applyBorder="1" applyAlignment="1">
      <alignment horizontal="center" vertical="center" wrapText="1"/>
    </xf>
    <xf numFmtId="4" fontId="12" fillId="3" borderId="9" xfId="2" quotePrefix="1" applyNumberFormat="1" applyFont="1" applyFill="1" applyBorder="1" applyAlignment="1">
      <alignment horizontal="center" vertical="center" wrapText="1"/>
    </xf>
    <xf numFmtId="4" fontId="12" fillId="3" borderId="11" xfId="2" quotePrefix="1" applyNumberFormat="1" applyFont="1" applyFill="1" applyBorder="1" applyAlignment="1">
      <alignment horizontal="center" vertical="center" wrapText="1"/>
    </xf>
    <xf numFmtId="10" fontId="11" fillId="5" borderId="12" xfId="2" applyNumberFormat="1" applyFont="1" applyFill="1" applyBorder="1" applyAlignment="1">
      <alignment horizontal="center" vertical="center" wrapText="1"/>
    </xf>
    <xf numFmtId="10" fontId="15" fillId="3" borderId="9" xfId="2" applyNumberFormat="1" applyFont="1" applyFill="1" applyBorder="1" applyAlignment="1">
      <alignment horizontal="center" vertical="center" wrapText="1"/>
    </xf>
    <xf numFmtId="10" fontId="15" fillId="3" borderId="10" xfId="2" applyNumberFormat="1" applyFont="1" applyFill="1" applyBorder="1" applyAlignment="1">
      <alignment horizontal="center" vertical="center" wrapText="1"/>
    </xf>
    <xf numFmtId="10" fontId="15" fillId="3" borderId="11" xfId="2" applyNumberFormat="1" applyFont="1" applyFill="1" applyBorder="1" applyAlignment="1">
      <alignment horizontal="center" vertical="center" wrapText="1"/>
    </xf>
    <xf numFmtId="10" fontId="11" fillId="5" borderId="9" xfId="2" applyNumberFormat="1" applyFont="1" applyFill="1" applyBorder="1" applyAlignment="1">
      <alignment horizontal="center" vertical="center" wrapText="1"/>
    </xf>
    <xf numFmtId="10" fontId="15" fillId="0" borderId="9" xfId="2" applyNumberFormat="1" applyFont="1" applyBorder="1" applyAlignment="1">
      <alignment horizontal="center" vertical="center" wrapText="1"/>
    </xf>
    <xf numFmtId="10" fontId="15" fillId="0" borderId="11" xfId="2" applyNumberFormat="1" applyFont="1" applyBorder="1" applyAlignment="1">
      <alignment horizontal="center" vertical="center" wrapText="1"/>
    </xf>
    <xf numFmtId="10" fontId="12" fillId="3" borderId="1" xfId="2" quotePrefix="1" applyNumberFormat="1" applyFont="1" applyFill="1" applyBorder="1" applyAlignment="1">
      <alignment horizontal="center" vertical="center" wrapText="1"/>
    </xf>
    <xf numFmtId="10" fontId="12" fillId="3" borderId="3" xfId="2" quotePrefix="1" applyNumberFormat="1" applyFont="1" applyFill="1" applyBorder="1" applyAlignment="1">
      <alignment horizontal="center" vertical="center" wrapText="1"/>
    </xf>
    <xf numFmtId="10" fontId="11" fillId="5" borderId="4" xfId="2" applyNumberFormat="1" applyFont="1" applyFill="1" applyBorder="1" applyAlignment="1">
      <alignment horizontal="center" vertical="center" wrapText="1"/>
    </xf>
    <xf numFmtId="0" fontId="12" fillId="3" borderId="12" xfId="2" applyFont="1" applyFill="1" applyBorder="1" applyAlignment="1">
      <alignment horizontal="center" vertical="center" wrapText="1"/>
    </xf>
    <xf numFmtId="0" fontId="12" fillId="3" borderId="12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10" fontId="11" fillId="5" borderId="1" xfId="2" applyNumberFormat="1" applyFont="1" applyFill="1" applyBorder="1" applyAlignment="1">
      <alignment horizontal="center" vertical="center" wrapText="1"/>
    </xf>
    <xf numFmtId="10" fontId="12" fillId="3" borderId="5" xfId="2" quotePrefix="1" applyNumberFormat="1" applyFont="1" applyFill="1" applyBorder="1" applyAlignment="1">
      <alignment horizontal="center" vertical="center" wrapText="1"/>
    </xf>
    <xf numFmtId="10" fontId="12" fillId="3" borderId="7" xfId="2" quotePrefix="1" applyNumberFormat="1" applyFont="1" applyFill="1" applyBorder="1" applyAlignment="1">
      <alignment horizontal="center" vertical="center" wrapText="1"/>
    </xf>
    <xf numFmtId="10" fontId="11" fillId="5" borderId="8" xfId="2" applyNumberFormat="1" applyFont="1" applyFill="1" applyBorder="1" applyAlignment="1">
      <alignment horizontal="center" vertical="center" wrapText="1"/>
    </xf>
    <xf numFmtId="0" fontId="12" fillId="3" borderId="8" xfId="2" applyFont="1" applyFill="1" applyBorder="1" applyAlignment="1">
      <alignment horizontal="center" vertical="center" wrapText="1"/>
    </xf>
    <xf numFmtId="10" fontId="11" fillId="5" borderId="14" xfId="2" applyNumberFormat="1" applyFont="1" applyFill="1" applyBorder="1" applyAlignment="1">
      <alignment horizontal="center" vertical="center" wrapText="1"/>
    </xf>
    <xf numFmtId="43" fontId="11" fillId="6" borderId="1" xfId="3" applyFont="1" applyFill="1" applyBorder="1" applyAlignment="1">
      <alignment horizontal="center" vertical="center" wrapText="1"/>
    </xf>
    <xf numFmtId="43" fontId="11" fillId="6" borderId="2" xfId="3" applyFont="1" applyFill="1" applyBorder="1" applyAlignment="1">
      <alignment horizontal="center" vertical="center" wrapText="1"/>
    </xf>
    <xf numFmtId="43" fontId="11" fillId="6" borderId="0" xfId="3" applyFont="1" applyFill="1" applyBorder="1" applyAlignment="1">
      <alignment horizontal="center" vertical="center" wrapText="1"/>
    </xf>
    <xf numFmtId="43" fontId="11" fillId="6" borderId="15" xfId="3" applyFont="1" applyFill="1" applyBorder="1" applyAlignment="1">
      <alignment horizontal="center" vertical="center" wrapText="1"/>
    </xf>
    <xf numFmtId="0" fontId="4" fillId="5" borderId="9" xfId="2" applyFont="1" applyFill="1" applyBorder="1" applyAlignment="1">
      <alignment horizontal="center" vertical="center" wrapText="1"/>
    </xf>
    <xf numFmtId="0" fontId="4" fillId="5" borderId="11" xfId="2" applyFont="1" applyFill="1" applyBorder="1" applyAlignment="1">
      <alignment horizontal="center" vertical="center" wrapText="1"/>
    </xf>
    <xf numFmtId="0" fontId="4" fillId="5" borderId="12" xfId="2" applyFont="1" applyFill="1" applyBorder="1" applyAlignment="1">
      <alignment horizontal="center" vertical="center" wrapText="1"/>
    </xf>
    <xf numFmtId="0" fontId="4" fillId="5" borderId="12" xfId="2" applyFont="1" applyFill="1" applyBorder="1" applyAlignment="1">
      <alignment horizontal="center" vertical="center" wrapText="1"/>
    </xf>
    <xf numFmtId="14" fontId="4" fillId="5" borderId="12" xfId="2" applyNumberFormat="1" applyFont="1" applyFill="1" applyBorder="1" applyAlignment="1">
      <alignment horizontal="center" vertical="center" wrapText="1"/>
    </xf>
    <xf numFmtId="0" fontId="4" fillId="5" borderId="10" xfId="2" applyFont="1" applyFill="1" applyBorder="1" applyAlignment="1">
      <alignment horizontal="center" vertical="center" wrapText="1"/>
    </xf>
    <xf numFmtId="0" fontId="15" fillId="7" borderId="9" xfId="2" applyFont="1" applyFill="1" applyBorder="1" applyAlignment="1">
      <alignment horizontal="left" vertical="center"/>
    </xf>
    <xf numFmtId="0" fontId="15" fillId="7" borderId="11" xfId="2" applyFont="1" applyFill="1" applyBorder="1" applyAlignment="1">
      <alignment vertical="center" wrapText="1" readingOrder="1"/>
    </xf>
    <xf numFmtId="4" fontId="15" fillId="7" borderId="12" xfId="2" quotePrefix="1" applyNumberFormat="1" applyFont="1" applyFill="1" applyBorder="1" applyAlignment="1">
      <alignment horizontal="center" vertical="center" wrapText="1" readingOrder="1"/>
    </xf>
    <xf numFmtId="0" fontId="15" fillId="8" borderId="9" xfId="2" quotePrefix="1" applyFont="1" applyFill="1" applyBorder="1" applyAlignment="1">
      <alignment horizontal="centerContinuous" vertical="center" wrapText="1" readingOrder="1"/>
    </xf>
    <xf numFmtId="0" fontId="15" fillId="8" borderId="11" xfId="2" quotePrefix="1" applyFont="1" applyFill="1" applyBorder="1" applyAlignment="1">
      <alignment horizontal="centerContinuous" vertical="center" wrapText="1" readingOrder="1"/>
    </xf>
    <xf numFmtId="0" fontId="17" fillId="8" borderId="9" xfId="2" quotePrefix="1" applyFont="1" applyFill="1" applyBorder="1" applyAlignment="1">
      <alignment horizontal="centerContinuous" vertical="center" wrapText="1" readingOrder="1"/>
    </xf>
    <xf numFmtId="0" fontId="17" fillId="8" borderId="11" xfId="2" quotePrefix="1" applyFont="1" applyFill="1" applyBorder="1" applyAlignment="1">
      <alignment horizontal="centerContinuous" vertical="center" wrapText="1" readingOrder="1"/>
    </xf>
    <xf numFmtId="0" fontId="15" fillId="7" borderId="12" xfId="2" quotePrefix="1" applyFont="1" applyFill="1" applyBorder="1" applyAlignment="1">
      <alignment horizontal="center" vertical="center" wrapText="1" readingOrder="1"/>
    </xf>
    <xf numFmtId="14" fontId="15" fillId="7" borderId="12" xfId="2" quotePrefix="1" applyNumberFormat="1" applyFont="1" applyFill="1" applyBorder="1" applyAlignment="1">
      <alignment horizontal="center" vertical="center" wrapText="1" readingOrder="1"/>
    </xf>
    <xf numFmtId="49" fontId="15" fillId="7" borderId="9" xfId="2" quotePrefix="1" applyNumberFormat="1" applyFont="1" applyFill="1" applyBorder="1" applyAlignment="1">
      <alignment horizontal="centerContinuous" vertical="center" wrapText="1" readingOrder="1"/>
    </xf>
    <xf numFmtId="20" fontId="15" fillId="7" borderId="11" xfId="2" quotePrefix="1" applyNumberFormat="1" applyFont="1" applyFill="1" applyBorder="1" applyAlignment="1">
      <alignment horizontal="centerContinuous" vertical="center" wrapText="1" readingOrder="1"/>
    </xf>
    <xf numFmtId="3" fontId="12" fillId="3" borderId="9" xfId="2" quotePrefix="1" applyNumberFormat="1" applyFont="1" applyFill="1" applyBorder="1" applyAlignment="1">
      <alignment horizontal="centerContinuous" vertical="center" wrapText="1"/>
    </xf>
    <xf numFmtId="3" fontId="12" fillId="3" borderId="11" xfId="2" quotePrefix="1" applyNumberFormat="1" applyFont="1" applyFill="1" applyBorder="1" applyAlignment="1">
      <alignment horizontal="centerContinuous" vertical="center" wrapText="1"/>
    </xf>
    <xf numFmtId="0" fontId="17" fillId="7" borderId="9" xfId="2" quotePrefix="1" applyFont="1" applyFill="1" applyBorder="1" applyAlignment="1">
      <alignment horizontal="left" vertical="center" wrapText="1" readingOrder="1"/>
    </xf>
    <xf numFmtId="0" fontId="17" fillId="7" borderId="10" xfId="2" applyFont="1" applyFill="1" applyBorder="1" applyAlignment="1">
      <alignment horizontal="left" vertical="center" wrapText="1" readingOrder="1"/>
    </xf>
    <xf numFmtId="0" fontId="17" fillId="7" borderId="11" xfId="2" applyFont="1" applyFill="1" applyBorder="1" applyAlignment="1">
      <alignment horizontal="left" vertical="center" wrapText="1" readingOrder="1"/>
    </xf>
    <xf numFmtId="0" fontId="1" fillId="0" borderId="0" xfId="4"/>
    <xf numFmtId="43" fontId="11" fillId="4" borderId="1" xfId="3" applyFont="1" applyFill="1" applyBorder="1" applyAlignment="1">
      <alignment horizontal="center" vertical="center" wrapText="1"/>
    </xf>
    <xf numFmtId="43" fontId="11" fillId="4" borderId="2" xfId="3" applyFont="1" applyFill="1" applyBorder="1" applyAlignment="1">
      <alignment horizontal="center" vertical="center" wrapText="1"/>
    </xf>
    <xf numFmtId="43" fontId="11" fillId="4" borderId="0" xfId="3" applyFont="1" applyFill="1" applyBorder="1" applyAlignment="1">
      <alignment horizontal="center" vertical="center" wrapText="1"/>
    </xf>
    <xf numFmtId="43" fontId="11" fillId="4" borderId="15" xfId="3" applyFont="1" applyFill="1" applyBorder="1" applyAlignment="1">
      <alignment horizontal="center" vertical="center" wrapText="1"/>
    </xf>
    <xf numFmtId="43" fontId="11" fillId="9" borderId="9" xfId="3" applyFont="1" applyFill="1" applyBorder="1" applyAlignment="1">
      <alignment horizontal="center" vertical="center" wrapText="1"/>
    </xf>
    <xf numFmtId="43" fontId="11" fillId="9" borderId="10" xfId="3" applyFont="1" applyFill="1" applyBorder="1" applyAlignment="1">
      <alignment horizontal="center" vertical="center" wrapText="1"/>
    </xf>
    <xf numFmtId="43" fontId="11" fillId="9" borderId="11" xfId="3" applyFont="1" applyFill="1" applyBorder="1" applyAlignment="1">
      <alignment horizontal="center" vertical="center" wrapText="1"/>
    </xf>
    <xf numFmtId="43" fontId="11" fillId="4" borderId="9" xfId="3" applyFont="1" applyFill="1" applyBorder="1" applyAlignment="1">
      <alignment horizontal="center" vertical="center" wrapText="1"/>
    </xf>
    <xf numFmtId="43" fontId="11" fillId="4" borderId="10" xfId="3" applyFont="1" applyFill="1" applyBorder="1" applyAlignment="1">
      <alignment horizontal="center" vertical="center" wrapText="1"/>
    </xf>
    <xf numFmtId="43" fontId="11" fillId="4" borderId="11" xfId="3" applyFont="1" applyFill="1" applyBorder="1" applyAlignment="1">
      <alignment horizontal="center" vertical="center" wrapText="1"/>
    </xf>
    <xf numFmtId="0" fontId="15" fillId="7" borderId="9" xfId="2" applyFont="1" applyFill="1" applyBorder="1" applyAlignment="1">
      <alignment horizontal="left" vertical="center" readingOrder="1"/>
    </xf>
    <xf numFmtId="0" fontId="15" fillId="7" borderId="11" xfId="2" applyFont="1" applyFill="1" applyBorder="1" applyAlignment="1">
      <alignment horizontal="left" vertical="center" readingOrder="1"/>
    </xf>
    <xf numFmtId="20" fontId="15" fillId="7" borderId="9" xfId="2" quotePrefix="1" applyNumberFormat="1" applyFont="1" applyFill="1" applyBorder="1" applyAlignment="1">
      <alignment horizontal="centerContinuous" vertical="center" wrapText="1" readingOrder="1"/>
    </xf>
    <xf numFmtId="0" fontId="18" fillId="10" borderId="9" xfId="2" applyFont="1" applyFill="1" applyBorder="1" applyAlignment="1">
      <alignment horizontal="center" vertical="center" wrapText="1" readingOrder="1"/>
    </xf>
    <xf numFmtId="0" fontId="18" fillId="10" borderId="10" xfId="2" applyFont="1" applyFill="1" applyBorder="1" applyAlignment="1">
      <alignment horizontal="center" vertical="center" wrapText="1" readingOrder="1"/>
    </xf>
    <xf numFmtId="0" fontId="18" fillId="10" borderId="11" xfId="2" applyFont="1" applyFill="1" applyBorder="1" applyAlignment="1">
      <alignment horizontal="center" vertical="center" wrapText="1" readingOrder="1"/>
    </xf>
    <xf numFmtId="0" fontId="11" fillId="5" borderId="9" xfId="2" applyFont="1" applyFill="1" applyBorder="1" applyAlignment="1">
      <alignment horizontal="center" vertical="center" wrapText="1"/>
    </xf>
    <xf numFmtId="0" fontId="11" fillId="5" borderId="10" xfId="2" applyFont="1" applyFill="1" applyBorder="1" applyAlignment="1">
      <alignment horizontal="center" vertical="center" wrapText="1"/>
    </xf>
    <xf numFmtId="0" fontId="11" fillId="5" borderId="11" xfId="2" applyFont="1" applyFill="1" applyBorder="1" applyAlignment="1">
      <alignment horizontal="center" vertical="center" wrapText="1"/>
    </xf>
    <xf numFmtId="0" fontId="18" fillId="11" borderId="9" xfId="2" applyFont="1" applyFill="1" applyBorder="1" applyAlignment="1">
      <alignment horizontal="center" vertical="center" wrapText="1" readingOrder="1"/>
    </xf>
    <xf numFmtId="0" fontId="18" fillId="11" borderId="10" xfId="2" applyFont="1" applyFill="1" applyBorder="1" applyAlignment="1">
      <alignment horizontal="center" vertical="center" wrapText="1" readingOrder="1"/>
    </xf>
    <xf numFmtId="0" fontId="18" fillId="11" borderId="11" xfId="2" applyFont="1" applyFill="1" applyBorder="1" applyAlignment="1">
      <alignment horizontal="center" vertical="center" wrapText="1" readingOrder="1"/>
    </xf>
    <xf numFmtId="0" fontId="18" fillId="11" borderId="9" xfId="2" quotePrefix="1" applyFont="1" applyFill="1" applyBorder="1" applyAlignment="1">
      <alignment horizontal="center" vertical="center" wrapText="1" readingOrder="1"/>
    </xf>
    <xf numFmtId="0" fontId="18" fillId="11" borderId="10" xfId="2" quotePrefix="1" applyFont="1" applyFill="1" applyBorder="1" applyAlignment="1">
      <alignment horizontal="center" vertical="center" wrapText="1" readingOrder="1"/>
    </xf>
    <xf numFmtId="0" fontId="18" fillId="11" borderId="11" xfId="2" quotePrefix="1" applyFont="1" applyFill="1" applyBorder="1" applyAlignment="1">
      <alignment horizontal="center" vertical="center" wrapText="1" readingOrder="1"/>
    </xf>
    <xf numFmtId="0" fontId="11" fillId="5" borderId="12" xfId="2" applyFont="1" applyFill="1" applyBorder="1" applyAlignment="1">
      <alignment horizontal="center" vertical="center" wrapText="1"/>
    </xf>
    <xf numFmtId="0" fontId="11" fillId="0" borderId="12" xfId="2" quotePrefix="1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12" xfId="2" quotePrefix="1" applyFont="1" applyBorder="1" applyAlignment="1">
      <alignment horizontal="center" vertical="center" wrapText="1"/>
    </xf>
    <xf numFmtId="0" fontId="19" fillId="0" borderId="0" xfId="2" applyFont="1"/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 wrapText="1"/>
    </xf>
    <xf numFmtId="0" fontId="4" fillId="3" borderId="12" xfId="2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1" fillId="0" borderId="10" xfId="0" quotePrefix="1" applyFont="1" applyBorder="1" applyAlignment="1">
      <alignment horizontal="left" vertical="center" wrapText="1"/>
    </xf>
    <xf numFmtId="0" fontId="21" fillId="0" borderId="11" xfId="0" quotePrefix="1" applyFont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6" xfId="0" quotePrefix="1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2" fillId="0" borderId="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center" wrapText="1"/>
    </xf>
    <xf numFmtId="0" fontId="21" fillId="0" borderId="11" xfId="2" applyFont="1" applyBorder="1" applyAlignment="1">
      <alignment horizontal="left" vertical="center" wrapText="1"/>
    </xf>
    <xf numFmtId="0" fontId="9" fillId="4" borderId="9" xfId="2" applyFont="1" applyFill="1" applyBorder="1" applyAlignment="1">
      <alignment horizontal="center" vertical="center" wrapText="1"/>
    </xf>
    <xf numFmtId="0" fontId="9" fillId="4" borderId="10" xfId="2" applyFont="1" applyFill="1" applyBorder="1" applyAlignment="1">
      <alignment horizontal="center" vertical="center" wrapText="1"/>
    </xf>
    <xf numFmtId="0" fontId="9" fillId="4" borderId="11" xfId="2" applyFont="1" applyFill="1" applyBorder="1" applyAlignment="1">
      <alignment horizontal="center" vertical="center" wrapText="1"/>
    </xf>
    <xf numFmtId="0" fontId="18" fillId="12" borderId="12" xfId="2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9" fillId="3" borderId="10" xfId="2" applyFont="1" applyFill="1" applyBorder="1" applyAlignment="1">
      <alignment horizontal="center" vertical="center" wrapText="1"/>
    </xf>
    <xf numFmtId="0" fontId="9" fillId="3" borderId="11" xfId="2" applyFont="1" applyFill="1" applyBorder="1" applyAlignment="1">
      <alignment horizontal="center" vertical="center" wrapText="1"/>
    </xf>
    <xf numFmtId="0" fontId="18" fillId="7" borderId="12" xfId="2" quotePrefix="1" applyFont="1" applyFill="1" applyBorder="1" applyAlignment="1">
      <alignment horizontal="center" vertical="center" wrapText="1"/>
    </xf>
    <xf numFmtId="0" fontId="18" fillId="7" borderId="12" xfId="2" applyFont="1" applyFill="1" applyBorder="1" applyAlignment="1">
      <alignment horizontal="center" vertical="center" wrapText="1"/>
    </xf>
    <xf numFmtId="14" fontId="1" fillId="0" borderId="0" xfId="2" applyNumberFormat="1"/>
  </cellXfs>
  <cellStyles count="5">
    <cellStyle name="Comma 2" xfId="3" xr:uid="{E989FB32-AB7F-4E3F-A259-A0753674558B}"/>
    <cellStyle name="Good" xfId="1" builtinId="26"/>
    <cellStyle name="Normal" xfId="0" builtinId="0"/>
    <cellStyle name="Normal 4" xfId="2" xr:uid="{131C7BBB-CFE5-451A-BB87-ACA1BEA65F62}"/>
    <cellStyle name="Normal 4 2" xfId="4" xr:uid="{7FF200AD-F253-4D5A-ABFB-713C4683F1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38100</xdr:colOff>
      <xdr:row>0</xdr:row>
      <xdr:rowOff>1371600</xdr:rowOff>
    </xdr:from>
    <xdr:ext cx="1981200" cy="1791336"/>
    <xdr:pic>
      <xdr:nvPicPr>
        <xdr:cNvPr id="2" name="Picture 1">
          <a:extLst>
            <a:ext uri="{FF2B5EF4-FFF2-40B4-BE49-F238E27FC236}">
              <a16:creationId xmlns:a16="http://schemas.microsoft.com/office/drawing/2014/main" id="{A47E58E8-796D-456C-B48A-93F3EBA8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67475" y="1371600"/>
          <a:ext cx="1981200" cy="1791336"/>
        </a:xfrm>
        <a:prstGeom prst="rect">
          <a:avLst/>
        </a:prstGeom>
      </xdr:spPr>
    </xdr:pic>
    <xdr:clientData/>
  </xdr:oneCellAnchor>
  <xdr:oneCellAnchor>
    <xdr:from>
      <xdr:col>1</xdr:col>
      <xdr:colOff>990600</xdr:colOff>
      <xdr:row>0</xdr:row>
      <xdr:rowOff>1828800</xdr:rowOff>
    </xdr:from>
    <xdr:ext cx="4336066" cy="1710000"/>
    <xdr:pic>
      <xdr:nvPicPr>
        <xdr:cNvPr id="3" name="Picture 2">
          <a:extLst>
            <a:ext uri="{FF2B5EF4-FFF2-40B4-BE49-F238E27FC236}">
              <a16:creationId xmlns:a16="http://schemas.microsoft.com/office/drawing/2014/main" id="{8DAAAFEF-A74A-4B53-B0FC-AD2C16EB2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94" t="28179" r="10403" b="27369"/>
        <a:stretch/>
      </xdr:blipFill>
      <xdr:spPr>
        <a:xfrm>
          <a:off x="3505200" y="1828800"/>
          <a:ext cx="4336066" cy="1710000"/>
        </a:xfrm>
        <a:prstGeom prst="rect">
          <a:avLst/>
        </a:prstGeom>
      </xdr:spPr>
    </xdr:pic>
    <xdr:clientData/>
  </xdr:oneCellAnchor>
  <xdr:oneCellAnchor>
    <xdr:from>
      <xdr:col>1</xdr:col>
      <xdr:colOff>990600</xdr:colOff>
      <xdr:row>0</xdr:row>
      <xdr:rowOff>1828800</xdr:rowOff>
    </xdr:from>
    <xdr:ext cx="4336066" cy="1710000"/>
    <xdr:pic>
      <xdr:nvPicPr>
        <xdr:cNvPr id="4" name="Picture 3">
          <a:extLst>
            <a:ext uri="{FF2B5EF4-FFF2-40B4-BE49-F238E27FC236}">
              <a16:creationId xmlns:a16="http://schemas.microsoft.com/office/drawing/2014/main" id="{DF79A610-6E2A-4083-BDAE-AD32A92B28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94" t="28179" r="10403" b="27369"/>
        <a:stretch/>
      </xdr:blipFill>
      <xdr:spPr>
        <a:xfrm>
          <a:off x="3505200" y="1828800"/>
          <a:ext cx="4336066" cy="1710000"/>
        </a:xfrm>
        <a:prstGeom prst="rect">
          <a:avLst/>
        </a:prstGeom>
      </xdr:spPr>
    </xdr:pic>
    <xdr:clientData/>
  </xdr:oneCellAnchor>
  <xdr:twoCellAnchor editAs="oneCell">
    <xdr:from>
      <xdr:col>14</xdr:col>
      <xdr:colOff>533400</xdr:colOff>
      <xdr:row>0</xdr:row>
      <xdr:rowOff>876300</xdr:rowOff>
    </xdr:from>
    <xdr:to>
      <xdr:col>17</xdr:col>
      <xdr:colOff>1434125</xdr:colOff>
      <xdr:row>0</xdr:row>
      <xdr:rowOff>2552700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A1244E-6DD1-46F2-BC84-D8748AF8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75850" y="876300"/>
          <a:ext cx="6720500" cy="167640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838200</xdr:colOff>
      <xdr:row>0</xdr:row>
      <xdr:rowOff>1790700</xdr:rowOff>
    </xdr:from>
    <xdr:to>
      <xdr:col>10</xdr:col>
      <xdr:colOff>2224500</xdr:colOff>
      <xdr:row>1</xdr:row>
      <xdr:rowOff>1858500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0B9873-8562-4A72-A990-553B89ADF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55275" y="1790700"/>
          <a:ext cx="4310475" cy="433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838200</xdr:colOff>
      <xdr:row>0</xdr:row>
      <xdr:rowOff>1524000</xdr:rowOff>
    </xdr:from>
    <xdr:to>
      <xdr:col>13</xdr:col>
      <xdr:colOff>1191900</xdr:colOff>
      <xdr:row>1</xdr:row>
      <xdr:rowOff>1578982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2A73D1-47AE-420E-8508-BBFA52AE8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060775" y="1524000"/>
          <a:ext cx="5059050" cy="4322182"/>
        </a:xfrm>
        <a:prstGeom prst="rect">
          <a:avLst/>
        </a:prstGeom>
      </xdr:spPr>
    </xdr:pic>
    <xdr:clientData/>
  </xdr:twoCellAnchor>
  <xdr:twoCellAnchor editAs="oneCell">
    <xdr:from>
      <xdr:col>3</xdr:col>
      <xdr:colOff>914399</xdr:colOff>
      <xdr:row>0</xdr:row>
      <xdr:rowOff>1828800</xdr:rowOff>
    </xdr:from>
    <xdr:to>
      <xdr:col>6</xdr:col>
      <xdr:colOff>624299</xdr:colOff>
      <xdr:row>1</xdr:row>
      <xdr:rowOff>1881600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123729-3304-402A-8443-47AE2FA7F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49074" y="1828800"/>
          <a:ext cx="4310475" cy="43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0</xdr:row>
      <xdr:rowOff>1562100</xdr:rowOff>
    </xdr:from>
    <xdr:to>
      <xdr:col>8</xdr:col>
      <xdr:colOff>2754000</xdr:colOff>
      <xdr:row>1</xdr:row>
      <xdr:rowOff>1617082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0BB1E1-DE4D-4FAE-8789-F9366FFE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16425" y="1562100"/>
          <a:ext cx="5030475" cy="4322182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4000500</xdr:colOff>
      <xdr:row>67</xdr:row>
      <xdr:rowOff>95250</xdr:rowOff>
    </xdr:from>
    <xdr:to>
      <xdr:col>21</xdr:col>
      <xdr:colOff>1047749</xdr:colOff>
      <xdr:row>190</xdr:row>
      <xdr:rowOff>115129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CB0036-AF69-4673-B2DC-B25A05CB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15100" y="91801950"/>
          <a:ext cx="42929174" cy="23451379"/>
        </a:xfrm>
        <a:prstGeom prst="rect">
          <a:avLst/>
        </a:prstGeom>
      </xdr:spPr>
    </xdr:pic>
    <xdr:clientData/>
  </xdr:twoCellAnchor>
  <xdr:twoCellAnchor editAs="oneCell">
    <xdr:from>
      <xdr:col>1</xdr:col>
      <xdr:colOff>4000499</xdr:colOff>
      <xdr:row>190</xdr:row>
      <xdr:rowOff>95250</xdr:rowOff>
    </xdr:from>
    <xdr:to>
      <xdr:col>21</xdr:col>
      <xdr:colOff>1004249</xdr:colOff>
      <xdr:row>480</xdr:row>
      <xdr:rowOff>98846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D6D18F3-A89A-4A15-B9FD-99259DF42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15099" y="115233450"/>
          <a:ext cx="42885675" cy="5524859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4000499</xdr:colOff>
      <xdr:row>483</xdr:row>
      <xdr:rowOff>0</xdr:rowOff>
    </xdr:from>
    <xdr:to>
      <xdr:col>21</xdr:col>
      <xdr:colOff>1004249</xdr:colOff>
      <xdr:row>871</xdr:row>
      <xdr:rowOff>58603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5F732B-CBC4-42A3-A703-691B6911B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15099" y="172050075"/>
          <a:ext cx="42885675" cy="7397260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4000500</xdr:colOff>
      <xdr:row>873</xdr:row>
      <xdr:rowOff>95250</xdr:rowOff>
    </xdr:from>
    <xdr:to>
      <xdr:col>21</xdr:col>
      <xdr:colOff>1004250</xdr:colOff>
      <xdr:row>952</xdr:row>
      <xdr:rowOff>47317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5CF2A98-BA66-48F0-A2B7-5C675ACA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15100" y="246440325"/>
          <a:ext cx="42885675" cy="15001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0A99-A59C-4A20-9EFB-721C51782023}">
  <sheetPr>
    <pageSetUpPr fitToPage="1"/>
  </sheetPr>
  <dimension ref="A1:V482"/>
  <sheetViews>
    <sheetView tabSelected="1" view="pageBreakPreview" zoomScale="25" zoomScaleNormal="30" zoomScaleSheetLayoutView="25" workbookViewId="0">
      <selection activeCell="K55" sqref="K55:O55"/>
    </sheetView>
  </sheetViews>
  <sheetFormatPr defaultColWidth="10.42578125" defaultRowHeight="15" x14ac:dyDescent="0.25"/>
  <cols>
    <col min="1" max="1" width="37.7109375" style="11" customWidth="1"/>
    <col min="2" max="2" width="72.85546875" style="11" customWidth="1"/>
    <col min="3" max="3" width="50.42578125" style="11" customWidth="1"/>
    <col min="4" max="4" width="28.42578125" style="11" customWidth="1"/>
    <col min="5" max="5" width="18.42578125" style="11" customWidth="1"/>
    <col min="6" max="7" width="22.140625" style="11" customWidth="1"/>
    <col min="8" max="8" width="38.7109375" style="11" customWidth="1"/>
    <col min="9" max="9" width="43.85546875" style="11" customWidth="1"/>
    <col min="10" max="10" width="43.85546875" style="188" customWidth="1"/>
    <col min="11" max="11" width="44.7109375" style="11" customWidth="1"/>
    <col min="12" max="12" width="41.28515625" style="11" customWidth="1"/>
    <col min="13" max="13" width="29.28515625" style="11" customWidth="1"/>
    <col min="14" max="14" width="28.7109375" style="11" customWidth="1"/>
    <col min="15" max="15" width="29.28515625" style="11" customWidth="1"/>
    <col min="16" max="16" width="28.7109375" style="11" customWidth="1"/>
    <col min="17" max="17" width="29.28515625" style="11" customWidth="1"/>
    <col min="18" max="18" width="28.7109375" style="11" customWidth="1"/>
    <col min="19" max="19" width="29.28515625" style="11" customWidth="1"/>
    <col min="20" max="20" width="28.7109375" style="11" customWidth="1"/>
    <col min="21" max="21" width="29.28515625" style="11" customWidth="1"/>
    <col min="22" max="22" width="110.7109375" style="11" customWidth="1"/>
    <col min="23" max="16384" width="10.42578125" style="11"/>
  </cols>
  <sheetData>
    <row r="1" spans="1:22" ht="336" customHeight="1" x14ac:dyDescent="0.25">
      <c r="A1" s="1"/>
      <c r="B1" s="2"/>
      <c r="C1" s="3"/>
      <c r="D1" s="4" t="s">
        <v>0</v>
      </c>
      <c r="E1" s="5"/>
      <c r="F1" s="5"/>
      <c r="G1" s="6"/>
      <c r="H1" s="4" t="s">
        <v>1</v>
      </c>
      <c r="I1" s="6"/>
      <c r="J1" s="4" t="s">
        <v>2</v>
      </c>
      <c r="K1" s="6"/>
      <c r="L1" s="4" t="s">
        <v>3</v>
      </c>
      <c r="M1" s="5"/>
      <c r="N1" s="6"/>
      <c r="O1" s="7" t="s">
        <v>4</v>
      </c>
      <c r="P1" s="8"/>
      <c r="Q1" s="8"/>
      <c r="R1" s="9"/>
      <c r="S1" s="7" t="s">
        <v>5</v>
      </c>
      <c r="T1" s="8"/>
      <c r="U1" s="9"/>
      <c r="V1" s="10" t="s">
        <v>6</v>
      </c>
    </row>
    <row r="2" spans="1:22" ht="306.60000000000002" customHeight="1" x14ac:dyDescent="0.25">
      <c r="A2" s="12" t="s">
        <v>7</v>
      </c>
      <c r="B2" s="13"/>
      <c r="C2" s="14"/>
      <c r="D2" s="15"/>
      <c r="E2" s="16"/>
      <c r="F2" s="16"/>
      <c r="G2" s="17"/>
      <c r="H2" s="15"/>
      <c r="I2" s="17"/>
      <c r="J2" s="15"/>
      <c r="K2" s="17"/>
      <c r="L2" s="15"/>
      <c r="M2" s="16"/>
      <c r="N2" s="17"/>
      <c r="O2" s="18"/>
      <c r="P2" s="19"/>
      <c r="Q2" s="19"/>
      <c r="R2" s="20"/>
      <c r="S2" s="18"/>
      <c r="T2" s="19"/>
      <c r="U2" s="20"/>
      <c r="V2" s="21"/>
    </row>
    <row r="3" spans="1:22" s="32" customFormat="1" ht="99" customHeight="1" x14ac:dyDescent="0.6">
      <c r="A3" s="22" t="s">
        <v>8</v>
      </c>
      <c r="B3" s="23"/>
      <c r="C3" s="24"/>
      <c r="D3" s="25" t="s">
        <v>9</v>
      </c>
      <c r="E3" s="26"/>
      <c r="F3" s="26"/>
      <c r="G3" s="27"/>
      <c r="H3" s="28"/>
      <c r="I3" s="29"/>
      <c r="J3" s="29"/>
      <c r="K3" s="30"/>
      <c r="L3" s="25" t="s">
        <v>10</v>
      </c>
      <c r="M3" s="26"/>
      <c r="N3" s="26"/>
      <c r="O3" s="26"/>
      <c r="P3" s="26"/>
      <c r="Q3" s="31"/>
      <c r="R3" s="31"/>
      <c r="S3" s="31"/>
      <c r="T3" s="31"/>
      <c r="U3" s="26"/>
      <c r="V3" s="27"/>
    </row>
    <row r="4" spans="1:22" ht="88.5" customHeight="1" x14ac:dyDescent="0.25">
      <c r="A4" s="33"/>
      <c r="B4" s="31"/>
      <c r="C4" s="34"/>
      <c r="D4" s="35">
        <v>46227</v>
      </c>
      <c r="E4" s="36"/>
      <c r="F4" s="36"/>
      <c r="G4" s="37"/>
      <c r="H4" s="38" t="s">
        <v>11</v>
      </c>
      <c r="I4" s="38" t="s">
        <v>8</v>
      </c>
      <c r="J4" s="38" t="s">
        <v>12</v>
      </c>
      <c r="K4" s="38" t="s">
        <v>13</v>
      </c>
      <c r="L4" s="39"/>
      <c r="M4" s="40">
        <f>D4+1</f>
        <v>46228</v>
      </c>
      <c r="N4" s="40"/>
      <c r="O4" s="41">
        <f>M4+1</f>
        <v>46229</v>
      </c>
      <c r="P4" s="42"/>
      <c r="Q4" s="41">
        <f>O4+1</f>
        <v>46230</v>
      </c>
      <c r="R4" s="42"/>
      <c r="S4" s="41">
        <f>Q4+1</f>
        <v>46231</v>
      </c>
      <c r="T4" s="42"/>
      <c r="U4" s="41">
        <f>S4+1</f>
        <v>46232</v>
      </c>
      <c r="V4" s="42"/>
    </row>
    <row r="5" spans="1:22" ht="55.5" customHeight="1" x14ac:dyDescent="0.25">
      <c r="A5" s="43" t="s">
        <v>14</v>
      </c>
      <c r="B5" s="44" t="s">
        <v>15</v>
      </c>
      <c r="C5" s="45"/>
      <c r="D5" s="46" t="s">
        <v>16</v>
      </c>
      <c r="E5" s="47">
        <v>84</v>
      </c>
      <c r="F5" s="44">
        <v>95</v>
      </c>
      <c r="G5" s="45"/>
      <c r="H5" s="43" t="s">
        <v>17</v>
      </c>
      <c r="I5" s="48" t="s">
        <v>18</v>
      </c>
      <c r="J5" s="48">
        <v>75291.19</v>
      </c>
      <c r="K5" s="49">
        <v>205427.65</v>
      </c>
      <c r="L5" s="46" t="s">
        <v>16</v>
      </c>
      <c r="M5" s="50">
        <v>92</v>
      </c>
      <c r="N5" s="51">
        <v>107</v>
      </c>
      <c r="O5" s="50">
        <v>120</v>
      </c>
      <c r="P5" s="51">
        <v>129</v>
      </c>
      <c r="Q5" s="50">
        <v>55</v>
      </c>
      <c r="R5" s="51">
        <v>65</v>
      </c>
      <c r="S5" s="50">
        <v>143</v>
      </c>
      <c r="T5" s="51">
        <v>157</v>
      </c>
      <c r="U5" s="50">
        <v>48</v>
      </c>
      <c r="V5" s="51">
        <v>55</v>
      </c>
    </row>
    <row r="6" spans="1:22" ht="55.5" customHeight="1" x14ac:dyDescent="0.25">
      <c r="A6" s="52"/>
      <c r="B6" s="53"/>
      <c r="C6" s="54"/>
      <c r="D6" s="46" t="s">
        <v>19</v>
      </c>
      <c r="E6" s="47">
        <f>F5-E5</f>
        <v>11</v>
      </c>
      <c r="F6" s="53"/>
      <c r="G6" s="54"/>
      <c r="H6" s="52"/>
      <c r="I6" s="55"/>
      <c r="J6" s="55"/>
      <c r="K6" s="56"/>
      <c r="L6" s="46" t="s">
        <v>19</v>
      </c>
      <c r="M6" s="50">
        <f>N5-M5</f>
        <v>15</v>
      </c>
      <c r="N6" s="51"/>
      <c r="O6" s="50">
        <f>P5-O5</f>
        <v>9</v>
      </c>
      <c r="P6" s="51"/>
      <c r="Q6" s="50">
        <f>R5-Q5</f>
        <v>10</v>
      </c>
      <c r="R6" s="51"/>
      <c r="S6" s="50">
        <f>T5-S5</f>
        <v>14</v>
      </c>
      <c r="T6" s="51"/>
      <c r="U6" s="50">
        <f>V5-U5</f>
        <v>7</v>
      </c>
      <c r="V6" s="51"/>
    </row>
    <row r="7" spans="1:22" ht="55.5" customHeight="1" x14ac:dyDescent="0.25">
      <c r="A7" s="43" t="s">
        <v>20</v>
      </c>
      <c r="B7" s="44">
        <v>2</v>
      </c>
      <c r="C7" s="45"/>
      <c r="D7" s="46" t="s">
        <v>21</v>
      </c>
      <c r="E7" s="47">
        <v>40</v>
      </c>
      <c r="F7" s="44">
        <v>49</v>
      </c>
      <c r="G7" s="45"/>
      <c r="H7" s="43" t="s">
        <v>22</v>
      </c>
      <c r="I7" s="48">
        <v>2881.21</v>
      </c>
      <c r="J7" s="48">
        <v>46773.38</v>
      </c>
      <c r="K7" s="49">
        <v>29000</v>
      </c>
      <c r="L7" s="46" t="s">
        <v>21</v>
      </c>
      <c r="M7" s="50">
        <v>74</v>
      </c>
      <c r="N7" s="51">
        <v>84</v>
      </c>
      <c r="O7" s="50">
        <v>63</v>
      </c>
      <c r="P7" s="51">
        <v>70</v>
      </c>
      <c r="Q7" s="50">
        <v>108</v>
      </c>
      <c r="R7" s="51">
        <v>116</v>
      </c>
      <c r="S7" s="50">
        <v>75</v>
      </c>
      <c r="T7" s="51">
        <v>89</v>
      </c>
      <c r="U7" s="50">
        <v>117</v>
      </c>
      <c r="V7" s="51">
        <v>127</v>
      </c>
    </row>
    <row r="8" spans="1:22" ht="55.5" customHeight="1" x14ac:dyDescent="0.25">
      <c r="A8" s="52"/>
      <c r="B8" s="53"/>
      <c r="C8" s="54"/>
      <c r="D8" s="46" t="s">
        <v>19</v>
      </c>
      <c r="E8" s="47">
        <f>F7-E7</f>
        <v>9</v>
      </c>
      <c r="F8" s="53"/>
      <c r="G8" s="54"/>
      <c r="H8" s="52"/>
      <c r="I8" s="55"/>
      <c r="J8" s="57"/>
      <c r="K8" s="56"/>
      <c r="L8" s="46" t="s">
        <v>19</v>
      </c>
      <c r="M8" s="50">
        <f>N7-M7</f>
        <v>10</v>
      </c>
      <c r="N8" s="51"/>
      <c r="O8" s="50">
        <f>P7-O7</f>
        <v>7</v>
      </c>
      <c r="P8" s="51"/>
      <c r="Q8" s="50">
        <f>R7-Q7</f>
        <v>8</v>
      </c>
      <c r="R8" s="51"/>
      <c r="S8" s="50">
        <f>T7-S7</f>
        <v>14</v>
      </c>
      <c r="T8" s="51"/>
      <c r="U8" s="50">
        <f>V7-U7</f>
        <v>10</v>
      </c>
      <c r="V8" s="51"/>
    </row>
    <row r="9" spans="1:22" ht="57" customHeight="1" x14ac:dyDescent="0.25">
      <c r="A9" s="43" t="s">
        <v>23</v>
      </c>
      <c r="B9" s="44">
        <v>1</v>
      </c>
      <c r="C9" s="45"/>
      <c r="D9" s="58" t="s">
        <v>24</v>
      </c>
      <c r="E9" s="44">
        <v>191</v>
      </c>
      <c r="F9" s="59"/>
      <c r="G9" s="45"/>
      <c r="H9" s="43" t="s">
        <v>25</v>
      </c>
      <c r="I9" s="48" t="s">
        <v>18</v>
      </c>
      <c r="J9" s="48">
        <v>61189.22</v>
      </c>
      <c r="K9" s="49">
        <v>160368</v>
      </c>
      <c r="L9" s="58" t="s">
        <v>24</v>
      </c>
      <c r="M9" s="60">
        <v>214</v>
      </c>
      <c r="N9" s="61"/>
      <c r="O9" s="60">
        <v>273</v>
      </c>
      <c r="P9" s="61"/>
      <c r="Q9" s="60">
        <v>222</v>
      </c>
      <c r="R9" s="61"/>
      <c r="S9" s="60">
        <v>290</v>
      </c>
      <c r="T9" s="61"/>
      <c r="U9" s="60">
        <v>218</v>
      </c>
      <c r="V9" s="61"/>
    </row>
    <row r="10" spans="1:22" ht="57" customHeight="1" x14ac:dyDescent="0.25">
      <c r="A10" s="52"/>
      <c r="B10" s="53"/>
      <c r="C10" s="54"/>
      <c r="D10" s="62"/>
      <c r="E10" s="53"/>
      <c r="F10" s="63"/>
      <c r="G10" s="54"/>
      <c r="H10" s="64"/>
      <c r="I10" s="65"/>
      <c r="J10" s="65"/>
      <c r="K10" s="66"/>
      <c r="L10" s="62"/>
      <c r="M10" s="67"/>
      <c r="N10" s="68"/>
      <c r="O10" s="67"/>
      <c r="P10" s="68"/>
      <c r="Q10" s="67"/>
      <c r="R10" s="68"/>
      <c r="S10" s="67"/>
      <c r="T10" s="68"/>
      <c r="U10" s="67"/>
      <c r="V10" s="68"/>
    </row>
    <row r="11" spans="1:22" ht="105" customHeight="1" x14ac:dyDescent="0.25">
      <c r="A11" s="69" t="s">
        <v>26</v>
      </c>
      <c r="B11" s="70">
        <v>4321.59</v>
      </c>
      <c r="C11" s="71"/>
      <c r="D11" s="72" t="s">
        <v>27</v>
      </c>
      <c r="E11" s="73">
        <v>0.57798000000000005</v>
      </c>
      <c r="F11" s="74"/>
      <c r="G11" s="75"/>
      <c r="H11" s="52"/>
      <c r="I11" s="55"/>
      <c r="J11" s="55"/>
      <c r="K11" s="56"/>
      <c r="L11" s="76" t="s">
        <v>28</v>
      </c>
      <c r="M11" s="77" t="s">
        <v>29</v>
      </c>
      <c r="N11" s="78"/>
      <c r="O11" s="77" t="s">
        <v>30</v>
      </c>
      <c r="P11" s="78"/>
      <c r="Q11" s="77" t="s">
        <v>31</v>
      </c>
      <c r="R11" s="78"/>
      <c r="S11" s="77" t="s">
        <v>32</v>
      </c>
      <c r="T11" s="78"/>
      <c r="U11" s="77" t="s">
        <v>33</v>
      </c>
      <c r="V11" s="78"/>
    </row>
    <row r="12" spans="1:22" ht="55.5" customHeight="1" x14ac:dyDescent="0.25">
      <c r="A12" s="43" t="s">
        <v>34</v>
      </c>
      <c r="B12" s="79">
        <v>0.4632</v>
      </c>
      <c r="C12" s="80"/>
      <c r="D12" s="81" t="s">
        <v>35</v>
      </c>
      <c r="E12" s="82">
        <v>374</v>
      </c>
      <c r="F12" s="83">
        <f>E12+E13</f>
        <v>461</v>
      </c>
      <c r="G12" s="84">
        <v>530</v>
      </c>
      <c r="H12" s="43" t="s">
        <v>36</v>
      </c>
      <c r="I12" s="48">
        <v>2738.33</v>
      </c>
      <c r="J12" s="48">
        <v>62192.68</v>
      </c>
      <c r="K12" s="49">
        <v>180414</v>
      </c>
      <c r="L12" s="85" t="s">
        <v>35</v>
      </c>
      <c r="M12" s="60">
        <v>625</v>
      </c>
      <c r="N12" s="61"/>
      <c r="O12" s="60">
        <v>753</v>
      </c>
      <c r="P12" s="61"/>
      <c r="Q12" s="60">
        <v>655</v>
      </c>
      <c r="R12" s="61"/>
      <c r="S12" s="60">
        <v>779</v>
      </c>
      <c r="T12" s="61"/>
      <c r="U12" s="60">
        <v>624</v>
      </c>
      <c r="V12" s="61"/>
    </row>
    <row r="13" spans="1:22" ht="55.5" customHeight="1" x14ac:dyDescent="0.25">
      <c r="A13" s="52"/>
      <c r="B13" s="86"/>
      <c r="C13" s="87"/>
      <c r="D13" s="88"/>
      <c r="E13" s="82">
        <v>87</v>
      </c>
      <c r="F13" s="83"/>
      <c r="G13" s="89"/>
      <c r="H13" s="52"/>
      <c r="I13" s="65"/>
      <c r="J13" s="55"/>
      <c r="K13" s="66"/>
      <c r="L13" s="90"/>
      <c r="M13" s="67"/>
      <c r="N13" s="68"/>
      <c r="O13" s="67"/>
      <c r="P13" s="68"/>
      <c r="Q13" s="67"/>
      <c r="R13" s="68"/>
      <c r="S13" s="67"/>
      <c r="T13" s="68"/>
      <c r="U13" s="67"/>
      <c r="V13" s="68"/>
    </row>
    <row r="14" spans="1:22" s="32" customFormat="1" ht="99" customHeight="1" x14ac:dyDescent="0.6">
      <c r="A14" s="91" t="s">
        <v>37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3"/>
      <c r="N14" s="93"/>
      <c r="O14" s="93"/>
      <c r="P14" s="93"/>
      <c r="Q14" s="93"/>
      <c r="R14" s="93"/>
      <c r="S14" s="93"/>
      <c r="T14" s="93"/>
      <c r="U14" s="93"/>
      <c r="V14" s="94"/>
    </row>
    <row r="15" spans="1:22" ht="96" customHeight="1" x14ac:dyDescent="0.25">
      <c r="A15" s="95" t="s">
        <v>38</v>
      </c>
      <c r="B15" s="96"/>
      <c r="C15" s="97" t="s">
        <v>39</v>
      </c>
      <c r="D15" s="98" t="s">
        <v>40</v>
      </c>
      <c r="E15" s="98"/>
      <c r="F15" s="98" t="s">
        <v>41</v>
      </c>
      <c r="G15" s="98"/>
      <c r="H15" s="97" t="s">
        <v>42</v>
      </c>
      <c r="I15" s="97" t="s">
        <v>43</v>
      </c>
      <c r="J15" s="99" t="s">
        <v>44</v>
      </c>
      <c r="K15" s="99" t="s">
        <v>45</v>
      </c>
      <c r="L15" s="95" t="s">
        <v>46</v>
      </c>
      <c r="M15" s="96"/>
      <c r="N15" s="95" t="s">
        <v>47</v>
      </c>
      <c r="O15" s="96"/>
      <c r="P15" s="95" t="s">
        <v>48</v>
      </c>
      <c r="Q15" s="100"/>
      <c r="R15" s="100"/>
      <c r="S15" s="100"/>
      <c r="T15" s="100"/>
      <c r="U15" s="100"/>
      <c r="V15" s="96"/>
    </row>
    <row r="16" spans="1:22" s="117" customFormat="1" ht="114" customHeight="1" x14ac:dyDescent="0.25">
      <c r="A16" s="101" t="s">
        <v>49</v>
      </c>
      <c r="B16" s="102"/>
      <c r="C16" s="103" t="s">
        <v>50</v>
      </c>
      <c r="D16" s="104" t="s">
        <v>51</v>
      </c>
      <c r="E16" s="105"/>
      <c r="F16" s="106" t="s">
        <v>52</v>
      </c>
      <c r="G16" s="107"/>
      <c r="H16" s="108" t="s">
        <v>53</v>
      </c>
      <c r="I16" s="109">
        <v>46227</v>
      </c>
      <c r="J16" s="109">
        <v>46230</v>
      </c>
      <c r="K16" s="108" t="s">
        <v>18</v>
      </c>
      <c r="L16" s="110" t="s">
        <v>54</v>
      </c>
      <c r="M16" s="111"/>
      <c r="N16" s="112" t="s">
        <v>55</v>
      </c>
      <c r="O16" s="113"/>
      <c r="P16" s="114" t="s">
        <v>56</v>
      </c>
      <c r="Q16" s="115"/>
      <c r="R16" s="115"/>
      <c r="S16" s="115"/>
      <c r="T16" s="115"/>
      <c r="U16" s="115"/>
      <c r="V16" s="116"/>
    </row>
    <row r="17" spans="1:22" s="32" customFormat="1" ht="99" customHeight="1" x14ac:dyDescent="0.6">
      <c r="A17" s="118" t="s">
        <v>57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20"/>
      <c r="N17" s="120"/>
      <c r="O17" s="120"/>
      <c r="P17" s="120"/>
      <c r="Q17" s="120"/>
      <c r="R17" s="120"/>
      <c r="S17" s="120"/>
      <c r="T17" s="120"/>
      <c r="U17" s="120"/>
      <c r="V17" s="121"/>
    </row>
    <row r="18" spans="1:22" ht="114" customHeight="1" x14ac:dyDescent="0.25">
      <c r="A18" s="101" t="s">
        <v>58</v>
      </c>
      <c r="B18" s="102"/>
      <c r="C18" s="103" t="s">
        <v>59</v>
      </c>
      <c r="D18" s="104" t="s">
        <v>60</v>
      </c>
      <c r="E18" s="105"/>
      <c r="F18" s="106" t="s">
        <v>61</v>
      </c>
      <c r="G18" s="107"/>
      <c r="H18" s="108" t="s">
        <v>62</v>
      </c>
      <c r="I18" s="109">
        <v>46227</v>
      </c>
      <c r="J18" s="109">
        <v>46228</v>
      </c>
      <c r="K18" s="108" t="s">
        <v>18</v>
      </c>
      <c r="L18" s="110" t="s">
        <v>54</v>
      </c>
      <c r="M18" s="111"/>
      <c r="N18" s="112" t="s">
        <v>55</v>
      </c>
      <c r="O18" s="113"/>
      <c r="P18" s="114" t="s">
        <v>63</v>
      </c>
      <c r="Q18" s="115"/>
      <c r="R18" s="115"/>
      <c r="S18" s="115"/>
      <c r="T18" s="115"/>
      <c r="U18" s="115"/>
      <c r="V18" s="116"/>
    </row>
    <row r="19" spans="1:22" s="117" customFormat="1" ht="114" customHeight="1" x14ac:dyDescent="0.25">
      <c r="A19" s="101" t="s">
        <v>64</v>
      </c>
      <c r="B19" s="102"/>
      <c r="C19" s="103" t="s">
        <v>65</v>
      </c>
      <c r="D19" s="104" t="s">
        <v>66</v>
      </c>
      <c r="E19" s="105"/>
      <c r="F19" s="106" t="s">
        <v>67</v>
      </c>
      <c r="G19" s="107"/>
      <c r="H19" s="108" t="s">
        <v>53</v>
      </c>
      <c r="I19" s="109">
        <v>46227</v>
      </c>
      <c r="J19" s="109">
        <v>46230</v>
      </c>
      <c r="K19" s="108" t="s">
        <v>18</v>
      </c>
      <c r="L19" s="110" t="s">
        <v>68</v>
      </c>
      <c r="M19" s="111"/>
      <c r="N19" s="112" t="s">
        <v>55</v>
      </c>
      <c r="O19" s="113"/>
      <c r="P19" s="114" t="s">
        <v>69</v>
      </c>
      <c r="Q19" s="115"/>
      <c r="R19" s="115"/>
      <c r="S19" s="115"/>
      <c r="T19" s="115"/>
      <c r="U19" s="115"/>
      <c r="V19" s="116"/>
    </row>
    <row r="20" spans="1:22" s="117" customFormat="1" ht="114" customHeight="1" x14ac:dyDescent="0.25">
      <c r="A20" s="101" t="s">
        <v>70</v>
      </c>
      <c r="B20" s="102"/>
      <c r="C20" s="103" t="s">
        <v>50</v>
      </c>
      <c r="D20" s="104" t="s">
        <v>71</v>
      </c>
      <c r="E20" s="105"/>
      <c r="F20" s="106" t="s">
        <v>72</v>
      </c>
      <c r="G20" s="107"/>
      <c r="H20" s="108">
        <v>4</v>
      </c>
      <c r="I20" s="109">
        <v>46227</v>
      </c>
      <c r="J20" s="109">
        <v>46228</v>
      </c>
      <c r="K20" s="108" t="s">
        <v>18</v>
      </c>
      <c r="L20" s="110" t="s">
        <v>54</v>
      </c>
      <c r="M20" s="111"/>
      <c r="N20" s="112" t="s">
        <v>55</v>
      </c>
      <c r="O20" s="113"/>
      <c r="P20" s="114" t="s">
        <v>73</v>
      </c>
      <c r="Q20" s="115"/>
      <c r="R20" s="115"/>
      <c r="S20" s="115"/>
      <c r="T20" s="115"/>
      <c r="U20" s="115"/>
      <c r="V20" s="116"/>
    </row>
    <row r="21" spans="1:22" s="117" customFormat="1" ht="114" customHeight="1" x14ac:dyDescent="0.25">
      <c r="A21" s="101" t="s">
        <v>74</v>
      </c>
      <c r="B21" s="102"/>
      <c r="C21" s="103" t="s">
        <v>75</v>
      </c>
      <c r="D21" s="104" t="s">
        <v>76</v>
      </c>
      <c r="E21" s="105"/>
      <c r="F21" s="106" t="s">
        <v>67</v>
      </c>
      <c r="G21" s="107"/>
      <c r="H21" s="108" t="s">
        <v>62</v>
      </c>
      <c r="I21" s="109">
        <v>46227</v>
      </c>
      <c r="J21" s="109">
        <v>46234</v>
      </c>
      <c r="K21" s="108" t="s">
        <v>18</v>
      </c>
      <c r="L21" s="110" t="s">
        <v>54</v>
      </c>
      <c r="M21" s="111"/>
      <c r="N21" s="112" t="s">
        <v>55</v>
      </c>
      <c r="O21" s="113"/>
      <c r="P21" s="114" t="s">
        <v>77</v>
      </c>
      <c r="Q21" s="115"/>
      <c r="R21" s="115"/>
      <c r="S21" s="115"/>
      <c r="T21" s="115"/>
      <c r="U21" s="115"/>
      <c r="V21" s="116"/>
    </row>
    <row r="22" spans="1:22" s="117" customFormat="1" ht="114" customHeight="1" x14ac:dyDescent="0.25">
      <c r="A22" s="101" t="s">
        <v>78</v>
      </c>
      <c r="B22" s="102"/>
      <c r="C22" s="103" t="s">
        <v>18</v>
      </c>
      <c r="D22" s="104" t="s">
        <v>79</v>
      </c>
      <c r="E22" s="105"/>
      <c r="F22" s="106" t="s">
        <v>67</v>
      </c>
      <c r="G22" s="107"/>
      <c r="H22" s="108" t="s">
        <v>80</v>
      </c>
      <c r="I22" s="109">
        <v>46227</v>
      </c>
      <c r="J22" s="109">
        <v>46234</v>
      </c>
      <c r="K22" s="108" t="s">
        <v>18</v>
      </c>
      <c r="L22" s="110" t="s">
        <v>54</v>
      </c>
      <c r="M22" s="111"/>
      <c r="N22" s="112" t="s">
        <v>55</v>
      </c>
      <c r="O22" s="113"/>
      <c r="P22" s="114" t="s">
        <v>81</v>
      </c>
      <c r="Q22" s="115"/>
      <c r="R22" s="115"/>
      <c r="S22" s="115"/>
      <c r="T22" s="115"/>
      <c r="U22" s="115"/>
      <c r="V22" s="116"/>
    </row>
    <row r="23" spans="1:22" s="117" customFormat="1" ht="114" customHeight="1" x14ac:dyDescent="0.25">
      <c r="A23" s="101" t="s">
        <v>82</v>
      </c>
      <c r="B23" s="102"/>
      <c r="C23" s="103" t="s">
        <v>83</v>
      </c>
      <c r="D23" s="104" t="s">
        <v>84</v>
      </c>
      <c r="E23" s="105"/>
      <c r="F23" s="106" t="s">
        <v>67</v>
      </c>
      <c r="G23" s="107"/>
      <c r="H23" s="108">
        <v>2</v>
      </c>
      <c r="I23" s="109">
        <v>46227</v>
      </c>
      <c r="J23" s="109">
        <v>46234</v>
      </c>
      <c r="K23" s="108" t="s">
        <v>85</v>
      </c>
      <c r="L23" s="110" t="s">
        <v>86</v>
      </c>
      <c r="M23" s="111"/>
      <c r="N23" s="112" t="s">
        <v>87</v>
      </c>
      <c r="O23" s="113"/>
      <c r="P23" s="114" t="s">
        <v>88</v>
      </c>
      <c r="Q23" s="115"/>
      <c r="R23" s="115"/>
      <c r="S23" s="115"/>
      <c r="T23" s="115"/>
      <c r="U23" s="115"/>
      <c r="V23" s="116"/>
    </row>
    <row r="24" spans="1:22" s="117" customFormat="1" ht="114" customHeight="1" x14ac:dyDescent="0.25">
      <c r="A24" s="101" t="s">
        <v>89</v>
      </c>
      <c r="B24" s="102"/>
      <c r="C24" s="103" t="s">
        <v>90</v>
      </c>
      <c r="D24" s="104" t="s">
        <v>91</v>
      </c>
      <c r="E24" s="105"/>
      <c r="F24" s="106" t="s">
        <v>92</v>
      </c>
      <c r="G24" s="107"/>
      <c r="H24" s="108" t="s">
        <v>93</v>
      </c>
      <c r="I24" s="109">
        <v>46227</v>
      </c>
      <c r="J24" s="109">
        <v>46229</v>
      </c>
      <c r="K24" s="108" t="s">
        <v>18</v>
      </c>
      <c r="L24" s="110" t="s">
        <v>54</v>
      </c>
      <c r="M24" s="111"/>
      <c r="N24" s="112" t="s">
        <v>55</v>
      </c>
      <c r="O24" s="113"/>
      <c r="P24" s="114" t="s">
        <v>94</v>
      </c>
      <c r="Q24" s="115"/>
      <c r="R24" s="115"/>
      <c r="S24" s="115"/>
      <c r="T24" s="115"/>
      <c r="U24" s="115"/>
      <c r="V24" s="116"/>
    </row>
    <row r="25" spans="1:22" s="117" customFormat="1" ht="114" customHeight="1" x14ac:dyDescent="0.25">
      <c r="A25" s="101" t="s">
        <v>89</v>
      </c>
      <c r="B25" s="102"/>
      <c r="C25" s="103" t="s">
        <v>90</v>
      </c>
      <c r="D25" s="104" t="s">
        <v>95</v>
      </c>
      <c r="E25" s="105"/>
      <c r="F25" s="106" t="s">
        <v>92</v>
      </c>
      <c r="G25" s="107"/>
      <c r="H25" s="108" t="s">
        <v>93</v>
      </c>
      <c r="I25" s="109">
        <v>46227</v>
      </c>
      <c r="J25" s="109">
        <v>46229</v>
      </c>
      <c r="K25" s="108" t="s">
        <v>18</v>
      </c>
      <c r="L25" s="110" t="s">
        <v>54</v>
      </c>
      <c r="M25" s="111"/>
      <c r="N25" s="112" t="s">
        <v>55</v>
      </c>
      <c r="O25" s="113"/>
      <c r="P25" s="114" t="s">
        <v>96</v>
      </c>
      <c r="Q25" s="115"/>
      <c r="R25" s="115"/>
      <c r="S25" s="115"/>
      <c r="T25" s="115"/>
      <c r="U25" s="115"/>
      <c r="V25" s="116"/>
    </row>
    <row r="26" spans="1:22" s="117" customFormat="1" ht="114" customHeight="1" x14ac:dyDescent="0.25">
      <c r="A26" s="101" t="s">
        <v>58</v>
      </c>
      <c r="B26" s="102"/>
      <c r="C26" s="103" t="s">
        <v>59</v>
      </c>
      <c r="D26" s="104" t="s">
        <v>97</v>
      </c>
      <c r="E26" s="105"/>
      <c r="F26" s="106" t="s">
        <v>61</v>
      </c>
      <c r="G26" s="107"/>
      <c r="H26" s="108" t="s">
        <v>98</v>
      </c>
      <c r="I26" s="109">
        <v>46227</v>
      </c>
      <c r="J26" s="109">
        <v>46228</v>
      </c>
      <c r="K26" s="108" t="s">
        <v>18</v>
      </c>
      <c r="L26" s="110" t="s">
        <v>54</v>
      </c>
      <c r="M26" s="111"/>
      <c r="N26" s="112" t="s">
        <v>55</v>
      </c>
      <c r="O26" s="113"/>
      <c r="P26" s="114" t="s">
        <v>99</v>
      </c>
      <c r="Q26" s="115"/>
      <c r="R26" s="115"/>
      <c r="S26" s="115"/>
      <c r="T26" s="115"/>
      <c r="U26" s="115"/>
      <c r="V26" s="116"/>
    </row>
    <row r="27" spans="1:22" s="117" customFormat="1" ht="114" customHeight="1" x14ac:dyDescent="0.25">
      <c r="A27" s="101" t="s">
        <v>100</v>
      </c>
      <c r="B27" s="102"/>
      <c r="C27" s="103" t="s">
        <v>65</v>
      </c>
      <c r="D27" s="104" t="s">
        <v>101</v>
      </c>
      <c r="E27" s="105"/>
      <c r="F27" s="106" t="s">
        <v>67</v>
      </c>
      <c r="G27" s="107"/>
      <c r="H27" s="108" t="s">
        <v>93</v>
      </c>
      <c r="I27" s="109">
        <v>46227</v>
      </c>
      <c r="J27" s="109">
        <v>46234</v>
      </c>
      <c r="K27" s="108" t="s">
        <v>18</v>
      </c>
      <c r="L27" s="110" t="s">
        <v>54</v>
      </c>
      <c r="M27" s="111"/>
      <c r="N27" s="112" t="s">
        <v>55</v>
      </c>
      <c r="O27" s="113"/>
      <c r="P27" s="114" t="s">
        <v>102</v>
      </c>
      <c r="Q27" s="115"/>
      <c r="R27" s="115"/>
      <c r="S27" s="115"/>
      <c r="T27" s="115"/>
      <c r="U27" s="115"/>
      <c r="V27" s="116"/>
    </row>
    <row r="28" spans="1:22" s="117" customFormat="1" ht="114" customHeight="1" x14ac:dyDescent="0.25">
      <c r="A28" s="101" t="s">
        <v>103</v>
      </c>
      <c r="B28" s="102"/>
      <c r="C28" s="103" t="s">
        <v>50</v>
      </c>
      <c r="D28" s="104" t="s">
        <v>104</v>
      </c>
      <c r="E28" s="105"/>
      <c r="F28" s="106" t="s">
        <v>67</v>
      </c>
      <c r="G28" s="107"/>
      <c r="H28" s="108" t="s">
        <v>105</v>
      </c>
      <c r="I28" s="109">
        <v>46227</v>
      </c>
      <c r="J28" s="109">
        <v>46229</v>
      </c>
      <c r="K28" s="108" t="s">
        <v>18</v>
      </c>
      <c r="L28" s="110" t="s">
        <v>54</v>
      </c>
      <c r="M28" s="111"/>
      <c r="N28" s="112" t="s">
        <v>55</v>
      </c>
      <c r="O28" s="113"/>
      <c r="P28" s="114" t="s">
        <v>106</v>
      </c>
      <c r="Q28" s="115"/>
      <c r="R28" s="115"/>
      <c r="S28" s="115"/>
      <c r="T28" s="115"/>
      <c r="U28" s="115"/>
      <c r="V28" s="116"/>
    </row>
    <row r="29" spans="1:22" s="117" customFormat="1" ht="114" customHeight="1" x14ac:dyDescent="0.25">
      <c r="A29" s="101" t="s">
        <v>107</v>
      </c>
      <c r="B29" s="102"/>
      <c r="C29" s="103" t="s">
        <v>108</v>
      </c>
      <c r="D29" s="104" t="s">
        <v>109</v>
      </c>
      <c r="E29" s="105"/>
      <c r="F29" s="106" t="s">
        <v>67</v>
      </c>
      <c r="G29" s="107"/>
      <c r="H29" s="108" t="s">
        <v>105</v>
      </c>
      <c r="I29" s="109">
        <v>46227</v>
      </c>
      <c r="J29" s="109">
        <v>46236</v>
      </c>
      <c r="K29" s="108" t="s">
        <v>18</v>
      </c>
      <c r="L29" s="110" t="s">
        <v>54</v>
      </c>
      <c r="M29" s="111"/>
      <c r="N29" s="112" t="s">
        <v>55</v>
      </c>
      <c r="O29" s="113"/>
      <c r="P29" s="114" t="s">
        <v>110</v>
      </c>
      <c r="Q29" s="115"/>
      <c r="R29" s="115"/>
      <c r="S29" s="115"/>
      <c r="T29" s="115"/>
      <c r="U29" s="115"/>
      <c r="V29" s="116"/>
    </row>
    <row r="30" spans="1:22" s="117" customFormat="1" ht="114" customHeight="1" x14ac:dyDescent="0.25">
      <c r="A30" s="101" t="s">
        <v>111</v>
      </c>
      <c r="B30" s="102"/>
      <c r="C30" s="103" t="s">
        <v>50</v>
      </c>
      <c r="D30" s="104" t="s">
        <v>112</v>
      </c>
      <c r="E30" s="105"/>
      <c r="F30" s="106" t="s">
        <v>113</v>
      </c>
      <c r="G30" s="107"/>
      <c r="H30" s="108" t="s">
        <v>114</v>
      </c>
      <c r="I30" s="109">
        <v>46227</v>
      </c>
      <c r="J30" s="109">
        <v>46228</v>
      </c>
      <c r="K30" s="108" t="s">
        <v>18</v>
      </c>
      <c r="L30" s="110" t="s">
        <v>54</v>
      </c>
      <c r="M30" s="111"/>
      <c r="N30" s="112" t="s">
        <v>55</v>
      </c>
      <c r="O30" s="113"/>
      <c r="P30" s="114" t="s">
        <v>115</v>
      </c>
      <c r="Q30" s="115"/>
      <c r="R30" s="115"/>
      <c r="S30" s="115"/>
      <c r="T30" s="115"/>
      <c r="U30" s="115"/>
      <c r="V30" s="116"/>
    </row>
    <row r="31" spans="1:22" s="117" customFormat="1" ht="114" customHeight="1" x14ac:dyDescent="0.25">
      <c r="A31" s="101" t="s">
        <v>116</v>
      </c>
      <c r="B31" s="102"/>
      <c r="C31" s="103" t="s">
        <v>117</v>
      </c>
      <c r="D31" s="104" t="s">
        <v>118</v>
      </c>
      <c r="E31" s="105"/>
      <c r="F31" s="106" t="s">
        <v>52</v>
      </c>
      <c r="G31" s="107"/>
      <c r="H31" s="108">
        <v>2</v>
      </c>
      <c r="I31" s="109">
        <v>46227</v>
      </c>
      <c r="J31" s="109">
        <v>46231</v>
      </c>
      <c r="K31" s="108" t="s">
        <v>119</v>
      </c>
      <c r="L31" s="110" t="s">
        <v>120</v>
      </c>
      <c r="M31" s="111"/>
      <c r="N31" s="112" t="s">
        <v>87</v>
      </c>
      <c r="O31" s="113"/>
      <c r="P31" s="114" t="s">
        <v>121</v>
      </c>
      <c r="Q31" s="115"/>
      <c r="R31" s="115"/>
      <c r="S31" s="115"/>
      <c r="T31" s="115"/>
      <c r="U31" s="115"/>
      <c r="V31" s="116"/>
    </row>
    <row r="32" spans="1:22" s="117" customFormat="1" ht="183" customHeight="1" x14ac:dyDescent="0.25">
      <c r="A32" s="101" t="s">
        <v>122</v>
      </c>
      <c r="B32" s="102"/>
      <c r="C32" s="103" t="s">
        <v>50</v>
      </c>
      <c r="D32" s="104" t="s">
        <v>123</v>
      </c>
      <c r="E32" s="105"/>
      <c r="F32" s="106" t="s">
        <v>124</v>
      </c>
      <c r="G32" s="107"/>
      <c r="H32" s="108" t="s">
        <v>105</v>
      </c>
      <c r="I32" s="109">
        <v>46227</v>
      </c>
      <c r="J32" s="109">
        <v>46229</v>
      </c>
      <c r="K32" s="108" t="s">
        <v>18</v>
      </c>
      <c r="L32" s="110" t="s">
        <v>54</v>
      </c>
      <c r="M32" s="111"/>
      <c r="N32" s="112" t="s">
        <v>55</v>
      </c>
      <c r="O32" s="113"/>
      <c r="P32" s="114" t="s">
        <v>125</v>
      </c>
      <c r="Q32" s="115"/>
      <c r="R32" s="115"/>
      <c r="S32" s="115"/>
      <c r="T32" s="115"/>
      <c r="U32" s="115"/>
      <c r="V32" s="116"/>
    </row>
    <row r="33" spans="1:22" s="32" customFormat="1" ht="99" customHeight="1" x14ac:dyDescent="0.6">
      <c r="A33" s="122" t="s">
        <v>126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4"/>
    </row>
    <row r="34" spans="1:22" s="117" customFormat="1" ht="114" customHeight="1" x14ac:dyDescent="0.25">
      <c r="A34" s="101" t="s">
        <v>127</v>
      </c>
      <c r="B34" s="102"/>
      <c r="C34" s="103" t="s">
        <v>65</v>
      </c>
      <c r="D34" s="104" t="s">
        <v>128</v>
      </c>
      <c r="E34" s="105"/>
      <c r="F34" s="106" t="s">
        <v>129</v>
      </c>
      <c r="G34" s="107"/>
      <c r="H34" s="108" t="s">
        <v>98</v>
      </c>
      <c r="I34" s="109">
        <v>46227</v>
      </c>
      <c r="J34" s="109">
        <v>46229</v>
      </c>
      <c r="K34" s="108" t="s">
        <v>18</v>
      </c>
      <c r="L34" s="110" t="s">
        <v>130</v>
      </c>
      <c r="M34" s="111"/>
      <c r="N34" s="112" t="s">
        <v>55</v>
      </c>
      <c r="O34" s="113"/>
      <c r="P34" s="114" t="s">
        <v>131</v>
      </c>
      <c r="Q34" s="115"/>
      <c r="R34" s="115"/>
      <c r="S34" s="115"/>
      <c r="T34" s="115"/>
      <c r="U34" s="115"/>
      <c r="V34" s="116"/>
    </row>
    <row r="35" spans="1:22" s="32" customFormat="1" ht="99" customHeight="1" x14ac:dyDescent="0.6">
      <c r="A35" s="125" t="s">
        <v>132</v>
      </c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7"/>
    </row>
    <row r="36" spans="1:22" ht="96" customHeight="1" x14ac:dyDescent="0.25">
      <c r="A36" s="95" t="s">
        <v>38</v>
      </c>
      <c r="B36" s="96"/>
      <c r="C36" s="97" t="s">
        <v>39</v>
      </c>
      <c r="D36" s="98" t="s">
        <v>40</v>
      </c>
      <c r="E36" s="98"/>
      <c r="F36" s="98" t="s">
        <v>41</v>
      </c>
      <c r="G36" s="98"/>
      <c r="H36" s="97" t="s">
        <v>42</v>
      </c>
      <c r="I36" s="97" t="s">
        <v>43</v>
      </c>
      <c r="J36" s="99" t="s">
        <v>44</v>
      </c>
      <c r="K36" s="99" t="s">
        <v>45</v>
      </c>
      <c r="L36" s="95" t="s">
        <v>133</v>
      </c>
      <c r="M36" s="96"/>
      <c r="N36" s="95" t="s">
        <v>47</v>
      </c>
      <c r="O36" s="96"/>
      <c r="P36" s="95" t="s">
        <v>48</v>
      </c>
      <c r="Q36" s="100"/>
      <c r="R36" s="100"/>
      <c r="S36" s="100"/>
      <c r="T36" s="100"/>
      <c r="U36" s="100"/>
      <c r="V36" s="96"/>
    </row>
    <row r="37" spans="1:22" ht="114" customHeight="1" x14ac:dyDescent="0.25">
      <c r="A37" s="128" t="s">
        <v>134</v>
      </c>
      <c r="B37" s="129"/>
      <c r="C37" s="103" t="s">
        <v>135</v>
      </c>
      <c r="D37" s="104" t="s">
        <v>136</v>
      </c>
      <c r="E37" s="105"/>
      <c r="F37" s="106" t="s">
        <v>92</v>
      </c>
      <c r="G37" s="105"/>
      <c r="H37" s="108" t="s">
        <v>105</v>
      </c>
      <c r="I37" s="109">
        <v>46222</v>
      </c>
      <c r="J37" s="109">
        <v>46227</v>
      </c>
      <c r="K37" s="108" t="s">
        <v>137</v>
      </c>
      <c r="L37" s="130" t="s">
        <v>138</v>
      </c>
      <c r="M37" s="111"/>
      <c r="N37" s="112" t="s">
        <v>139</v>
      </c>
      <c r="O37" s="113"/>
      <c r="P37" s="114" t="s">
        <v>140</v>
      </c>
      <c r="Q37" s="115"/>
      <c r="R37" s="115"/>
      <c r="S37" s="115"/>
      <c r="T37" s="115"/>
      <c r="U37" s="115"/>
      <c r="V37" s="116"/>
    </row>
    <row r="38" spans="1:22" ht="114" customHeight="1" x14ac:dyDescent="0.25">
      <c r="A38" s="128" t="s">
        <v>141</v>
      </c>
      <c r="B38" s="129"/>
      <c r="C38" s="103" t="s">
        <v>142</v>
      </c>
      <c r="D38" s="104" t="s">
        <v>143</v>
      </c>
      <c r="E38" s="105"/>
      <c r="F38" s="106" t="s">
        <v>92</v>
      </c>
      <c r="G38" s="105"/>
      <c r="H38" s="108" t="s">
        <v>144</v>
      </c>
      <c r="I38" s="109">
        <v>46223</v>
      </c>
      <c r="J38" s="109">
        <v>46227</v>
      </c>
      <c r="K38" s="108" t="s">
        <v>18</v>
      </c>
      <c r="L38" s="130" t="s">
        <v>145</v>
      </c>
      <c r="M38" s="111"/>
      <c r="N38" s="112" t="s">
        <v>55</v>
      </c>
      <c r="O38" s="113"/>
      <c r="P38" s="114" t="s">
        <v>146</v>
      </c>
      <c r="Q38" s="115"/>
      <c r="R38" s="115"/>
      <c r="S38" s="115"/>
      <c r="T38" s="115"/>
      <c r="U38" s="115"/>
      <c r="V38" s="116"/>
    </row>
    <row r="39" spans="1:22" ht="114" customHeight="1" x14ac:dyDescent="0.25">
      <c r="A39" s="128" t="s">
        <v>147</v>
      </c>
      <c r="B39" s="129"/>
      <c r="C39" s="103" t="s">
        <v>108</v>
      </c>
      <c r="D39" s="104" t="s">
        <v>148</v>
      </c>
      <c r="E39" s="105"/>
      <c r="F39" s="106" t="s">
        <v>67</v>
      </c>
      <c r="G39" s="105"/>
      <c r="H39" s="108" t="s">
        <v>93</v>
      </c>
      <c r="I39" s="109">
        <v>46217</v>
      </c>
      <c r="J39" s="109">
        <v>46227</v>
      </c>
      <c r="K39" s="108" t="s">
        <v>18</v>
      </c>
      <c r="L39" s="130" t="s">
        <v>145</v>
      </c>
      <c r="M39" s="111"/>
      <c r="N39" s="112" t="s">
        <v>55</v>
      </c>
      <c r="O39" s="113"/>
      <c r="P39" s="114" t="s">
        <v>149</v>
      </c>
      <c r="Q39" s="115"/>
      <c r="R39" s="115"/>
      <c r="S39" s="115"/>
      <c r="T39" s="115"/>
      <c r="U39" s="115"/>
      <c r="V39" s="116"/>
    </row>
    <row r="40" spans="1:22" ht="114" customHeight="1" x14ac:dyDescent="0.25">
      <c r="A40" s="128" t="s">
        <v>150</v>
      </c>
      <c r="B40" s="129"/>
      <c r="C40" s="103" t="s">
        <v>90</v>
      </c>
      <c r="D40" s="104" t="s">
        <v>151</v>
      </c>
      <c r="E40" s="105"/>
      <c r="F40" s="106" t="s">
        <v>152</v>
      </c>
      <c r="G40" s="105"/>
      <c r="H40" s="108" t="s">
        <v>105</v>
      </c>
      <c r="I40" s="109">
        <v>46225</v>
      </c>
      <c r="J40" s="109">
        <v>46227</v>
      </c>
      <c r="K40" s="108" t="s">
        <v>153</v>
      </c>
      <c r="L40" s="130" t="s">
        <v>154</v>
      </c>
      <c r="M40" s="111"/>
      <c r="N40" s="112" t="s">
        <v>155</v>
      </c>
      <c r="O40" s="113"/>
      <c r="P40" s="114" t="s">
        <v>156</v>
      </c>
      <c r="Q40" s="115"/>
      <c r="R40" s="115"/>
      <c r="S40" s="115"/>
      <c r="T40" s="115"/>
      <c r="U40" s="115"/>
      <c r="V40" s="116"/>
    </row>
    <row r="41" spans="1:22" s="32" customFormat="1" ht="99" customHeight="1" x14ac:dyDescent="0.6">
      <c r="A41" s="125" t="s">
        <v>157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7"/>
    </row>
    <row r="42" spans="1:22" ht="96" customHeight="1" x14ac:dyDescent="0.25">
      <c r="A42" s="95" t="s">
        <v>38</v>
      </c>
      <c r="B42" s="96"/>
      <c r="C42" s="97" t="s">
        <v>39</v>
      </c>
      <c r="D42" s="98" t="s">
        <v>40</v>
      </c>
      <c r="E42" s="98"/>
      <c r="F42" s="98" t="s">
        <v>41</v>
      </c>
      <c r="G42" s="98"/>
      <c r="H42" s="97" t="s">
        <v>42</v>
      </c>
      <c r="I42" s="97" t="s">
        <v>43</v>
      </c>
      <c r="J42" s="99" t="s">
        <v>44</v>
      </c>
      <c r="K42" s="99" t="s">
        <v>45</v>
      </c>
      <c r="L42" s="95" t="s">
        <v>133</v>
      </c>
      <c r="M42" s="96"/>
      <c r="N42" s="95" t="s">
        <v>47</v>
      </c>
      <c r="O42" s="96"/>
      <c r="P42" s="95" t="s">
        <v>48</v>
      </c>
      <c r="Q42" s="100"/>
      <c r="R42" s="100"/>
      <c r="S42" s="100"/>
      <c r="T42" s="100"/>
      <c r="U42" s="100"/>
      <c r="V42" s="96"/>
    </row>
    <row r="43" spans="1:22" ht="114" customHeight="1" x14ac:dyDescent="0.25">
      <c r="A43" s="101" t="s">
        <v>158</v>
      </c>
      <c r="B43" s="102"/>
      <c r="C43" s="103" t="s">
        <v>83</v>
      </c>
      <c r="D43" s="104" t="s">
        <v>159</v>
      </c>
      <c r="E43" s="105"/>
      <c r="F43" s="106" t="s">
        <v>160</v>
      </c>
      <c r="G43" s="107"/>
      <c r="H43" s="108" t="s">
        <v>144</v>
      </c>
      <c r="I43" s="109">
        <v>46216</v>
      </c>
      <c r="J43" s="109">
        <v>46228</v>
      </c>
      <c r="K43" s="108" t="s">
        <v>18</v>
      </c>
      <c r="L43" s="110" t="s">
        <v>68</v>
      </c>
      <c r="M43" s="111"/>
      <c r="N43" s="112" t="s">
        <v>55</v>
      </c>
      <c r="O43" s="113"/>
      <c r="P43" s="114" t="s">
        <v>161</v>
      </c>
      <c r="Q43" s="115"/>
      <c r="R43" s="115"/>
      <c r="S43" s="115"/>
      <c r="T43" s="115"/>
      <c r="U43" s="115"/>
      <c r="V43" s="116"/>
    </row>
    <row r="44" spans="1:22" ht="103.5" customHeight="1" x14ac:dyDescent="0.25">
      <c r="A44" s="131" t="s">
        <v>162</v>
      </c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3"/>
    </row>
    <row r="45" spans="1:22" ht="87.75" customHeight="1" x14ac:dyDescent="0.25">
      <c r="A45" s="134" t="s">
        <v>163</v>
      </c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6"/>
      <c r="P45" s="134" t="s">
        <v>164</v>
      </c>
      <c r="Q45" s="135"/>
      <c r="R45" s="135"/>
      <c r="S45" s="135"/>
      <c r="T45" s="135"/>
      <c r="U45" s="135"/>
      <c r="V45" s="136"/>
    </row>
    <row r="46" spans="1:22" ht="114" customHeight="1" x14ac:dyDescent="0.25">
      <c r="A46" s="137" t="s">
        <v>165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9"/>
      <c r="P46" s="140">
        <v>1519</v>
      </c>
      <c r="Q46" s="141"/>
      <c r="R46" s="141"/>
      <c r="S46" s="141"/>
      <c r="T46" s="141"/>
      <c r="U46" s="141"/>
      <c r="V46" s="142"/>
    </row>
    <row r="47" spans="1:22" ht="114" customHeight="1" x14ac:dyDescent="0.25">
      <c r="A47" s="137" t="s">
        <v>116</v>
      </c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9"/>
      <c r="P47" s="140">
        <v>3212</v>
      </c>
      <c r="Q47" s="141"/>
      <c r="R47" s="141"/>
      <c r="S47" s="141"/>
      <c r="T47" s="141"/>
      <c r="U47" s="141"/>
      <c r="V47" s="142"/>
    </row>
    <row r="48" spans="1:22" ht="114" customHeight="1" x14ac:dyDescent="0.25">
      <c r="A48" s="137" t="s">
        <v>166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9"/>
      <c r="P48" s="140">
        <v>3412</v>
      </c>
      <c r="Q48" s="141"/>
      <c r="R48" s="141"/>
      <c r="S48" s="141"/>
      <c r="T48" s="141"/>
      <c r="U48" s="141"/>
      <c r="V48" s="142"/>
    </row>
    <row r="49" spans="1:22" ht="103.5" customHeight="1" x14ac:dyDescent="0.25">
      <c r="A49" s="131" t="s">
        <v>167</v>
      </c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3"/>
    </row>
    <row r="50" spans="1:22" ht="87.75" customHeight="1" x14ac:dyDescent="0.25">
      <c r="A50" s="143" t="s">
        <v>163</v>
      </c>
      <c r="B50" s="143"/>
      <c r="C50" s="143"/>
      <c r="D50" s="143"/>
      <c r="E50" s="143" t="s">
        <v>168</v>
      </c>
      <c r="F50" s="143"/>
      <c r="G50" s="143"/>
      <c r="H50" s="143"/>
      <c r="I50" s="143"/>
      <c r="J50" s="143"/>
      <c r="K50" s="143"/>
      <c r="L50" s="143" t="s">
        <v>42</v>
      </c>
      <c r="M50" s="143"/>
      <c r="N50" s="143"/>
      <c r="O50" s="143"/>
      <c r="P50" s="143" t="s">
        <v>169</v>
      </c>
      <c r="Q50" s="143"/>
      <c r="R50" s="143" t="s">
        <v>48</v>
      </c>
      <c r="S50" s="143"/>
      <c r="T50" s="143"/>
      <c r="U50" s="143"/>
      <c r="V50" s="69" t="s">
        <v>170</v>
      </c>
    </row>
    <row r="51" spans="1:22" s="147" customFormat="1" ht="117" customHeight="1" x14ac:dyDescent="0.6">
      <c r="A51" s="144" t="s">
        <v>171</v>
      </c>
      <c r="B51" s="144"/>
      <c r="C51" s="144"/>
      <c r="D51" s="144"/>
      <c r="E51" s="144" t="s">
        <v>172</v>
      </c>
      <c r="F51" s="144"/>
      <c r="G51" s="144"/>
      <c r="H51" s="144"/>
      <c r="I51" s="144"/>
      <c r="J51" s="144"/>
      <c r="K51" s="144"/>
      <c r="L51" s="144" t="s">
        <v>173</v>
      </c>
      <c r="M51" s="144"/>
      <c r="N51" s="144"/>
      <c r="O51" s="144"/>
      <c r="P51" s="144" t="s">
        <v>174</v>
      </c>
      <c r="Q51" s="145"/>
      <c r="R51" s="144" t="s">
        <v>175</v>
      </c>
      <c r="S51" s="145"/>
      <c r="T51" s="145"/>
      <c r="U51" s="145"/>
      <c r="V51" s="146" t="s">
        <v>176</v>
      </c>
    </row>
    <row r="52" spans="1:22" s="147" customFormat="1" ht="103.5" customHeight="1" x14ac:dyDescent="0.6">
      <c r="A52" s="131" t="s">
        <v>177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3"/>
    </row>
    <row r="53" spans="1:22" s="147" customFormat="1" ht="87.75" customHeight="1" x14ac:dyDescent="0.6">
      <c r="A53" s="143" t="s">
        <v>178</v>
      </c>
      <c r="B53" s="143"/>
      <c r="C53" s="143"/>
      <c r="D53" s="143"/>
      <c r="E53" s="134" t="s">
        <v>179</v>
      </c>
      <c r="F53" s="135"/>
      <c r="G53" s="135"/>
      <c r="H53" s="135"/>
      <c r="I53" s="135"/>
      <c r="J53" s="136"/>
      <c r="K53" s="134" t="s">
        <v>180</v>
      </c>
      <c r="L53" s="136"/>
      <c r="M53" s="134" t="s">
        <v>181</v>
      </c>
      <c r="N53" s="135"/>
      <c r="O53" s="135"/>
      <c r="P53" s="135"/>
      <c r="Q53" s="135"/>
      <c r="R53" s="135"/>
      <c r="S53" s="135"/>
      <c r="T53" s="135"/>
      <c r="U53" s="136"/>
      <c r="V53" s="69" t="s">
        <v>170</v>
      </c>
    </row>
    <row r="54" spans="1:22" s="147" customFormat="1" ht="114" customHeight="1" x14ac:dyDescent="0.6">
      <c r="A54" s="148" t="s">
        <v>182</v>
      </c>
      <c r="B54" s="149"/>
      <c r="C54" s="149"/>
      <c r="D54" s="150"/>
      <c r="E54" s="148" t="s">
        <v>183</v>
      </c>
      <c r="F54" s="149"/>
      <c r="G54" s="149"/>
      <c r="H54" s="149"/>
      <c r="I54" s="149"/>
      <c r="J54" s="150"/>
      <c r="K54" s="148">
        <v>44</v>
      </c>
      <c r="L54" s="150"/>
      <c r="M54" s="148" t="s">
        <v>184</v>
      </c>
      <c r="N54" s="149"/>
      <c r="O54" s="149"/>
      <c r="P54" s="149"/>
      <c r="Q54" s="149"/>
      <c r="R54" s="149"/>
      <c r="S54" s="149"/>
      <c r="T54" s="149"/>
      <c r="U54" s="150"/>
      <c r="V54" s="151" t="s">
        <v>185</v>
      </c>
    </row>
    <row r="55" spans="1:22" s="147" customFormat="1" ht="93.75" customHeight="1" x14ac:dyDescent="0.6">
      <c r="A55" s="134" t="s">
        <v>186</v>
      </c>
      <c r="B55" s="135"/>
      <c r="C55" s="135"/>
      <c r="D55" s="143" t="s">
        <v>187</v>
      </c>
      <c r="E55" s="143"/>
      <c r="F55" s="143"/>
      <c r="G55" s="143"/>
      <c r="H55" s="143"/>
      <c r="I55" s="143"/>
      <c r="J55" s="143"/>
      <c r="K55" s="134" t="s">
        <v>186</v>
      </c>
      <c r="L55" s="135"/>
      <c r="M55" s="135"/>
      <c r="N55" s="135"/>
      <c r="O55" s="136"/>
      <c r="P55" s="134" t="s">
        <v>187</v>
      </c>
      <c r="Q55" s="135"/>
      <c r="R55" s="135"/>
      <c r="S55" s="135"/>
      <c r="T55" s="135"/>
      <c r="U55" s="135"/>
      <c r="V55" s="136"/>
    </row>
    <row r="56" spans="1:22" ht="114" customHeight="1" x14ac:dyDescent="0.25">
      <c r="A56" s="152" t="s">
        <v>188</v>
      </c>
      <c r="B56" s="153"/>
      <c r="C56" s="153"/>
      <c r="D56" s="154" t="s">
        <v>189</v>
      </c>
      <c r="E56" s="154"/>
      <c r="F56" s="154"/>
      <c r="G56" s="154"/>
      <c r="H56" s="154"/>
      <c r="I56" s="154"/>
      <c r="J56" s="155"/>
      <c r="K56" s="156" t="s">
        <v>190</v>
      </c>
      <c r="L56" s="157"/>
      <c r="M56" s="157"/>
      <c r="N56" s="157"/>
      <c r="O56" s="157"/>
      <c r="P56" s="158" t="s">
        <v>191</v>
      </c>
      <c r="Q56" s="158"/>
      <c r="R56" s="158"/>
      <c r="S56" s="158"/>
      <c r="T56" s="158"/>
      <c r="U56" s="158"/>
      <c r="V56" s="159"/>
    </row>
    <row r="57" spans="1:22" ht="114" customHeight="1" x14ac:dyDescent="0.25">
      <c r="A57" s="160"/>
      <c r="B57" s="161"/>
      <c r="C57" s="161"/>
      <c r="D57" s="162" t="s">
        <v>192</v>
      </c>
      <c r="E57" s="162"/>
      <c r="F57" s="162"/>
      <c r="G57" s="162"/>
      <c r="H57" s="162"/>
      <c r="I57" s="162"/>
      <c r="J57" s="163"/>
      <c r="K57" s="164" t="s">
        <v>193</v>
      </c>
      <c r="L57" s="165"/>
      <c r="M57" s="165"/>
      <c r="N57" s="165"/>
      <c r="O57" s="165"/>
      <c r="P57" s="166" t="s">
        <v>191</v>
      </c>
      <c r="Q57" s="166"/>
      <c r="R57" s="166"/>
      <c r="S57" s="166"/>
      <c r="T57" s="166"/>
      <c r="U57" s="166"/>
      <c r="V57" s="167"/>
    </row>
    <row r="58" spans="1:22" ht="114" customHeight="1" x14ac:dyDescent="0.25">
      <c r="A58" s="168" t="s">
        <v>194</v>
      </c>
      <c r="B58" s="169"/>
      <c r="C58" s="169"/>
      <c r="D58" s="170" t="s">
        <v>195</v>
      </c>
      <c r="E58" s="170"/>
      <c r="F58" s="170"/>
      <c r="G58" s="170"/>
      <c r="H58" s="170"/>
      <c r="I58" s="170"/>
      <c r="J58" s="170"/>
      <c r="K58" s="164" t="s">
        <v>196</v>
      </c>
      <c r="L58" s="165"/>
      <c r="M58" s="165"/>
      <c r="N58" s="165"/>
      <c r="O58" s="165"/>
      <c r="P58" s="166" t="s">
        <v>191</v>
      </c>
      <c r="Q58" s="166"/>
      <c r="R58" s="166"/>
      <c r="S58" s="166"/>
      <c r="T58" s="166"/>
      <c r="U58" s="166"/>
      <c r="V58" s="167"/>
    </row>
    <row r="59" spans="1:22" ht="114" customHeight="1" x14ac:dyDescent="0.25">
      <c r="A59" s="164" t="s">
        <v>197</v>
      </c>
      <c r="B59" s="165"/>
      <c r="C59" s="165"/>
      <c r="D59" s="162" t="s">
        <v>198</v>
      </c>
      <c r="E59" s="171"/>
      <c r="F59" s="171"/>
      <c r="G59" s="171"/>
      <c r="H59" s="171"/>
      <c r="I59" s="171"/>
      <c r="J59" s="172"/>
      <c r="K59" s="164" t="s">
        <v>199</v>
      </c>
      <c r="L59" s="165"/>
      <c r="M59" s="165"/>
      <c r="N59" s="165"/>
      <c r="O59" s="165"/>
      <c r="P59" s="154" t="s">
        <v>200</v>
      </c>
      <c r="Q59" s="154"/>
      <c r="R59" s="154"/>
      <c r="S59" s="154"/>
      <c r="T59" s="154"/>
      <c r="U59" s="154"/>
      <c r="V59" s="155"/>
    </row>
    <row r="60" spans="1:22" ht="114" customHeight="1" x14ac:dyDescent="0.25">
      <c r="A60" s="168" t="s">
        <v>201</v>
      </c>
      <c r="B60" s="169"/>
      <c r="C60" s="169"/>
      <c r="D60" s="173" t="s">
        <v>202</v>
      </c>
      <c r="E60" s="173"/>
      <c r="F60" s="173"/>
      <c r="G60" s="173"/>
      <c r="H60" s="173"/>
      <c r="I60" s="173"/>
      <c r="J60" s="174"/>
      <c r="K60" s="175" t="s">
        <v>203</v>
      </c>
      <c r="L60" s="176"/>
      <c r="M60" s="176"/>
      <c r="N60" s="176"/>
      <c r="O60" s="176"/>
      <c r="P60" s="177" t="s">
        <v>204</v>
      </c>
      <c r="Q60" s="177"/>
      <c r="R60" s="177"/>
      <c r="S60" s="177"/>
      <c r="T60" s="177"/>
      <c r="U60" s="177"/>
      <c r="V60" s="178"/>
    </row>
    <row r="61" spans="1:22" ht="114" customHeight="1" x14ac:dyDescent="0.25">
      <c r="A61" s="164" t="s">
        <v>205</v>
      </c>
      <c r="B61" s="165"/>
      <c r="C61" s="165"/>
      <c r="D61" s="166" t="s">
        <v>206</v>
      </c>
      <c r="E61" s="166"/>
      <c r="F61" s="166"/>
      <c r="G61" s="166"/>
      <c r="H61" s="166"/>
      <c r="I61" s="166"/>
      <c r="J61" s="167"/>
      <c r="K61" s="175" t="s">
        <v>207</v>
      </c>
      <c r="L61" s="176"/>
      <c r="M61" s="176"/>
      <c r="N61" s="176"/>
      <c r="O61" s="176"/>
      <c r="P61" s="177" t="s">
        <v>204</v>
      </c>
      <c r="Q61" s="177"/>
      <c r="R61" s="177"/>
      <c r="S61" s="177"/>
      <c r="T61" s="177"/>
      <c r="U61" s="177"/>
      <c r="V61" s="178"/>
    </row>
    <row r="62" spans="1:22" ht="114" customHeight="1" x14ac:dyDescent="0.25">
      <c r="A62" s="164" t="s">
        <v>208</v>
      </c>
      <c r="B62" s="165"/>
      <c r="C62" s="165"/>
      <c r="D62" s="166" t="s">
        <v>209</v>
      </c>
      <c r="E62" s="166"/>
      <c r="F62" s="166"/>
      <c r="G62" s="166"/>
      <c r="H62" s="166"/>
      <c r="I62" s="166"/>
      <c r="J62" s="167"/>
      <c r="K62" s="175" t="s">
        <v>210</v>
      </c>
      <c r="L62" s="176"/>
      <c r="M62" s="176"/>
      <c r="N62" s="176"/>
      <c r="O62" s="176"/>
      <c r="P62" s="177" t="s">
        <v>211</v>
      </c>
      <c r="Q62" s="177"/>
      <c r="R62" s="177"/>
      <c r="S62" s="177"/>
      <c r="T62" s="177"/>
      <c r="U62" s="177"/>
      <c r="V62" s="178"/>
    </row>
    <row r="63" spans="1:22" s="32" customFormat="1" ht="99" customHeight="1" x14ac:dyDescent="0.6">
      <c r="A63" s="179" t="s">
        <v>212</v>
      </c>
      <c r="B63" s="180"/>
      <c r="C63" s="180"/>
      <c r="D63" s="180"/>
      <c r="E63" s="180"/>
      <c r="F63" s="181"/>
      <c r="G63" s="182" t="s">
        <v>164</v>
      </c>
      <c r="H63" s="182"/>
      <c r="I63" s="182"/>
      <c r="J63" s="182"/>
      <c r="K63" s="182"/>
      <c r="L63" s="182"/>
      <c r="M63" s="182"/>
      <c r="N63" s="182"/>
      <c r="O63" s="182"/>
      <c r="P63" s="182" t="s">
        <v>213</v>
      </c>
      <c r="Q63" s="182"/>
      <c r="R63" s="182"/>
      <c r="S63" s="182"/>
      <c r="T63" s="182"/>
      <c r="U63" s="182"/>
      <c r="V63" s="182"/>
    </row>
    <row r="64" spans="1:22" ht="114" customHeight="1" x14ac:dyDescent="0.25">
      <c r="A64" s="183" t="s">
        <v>214</v>
      </c>
      <c r="B64" s="184"/>
      <c r="C64" s="184"/>
      <c r="D64" s="184"/>
      <c r="E64" s="184"/>
      <c r="F64" s="185"/>
      <c r="G64" s="186" t="s">
        <v>215</v>
      </c>
      <c r="H64" s="187"/>
      <c r="I64" s="187"/>
      <c r="J64" s="187"/>
      <c r="K64" s="187"/>
      <c r="L64" s="187"/>
      <c r="M64" s="187"/>
      <c r="N64" s="187"/>
      <c r="O64" s="187"/>
      <c r="P64" s="187">
        <v>8</v>
      </c>
      <c r="Q64" s="187"/>
      <c r="R64" s="187"/>
      <c r="S64" s="187"/>
      <c r="T64" s="187"/>
      <c r="U64" s="187"/>
      <c r="V64" s="187"/>
    </row>
    <row r="65" spans="1:22" ht="114" customHeight="1" x14ac:dyDescent="0.25">
      <c r="A65" s="183" t="s">
        <v>216</v>
      </c>
      <c r="B65" s="184"/>
      <c r="C65" s="184"/>
      <c r="D65" s="184"/>
      <c r="E65" s="184"/>
      <c r="F65" s="185"/>
      <c r="G65" s="187" t="s">
        <v>217</v>
      </c>
      <c r="H65" s="187"/>
      <c r="I65" s="187"/>
      <c r="J65" s="187"/>
      <c r="K65" s="187"/>
      <c r="L65" s="187"/>
      <c r="M65" s="187"/>
      <c r="N65" s="187"/>
      <c r="O65" s="187"/>
      <c r="P65" s="187">
        <v>11</v>
      </c>
      <c r="Q65" s="187"/>
      <c r="R65" s="187"/>
      <c r="S65" s="187"/>
      <c r="T65" s="187"/>
      <c r="U65" s="187"/>
      <c r="V65" s="187"/>
    </row>
    <row r="66" spans="1:22" s="32" customFormat="1" ht="99" customHeight="1" x14ac:dyDescent="0.6">
      <c r="A66" s="179" t="s">
        <v>218</v>
      </c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1"/>
    </row>
    <row r="482" spans="1:22" ht="101.25" customHeight="1" x14ac:dyDescent="0.25">
      <c r="A482" s="179" t="s">
        <v>219</v>
      </c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1"/>
    </row>
  </sheetData>
  <mergeCells count="195">
    <mergeCell ref="A66:V66"/>
    <mergeCell ref="A482:V482"/>
    <mergeCell ref="A64:F64"/>
    <mergeCell ref="G64:O64"/>
    <mergeCell ref="P64:V64"/>
    <mergeCell ref="A65:F65"/>
    <mergeCell ref="G65:O65"/>
    <mergeCell ref="P65:V65"/>
    <mergeCell ref="A62:C62"/>
    <mergeCell ref="D62:J62"/>
    <mergeCell ref="K62:O62"/>
    <mergeCell ref="P62:V62"/>
    <mergeCell ref="A63:F63"/>
    <mergeCell ref="G63:O63"/>
    <mergeCell ref="P63:V63"/>
    <mergeCell ref="A60:C60"/>
    <mergeCell ref="D60:J60"/>
    <mergeCell ref="K60:O60"/>
    <mergeCell ref="P60:V60"/>
    <mergeCell ref="A61:C61"/>
    <mergeCell ref="D61:J61"/>
    <mergeCell ref="K61:O61"/>
    <mergeCell ref="P61:V61"/>
    <mergeCell ref="P57:V57"/>
    <mergeCell ref="A58:C58"/>
    <mergeCell ref="D58:J58"/>
    <mergeCell ref="K58:O58"/>
    <mergeCell ref="P58:V58"/>
    <mergeCell ref="A59:C59"/>
    <mergeCell ref="D59:J59"/>
    <mergeCell ref="K59:O59"/>
    <mergeCell ref="P59:V59"/>
    <mergeCell ref="A55:C55"/>
    <mergeCell ref="D55:J55"/>
    <mergeCell ref="K55:O55"/>
    <mergeCell ref="P55:V55"/>
    <mergeCell ref="A56:C57"/>
    <mergeCell ref="D56:J56"/>
    <mergeCell ref="K56:O56"/>
    <mergeCell ref="P56:V56"/>
    <mergeCell ref="D57:J57"/>
    <mergeCell ref="K57:O57"/>
    <mergeCell ref="A53:D53"/>
    <mergeCell ref="E53:J53"/>
    <mergeCell ref="K53:L53"/>
    <mergeCell ref="M53:U53"/>
    <mergeCell ref="A54:D54"/>
    <mergeCell ref="E54:J54"/>
    <mergeCell ref="K54:L54"/>
    <mergeCell ref="M54:U54"/>
    <mergeCell ref="A51:D51"/>
    <mergeCell ref="E51:K51"/>
    <mergeCell ref="L51:O51"/>
    <mergeCell ref="P51:Q51"/>
    <mergeCell ref="R51:U51"/>
    <mergeCell ref="A52:V52"/>
    <mergeCell ref="A47:O47"/>
    <mergeCell ref="P47:V47"/>
    <mergeCell ref="A48:O48"/>
    <mergeCell ref="P48:V48"/>
    <mergeCell ref="A49:V49"/>
    <mergeCell ref="A50:D50"/>
    <mergeCell ref="E50:K50"/>
    <mergeCell ref="L50:O50"/>
    <mergeCell ref="P50:Q50"/>
    <mergeCell ref="R50:U50"/>
    <mergeCell ref="P42:V42"/>
    <mergeCell ref="P43:V43"/>
    <mergeCell ref="A44:V44"/>
    <mergeCell ref="A45:O45"/>
    <mergeCell ref="P45:V45"/>
    <mergeCell ref="A46:O46"/>
    <mergeCell ref="P46:V46"/>
    <mergeCell ref="P37:V37"/>
    <mergeCell ref="P38:V38"/>
    <mergeCell ref="P39:V39"/>
    <mergeCell ref="P40:V40"/>
    <mergeCell ref="A41:V41"/>
    <mergeCell ref="A42:B42"/>
    <mergeCell ref="D42:E42"/>
    <mergeCell ref="F42:G42"/>
    <mergeCell ref="L42:M42"/>
    <mergeCell ref="N42:O42"/>
    <mergeCell ref="P34:V34"/>
    <mergeCell ref="A35:V35"/>
    <mergeCell ref="A36:B36"/>
    <mergeCell ref="D36:E36"/>
    <mergeCell ref="F36:G36"/>
    <mergeCell ref="L36:M36"/>
    <mergeCell ref="N36:O36"/>
    <mergeCell ref="P36:V36"/>
    <mergeCell ref="P28:V28"/>
    <mergeCell ref="P29:V29"/>
    <mergeCell ref="P30:V30"/>
    <mergeCell ref="P31:V31"/>
    <mergeCell ref="P32:V32"/>
    <mergeCell ref="A33:V33"/>
    <mergeCell ref="P22:V22"/>
    <mergeCell ref="P23:V23"/>
    <mergeCell ref="P24:V24"/>
    <mergeCell ref="P25:V25"/>
    <mergeCell ref="P26:V26"/>
    <mergeCell ref="P27:V27"/>
    <mergeCell ref="P16:V16"/>
    <mergeCell ref="A17:V17"/>
    <mergeCell ref="P18:V18"/>
    <mergeCell ref="P19:V19"/>
    <mergeCell ref="P20:V20"/>
    <mergeCell ref="P21:V21"/>
    <mergeCell ref="U12:V13"/>
    <mergeCell ref="A14:V14"/>
    <mergeCell ref="A15:B15"/>
    <mergeCell ref="D15:E15"/>
    <mergeCell ref="F15:G15"/>
    <mergeCell ref="L15:M15"/>
    <mergeCell ref="N15:O15"/>
    <mergeCell ref="P15:V15"/>
    <mergeCell ref="K12:K13"/>
    <mergeCell ref="L12:L13"/>
    <mergeCell ref="M12:N13"/>
    <mergeCell ref="O12:P13"/>
    <mergeCell ref="Q12:R13"/>
    <mergeCell ref="S12:T13"/>
    <mergeCell ref="S11:T11"/>
    <mergeCell ref="U11:V11"/>
    <mergeCell ref="A12:A13"/>
    <mergeCell ref="B12:C13"/>
    <mergeCell ref="D12:D13"/>
    <mergeCell ref="F12:F13"/>
    <mergeCell ref="G12:G13"/>
    <mergeCell ref="H12:H13"/>
    <mergeCell ref="I12:I13"/>
    <mergeCell ref="J12:J13"/>
    <mergeCell ref="M9:N10"/>
    <mergeCell ref="O9:P10"/>
    <mergeCell ref="Q9:R10"/>
    <mergeCell ref="S9:T10"/>
    <mergeCell ref="U9:V10"/>
    <mergeCell ref="B11:C11"/>
    <mergeCell ref="E11:G11"/>
    <mergeCell ref="M11:N11"/>
    <mergeCell ref="O11:P11"/>
    <mergeCell ref="Q11:R11"/>
    <mergeCell ref="V7:V8"/>
    <mergeCell ref="A9:A10"/>
    <mergeCell ref="B9:C10"/>
    <mergeCell ref="D9:D10"/>
    <mergeCell ref="E9:G10"/>
    <mergeCell ref="H9:H11"/>
    <mergeCell ref="I9:I11"/>
    <mergeCell ref="J9:J11"/>
    <mergeCell ref="K9:K11"/>
    <mergeCell ref="L9:L10"/>
    <mergeCell ref="J7:J8"/>
    <mergeCell ref="K7:K8"/>
    <mergeCell ref="N7:N8"/>
    <mergeCell ref="P7:P8"/>
    <mergeCell ref="R7:R8"/>
    <mergeCell ref="T7:T8"/>
    <mergeCell ref="N5:N6"/>
    <mergeCell ref="P5:P6"/>
    <mergeCell ref="R5:R6"/>
    <mergeCell ref="T5:T6"/>
    <mergeCell ref="V5:V6"/>
    <mergeCell ref="A7:A8"/>
    <mergeCell ref="B7:C8"/>
    <mergeCell ref="F7:G8"/>
    <mergeCell ref="H7:H8"/>
    <mergeCell ref="I7:I8"/>
    <mergeCell ref="Q4:R4"/>
    <mergeCell ref="S4:T4"/>
    <mergeCell ref="U4:V4"/>
    <mergeCell ref="A5:A6"/>
    <mergeCell ref="B5:C6"/>
    <mergeCell ref="F5:G6"/>
    <mergeCell ref="H5:H6"/>
    <mergeCell ref="I5:I6"/>
    <mergeCell ref="J5:J6"/>
    <mergeCell ref="K5:K6"/>
    <mergeCell ref="S1:U2"/>
    <mergeCell ref="V1:V2"/>
    <mergeCell ref="A2:C2"/>
    <mergeCell ref="A3:C4"/>
    <mergeCell ref="D3:G3"/>
    <mergeCell ref="H3:K3"/>
    <mergeCell ref="L3:V3"/>
    <mergeCell ref="D4:G4"/>
    <mergeCell ref="M4:N4"/>
    <mergeCell ref="O4:P4"/>
    <mergeCell ref="A1:C1"/>
    <mergeCell ref="D1:G2"/>
    <mergeCell ref="H1:I2"/>
    <mergeCell ref="J1:K2"/>
    <mergeCell ref="L1:N2"/>
    <mergeCell ref="O1:R2"/>
  </mergeCells>
  <dataValidations count="30">
    <dataValidation type="textLength" errorStyle="information" allowBlank="1" showInputMessage="1" showErrorMessage="1" error="XLBVal:5=65552.82_x000d__x000a_" sqref="CX64314" xr:uid="{BACDE36C-B407-4FD2-9B28-521B6A08FE69}">
      <formula1>0</formula1>
      <formula2>300</formula2>
    </dataValidation>
    <dataValidation type="textLength" errorStyle="information" allowBlank="1" showInputMessage="1" showErrorMessage="1" error="XLBVal:5=33220_x000d__x000a_" sqref="CX64318" xr:uid="{79F92EC5-7EA8-432D-B9D0-59976AC97418}">
      <formula1>0</formula1>
      <formula2>300</formula2>
    </dataValidation>
    <dataValidation type="textLength" errorStyle="information" allowBlank="1" showInputMessage="1" showErrorMessage="1" error="XLBVal:5=7558.54_x000d__x000a_" sqref="CX64326" xr:uid="{4D064D58-F1D7-4C88-B25A-A85907BD6F9E}">
      <formula1>0</formula1>
      <formula2>300</formula2>
    </dataValidation>
    <dataValidation type="textLength" errorStyle="information" allowBlank="1" showInputMessage="1" showErrorMessage="1" error="XLBVal:5=812367.264112149_x000d__x000a_" sqref="CX64330" xr:uid="{4FBCE6A1-DC24-4D9F-AF52-F0541A831652}">
      <formula1>0</formula1>
      <formula2>300</formula2>
    </dataValidation>
    <dataValidation type="textLength" errorStyle="information" allowBlank="1" showInputMessage="1" showErrorMessage="1" error="XLBVal:5=78897.0664655905_x000d__x000a_" sqref="CX64319" xr:uid="{49EB7960-07D4-4206-88CA-4BBBFE16BF0C}">
      <formula1>0</formula1>
      <formula2>300</formula2>
    </dataValidation>
    <dataValidation type="textLength" errorStyle="information" allowBlank="1" showInputMessage="1" showErrorMessage="1" error="XLBVal:5=57417.1622769754_x000d__x000a_" sqref="CX64313" xr:uid="{E1F22191-2D55-4EAB-9877-E0698548ED83}">
      <formula1>0</formula1>
      <formula2>300</formula2>
    </dataValidation>
    <dataValidation type="textLength" errorStyle="information" allowBlank="1" showInputMessage="1" showErrorMessage="1" error="XLBVal:5=1031.37196261682_x000d__x000a_" sqref="CX64315" xr:uid="{EECE13C4-680F-4D6F-B099-B9FE67D2FC4A}">
      <formula1>0</formula1>
      <formula2>300</formula2>
    </dataValidation>
    <dataValidation type="textLength" errorStyle="information" allowBlank="1" showInputMessage="1" showErrorMessage="1" error="XLBVal:5=379048.61_x000d__x000a_" sqref="CX64323" xr:uid="{F6FB4480-D95D-4ABF-AE12-EC1ED0564DDB}">
      <formula1>0</formula1>
      <formula2>300</formula2>
    </dataValidation>
    <dataValidation type="textLength" errorStyle="information" allowBlank="1" showInputMessage="1" showErrorMessage="1" error="XLBVal:5=116642.038971963_x000d__x000a_" sqref="CX64321" xr:uid="{8DFB79F9-32F2-4826-A3F7-360F1493D24B}">
      <formula1>0</formula1>
      <formula2>300</formula2>
    </dataValidation>
    <dataValidation type="textLength" errorStyle="information" allowBlank="1" showInputMessage="1" showErrorMessage="1" error="XLBVal:5=16849.7162616821_x000d__x000a_" sqref="CX64325" xr:uid="{CC885A52-C03B-4E48-86CD-B193E1638A7E}">
      <formula1>0</formula1>
      <formula2>300</formula2>
    </dataValidation>
    <dataValidation type="textLength" errorStyle="information" allowBlank="1" showInputMessage="1" showErrorMessage="1" error="XLBVal:5=1064.01962616822_x000d__x000a_" sqref="DA64315 P64342:Q64342" xr:uid="{87FB5AF7-24EA-4729-8901-F37C85FF9F5F}">
      <formula1>0</formula1>
      <formula2>300</formula2>
    </dataValidation>
    <dataValidation type="textLength" errorStyle="information" allowBlank="1" showInputMessage="1" showErrorMessage="1" error="XLBVal:5=108462.39_x000d__x000a_" sqref="DA64314 P64341:Q64341" xr:uid="{EFE5D31C-2374-4CAF-AC7F-2282D7888F69}">
      <formula1>0</formula1>
      <formula2>300</formula2>
    </dataValidation>
    <dataValidation type="textLength" errorStyle="information" allowBlank="1" showInputMessage="1" showErrorMessage="1" error="XLBVal:5=33859.1606542056_x000d__x000a_" sqref="DA64318 P64345:Q64345" xr:uid="{A605640E-9BA3-47A9-A40C-21167AC38E77}">
      <formula1>0</formula1>
      <formula2>300</formula2>
    </dataValidation>
    <dataValidation type="textLength" errorStyle="information" allowBlank="1" showInputMessage="1" showErrorMessage="1" error="XLBVal:5=7600_x000d__x000a_" sqref="DA64319 P64346:Q64346" xr:uid="{32C266C1-4683-4AD0-BC3A-539E7DFEB5E4}">
      <formula1>0</formula1>
      <formula2>300</formula2>
    </dataValidation>
    <dataValidation type="textLength" errorStyle="information" allowBlank="1" showInputMessage="1" showErrorMessage="1" error="XLBVal:5=10387_x000d__x000a_" sqref="DA64326 P64353:Q64353" xr:uid="{10AD7642-0BD6-43E7-89BF-78BC174C0DBF}">
      <formula1>0</formula1>
      <formula2>300</formula2>
    </dataValidation>
    <dataValidation type="textLength" errorStyle="information" allowBlank="1" showInputMessage="1" showErrorMessage="1" error="XLBVal:5=3041.07_x000d__x000a_" sqref="DA64330 P64357:Q64357" xr:uid="{13E3E213-FF6D-4EF8-8C9C-70A56ABC9F19}">
      <formula1>0</formula1>
      <formula2>300</formula2>
    </dataValidation>
    <dataValidation type="textLength" errorStyle="information" allowBlank="1" showInputMessage="1" showErrorMessage="1" error="XLBVal:5=337579.47_x000d__x000a_" sqref="DA64323 P64350:Q64350" xr:uid="{BAC3644A-B6B5-445B-A20F-6A493E85780A}">
      <formula1>0</formula1>
      <formula2>300</formula2>
    </dataValidation>
    <dataValidation type="textLength" errorStyle="information" allowBlank="1" showInputMessage="1" showErrorMessage="1" error="XLBVal:5=2947.48_x000d__x000a_" sqref="DA64321 P64348:Q64348" xr:uid="{BABFFBCD-C9E3-4343-AE46-97413F931431}">
      <formula1>0</formula1>
      <formula2>300</formula2>
    </dataValidation>
    <dataValidation type="textLength" errorStyle="information" allowBlank="1" showInputMessage="1" showErrorMessage="1" error="XLBVal:5=3124.44_x000d__x000a_" sqref="DA64329 P64356:Q64356" xr:uid="{4DC534E1-304C-4D96-801B-412D889EF908}">
      <formula1>0</formula1>
      <formula2>300</formula2>
    </dataValidation>
    <dataValidation type="textLength" errorStyle="information" allowBlank="1" showInputMessage="1" showErrorMessage="1" error="XLBVal:2=0_x000d__x000a_" sqref="CS64320 D64349:F64349 D64354:F64356 D64347:F64347 D64343:F64344 P64352:Q64352 P64343:Q64344 P64354:Q64355 P64339:Q64339 P64349:Q64349 P64347:Q64347 D64339:F64339" xr:uid="{10C11357-7DF9-4D7C-8CD1-F22BE7AF1834}">
      <formula1>0</formula1>
      <formula2>300</formula2>
    </dataValidation>
    <dataValidation type="textLength" errorStyle="information" allowBlank="1" showInputMessage="1" showErrorMessage="1" error="XLBVal:5=76.46_x000d__x000a_" sqref="CS64314 D64341:F64341" xr:uid="{E05ABCCC-3B95-4557-B40B-DC13059340EB}">
      <formula1>0</formula1>
      <formula2>300</formula2>
    </dataValidation>
    <dataValidation type="textLength" errorStyle="information" allowBlank="1" showInputMessage="1" showErrorMessage="1" error="XLBVal:5=3495_x000d__x000a_" sqref="CS64319 D64346:F64346" xr:uid="{AF6C89FC-D185-4EF0-9208-1504CF351C7A}">
      <formula1>0</formula1>
      <formula2>300</formula2>
    </dataValidation>
    <dataValidation type="textLength" errorStyle="information" allowBlank="1" showInputMessage="1" showErrorMessage="1" error="XLBVal:5=140.186915887849_x000d__x000a_" sqref="CS64315 D64342:F64342" xr:uid="{3B8C448E-0A05-482E-82B6-1C71568CAE9F}">
      <formula1>0</formula1>
      <formula2>300</formula2>
    </dataValidation>
    <dataValidation type="textLength" errorStyle="information" allowBlank="1" showInputMessage="1" showErrorMessage="1" error="XLBVal:5=2730_x000d__x000a_" sqref="CS64318 D64345:F64345" xr:uid="{157239E7-0FD7-4FE7-931F-50ED395232FD}">
      <formula1>0</formula1>
      <formula2>300</formula2>
    </dataValidation>
    <dataValidation type="textLength" errorStyle="information" allowBlank="1" showInputMessage="1" showErrorMessage="1" error="XLBVal:5=29778.32_x000d__x000a_" sqref="CS64323 D64350:F64350" xr:uid="{80969606-7F67-4D4E-B1A3-01B21E6A99E6}">
      <formula1>0</formula1>
      <formula2>300</formula2>
    </dataValidation>
    <dataValidation type="textLength" errorStyle="information" allowBlank="1" showInputMessage="1" showErrorMessage="1" error="XLBVal:5=969_x000d__x000a_" sqref="CS64326 D64353:F64353" xr:uid="{7A4AC81D-63C8-4650-98C5-4212AACBFB3B}">
      <formula1>0</formula1>
      <formula2>300</formula2>
    </dataValidation>
    <dataValidation type="textLength" errorStyle="information" allowBlank="1" showInputMessage="1" showErrorMessage="1" error="XLBVal:5=3831.77570093458_x000d__x000a_" sqref="CS64330 D64357:F64357" xr:uid="{51D90AB9-3E77-4A08-B5EA-96B86E17FF40}">
      <formula1>0</formula1>
      <formula2>300</formula2>
    </dataValidation>
    <dataValidation type="textLength" errorStyle="information" allowBlank="1" showInputMessage="1" showErrorMessage="1" error="XLBVal:5=654.21_x000d__x000a_" sqref="CS64321 D64348:F64348" xr:uid="{F3D65F59-EDA0-4FFA-8A7B-BEE7451C56AF}">
      <formula1>0</formula1>
      <formula2>300</formula2>
    </dataValidation>
    <dataValidation type="textLength" errorStyle="information" allowBlank="1" showInputMessage="1" showErrorMessage="1" error="XLBVal:5=1971.66180968562_x000d__x000a_" sqref="CS64325 D64352:F64352" xr:uid="{CDDC517E-52BC-46DE-80A7-D04F7FF09337}">
      <formula1>0</formula1>
      <formula2>300</formula2>
    </dataValidation>
    <dataValidation type="textLength" errorStyle="information" allowBlank="1" showInputMessage="1" showErrorMessage="1" error="XLBVal:5=9175.87085811385_x000d__x000a_" sqref="CS64313 D64340:F64340" xr:uid="{07A8FC44-EBD5-487C-9231-3BD80CD3833C}">
      <formula1>0</formula1>
      <formula2>300</formula2>
    </dataValidation>
  </dataValidations>
  <printOptions horizontalCentered="1"/>
  <pageMargins left="0" right="0" top="0" bottom="0" header="0" footer="0"/>
  <pageSetup paperSize="9" scale="12" fitToHeight="0" orientation="portrait" horizontalDpi="300" verticalDpi="300" r:id="rId1"/>
  <rowBreaks count="3" manualBreakCount="3">
    <brk id="62" max="16383" man="1"/>
    <brk id="481" max="16383" man="1"/>
    <brk id="87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24.07.26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Manager Avani+ Khao Lak</dc:creator>
  <cp:lastModifiedBy>Duty Manager Avani+ Khao Lak</cp:lastModifiedBy>
  <dcterms:created xsi:type="dcterms:W3CDTF">2026-07-24T00:06:55Z</dcterms:created>
  <dcterms:modified xsi:type="dcterms:W3CDTF">2026-07-24T00:07:24Z</dcterms:modified>
</cp:coreProperties>
</file>