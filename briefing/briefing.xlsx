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LMPC202507256L\Storage\OTH\"/>
    </mc:Choice>
  </mc:AlternateContent>
  <xr:revisionPtr revIDLastSave="0" documentId="13_ncr:1_{3C7158C7-B040-4C29-98A4-B331FA68AA79}" xr6:coauthVersionLast="47" xr6:coauthVersionMax="47" xr10:uidLastSave="{00000000-0000-0000-0000-000000000000}"/>
  <bookViews>
    <workbookView xWindow="0" yWindow="840" windowWidth="16065" windowHeight="13200" xr2:uid="{00000000-000D-0000-FFFF-FFFF00000000}"/>
  </bookViews>
  <sheets>
    <sheet name="Ori Format" sheetId="1" r:id="rId1"/>
  </sheets>
  <definedNames>
    <definedName name="_xlnm.Print_Area" localSheetId="0">'Ori Format'!$A$1:$V$1124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U8" i="1"/>
  <c r="U6" i="1"/>
  <c r="S8" i="1"/>
  <c r="S6" i="1"/>
  <c r="Q8" i="1"/>
  <c r="Q6" i="1"/>
  <c r="O8" i="1"/>
  <c r="O6" i="1"/>
  <c r="M8" i="1"/>
  <c r="M6" i="1"/>
  <c r="E8" i="1"/>
  <c r="E6" i="1"/>
  <c r="M4" i="1"/>
  <c r="O4" i="1" s="1"/>
  <c r="Q4" i="1" s="1"/>
  <c r="S4" i="1" s="1"/>
  <c r="U4" i="1" s="1"/>
</calcChain>
</file>

<file path=xl/sharedStrings.xml><?xml version="1.0" encoding="utf-8"?>
<sst xmlns="http://schemas.openxmlformats.org/spreadsheetml/2006/main" count="133" uniqueCount="93">
  <si>
    <t xml:space="preserve">
YTD GRI 
Goal 95.3 %
by 31 Dec. 2026</t>
  </si>
  <si>
    <t xml:space="preserve">
YTD NPS
Goal 71.9 %
by 31 Dec. 2026</t>
  </si>
  <si>
    <t xml:space="preserve">
MTD NPS
Goal 71.9 %
by 31 Dec. 2026</t>
  </si>
  <si>
    <t xml:space="preserve">
Hotel in Khao Lak 
(- hotels)
Rank #-
Goal #1</t>
  </si>
  <si>
    <t>Show Room
-
Early Departure
-</t>
  </si>
  <si>
    <t>Yesterday</t>
  </si>
  <si>
    <t>TODAY</t>
  </si>
  <si>
    <t>Next 5 days</t>
  </si>
  <si>
    <t>Details</t>
  </si>
  <si>
    <t>Actual MTD</t>
  </si>
  <si>
    <t>Target</t>
  </si>
  <si>
    <t>COMP.</t>
  </si>
  <si>
    <t>ARR.</t>
  </si>
  <si>
    <t>Room 
Upselling</t>
  </si>
  <si>
    <t>AVC</t>
  </si>
  <si>
    <t>HOU</t>
  </si>
  <si>
    <t>DEP.</t>
  </si>
  <si>
    <t>Late C/O</t>
  </si>
  <si>
    <t>No Show</t>
  </si>
  <si>
    <t>RM Occ.</t>
  </si>
  <si>
    <t>Excursion
Comm. target</t>
  </si>
  <si>
    <t>ADR</t>
  </si>
  <si>
    <t>Occ %</t>
  </si>
  <si>
    <t>OCC %</t>
  </si>
  <si>
    <t>Occ%</t>
  </si>
  <si>
    <t>Guest In 
House</t>
  </si>
  <si>
    <t>Gallery</t>
  </si>
  <si>
    <t>VIP ARRIVAL</t>
  </si>
  <si>
    <t xml:space="preserve"> Name</t>
  </si>
  <si>
    <t>Country</t>
  </si>
  <si>
    <t>Room No.</t>
  </si>
  <si>
    <t>VIP</t>
  </si>
  <si>
    <t>Pax</t>
  </si>
  <si>
    <t xml:space="preserve">ARR </t>
  </si>
  <si>
    <t xml:space="preserve">DEP </t>
  </si>
  <si>
    <t>Flight</t>
  </si>
  <si>
    <t>ETA</t>
  </si>
  <si>
    <t>TRSF</t>
  </si>
  <si>
    <t>Remark</t>
  </si>
  <si>
    <t>VIP DEPARTURE</t>
  </si>
  <si>
    <t>ETD</t>
  </si>
  <si>
    <t>Priority Guest (Handicap In House)</t>
  </si>
  <si>
    <t>Guest's Birthday</t>
  </si>
  <si>
    <t>Name</t>
  </si>
  <si>
    <t>Room Number</t>
  </si>
  <si>
    <t>INSPECTION</t>
  </si>
  <si>
    <t xml:space="preserve">Company </t>
  </si>
  <si>
    <t>Time</t>
  </si>
  <si>
    <t>Contact Person</t>
  </si>
  <si>
    <t>GROUP</t>
  </si>
  <si>
    <t>Group Name</t>
  </si>
  <si>
    <t>Period of stay</t>
  </si>
  <si>
    <t>Rooms</t>
  </si>
  <si>
    <t>Event</t>
  </si>
  <si>
    <t>Outlet</t>
  </si>
  <si>
    <t>Special</t>
  </si>
  <si>
    <t>Elements</t>
  </si>
  <si>
    <t>Opening from 06.30 - 10.30 for breakfast</t>
  </si>
  <si>
    <t xml:space="preserve">Burger N' Wing </t>
  </si>
  <si>
    <t>Opening from 12.00 - 20.00</t>
  </si>
  <si>
    <t>The Pantry</t>
  </si>
  <si>
    <t>Opening from 07.00 - 19.00</t>
  </si>
  <si>
    <t>Mizu Bar</t>
  </si>
  <si>
    <t>Mi Scusi</t>
  </si>
  <si>
    <t>AvaniSpa</t>
  </si>
  <si>
    <t>Opening from 09.00 - 21.00</t>
  </si>
  <si>
    <t>Scoop It</t>
  </si>
  <si>
    <t>Closed</t>
  </si>
  <si>
    <t>Opening from 09.00 - 20.00</t>
  </si>
  <si>
    <t>The Beach House</t>
  </si>
  <si>
    <t>AvaniKids</t>
  </si>
  <si>
    <t>The Beach Bar</t>
  </si>
  <si>
    <t>Tennis Court</t>
  </si>
  <si>
    <t>Opening from 06.00 - 22.00</t>
  </si>
  <si>
    <t>Room Available for Upsell</t>
  </si>
  <si>
    <t>Available unit</t>
  </si>
  <si>
    <t>Suite</t>
  </si>
  <si>
    <t>Pool Access</t>
  </si>
  <si>
    <t>ReviewPro</t>
  </si>
  <si>
    <t>ReviewPro Comment</t>
  </si>
  <si>
    <t>Daily Briefing
-</t>
  </si>
  <si>
    <t>-</t>
  </si>
  <si>
    <t xml:space="preserve">
MTD GRI
Goal 95.3 %
by 31 Dec. 2026</t>
  </si>
  <si>
    <t>Coco Fire Beach Club</t>
  </si>
  <si>
    <t>Opening from 18.00 - 22.00 for dinner (Fri - Sun)</t>
  </si>
  <si>
    <t>(Mon - Thu) 11.00 - 21.00 and (Fri - Sun) 11.00 - 18.00</t>
  </si>
  <si>
    <t>Coco Breeze Massage</t>
  </si>
  <si>
    <t>Opening from 09.00 - 18.00</t>
  </si>
  <si>
    <t>AvaniGolf</t>
  </si>
  <si>
    <t>Opening from 11.00 - 23.00</t>
  </si>
  <si>
    <t>AvaniPadel</t>
  </si>
  <si>
    <t>Opening from 07.00 - 22.00</t>
  </si>
  <si>
    <t xml:space="preserve">
Enrollment Done: -
MTD = -
Monthly Target = 680
YTD = -
Yearly Target = 8,160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</si>
</sst>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;@"/>
    <numFmt numFmtId="165" formatCode="#.##&quot;%&quot;"/>
    <numFmt numFmtId="166" formatCode="#,###.##"/>
    <numFmt numFmtId="167" formatCode="#,##0;\-#,##0;\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48"/>
      <name val="Arial"/>
      <family val="2"/>
    </font>
    <font>
      <b/>
      <sz val="30"/>
      <name val="Arial"/>
      <family val="2"/>
    </font>
    <font>
      <b/>
      <sz val="32"/>
      <name val="Arial"/>
      <family val="2"/>
    </font>
    <font>
      <b/>
      <sz val="36"/>
      <color theme="1"/>
      <name val="Arial"/>
      <family val="2"/>
    </font>
    <font>
      <b/>
      <sz val="30"/>
      <color theme="1"/>
      <name val="Arial"/>
      <family val="2"/>
    </font>
    <font>
      <b/>
      <sz val="30"/>
      <color theme="1"/>
      <name val="Calibri"/>
      <family val="2"/>
      <scheme val="minor"/>
    </font>
    <font>
      <b/>
      <sz val="30"/>
      <color indexed="8"/>
      <name val="Arial"/>
      <family val="2"/>
    </font>
    <font>
      <sz val="30"/>
      <color indexed="8"/>
      <name val="Arial"/>
      <family val="2"/>
    </font>
    <font>
      <sz val="30"/>
      <name val="Arial"/>
      <family val="2"/>
    </font>
    <font>
      <b/>
      <sz val="30"/>
      <color rgb="FFFF0000"/>
      <name val="Arial"/>
      <family val="2"/>
    </font>
    <font>
      <sz val="30"/>
      <color rgb="FF000000"/>
      <name val="Arial"/>
      <family val="2"/>
    </font>
    <font>
      <sz val="11"/>
      <color indexed="8"/>
      <name val="Calibri"/>
      <family val="2"/>
    </font>
    <font>
      <b/>
      <sz val="30"/>
      <color rgb="FF000000"/>
      <name val="Arial"/>
      <family val="2"/>
    </font>
    <font>
      <sz val="30"/>
      <color theme="1"/>
      <name val="Calibri"/>
      <family val="2"/>
      <scheme val="minor"/>
    </font>
    <font>
      <b/>
      <sz val="34"/>
      <color indexed="8"/>
      <name val="Arial"/>
      <family val="2"/>
    </font>
    <font>
      <b/>
      <sz val="34"/>
      <color theme="9" tint="-0.249977111117893"/>
      <name val="Arial"/>
      <family val="2"/>
    </font>
    <font>
      <b/>
      <sz val="34"/>
      <name val="Arial"/>
      <family val="2"/>
    </font>
    <font>
      <b/>
      <sz val="34"/>
      <color theme="9" tint="-0.499984740745262"/>
      <name val="Arial"/>
      <family val="2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28"/>
      <color rgb="FF000000"/>
      <name val="Arial"/>
      <family val="2"/>
    </font>
    <font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9999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/>
    <xf numFmtId="0" fontId="1" fillId="0" borderId="0"/>
    <xf numFmtId="43" fontId="14" fillId="0" borderId="0"/>
  </cellStyleXfs>
  <cellXfs count="106">
    <xf numFmtId="0" fontId="0" fillId="0" borderId="0" xfId="0"/>
    <xf numFmtId="0" fontId="1" fillId="0" borderId="0" xfId="2"/>
    <xf numFmtId="0" fontId="8" fillId="0" borderId="0" xfId="2" applyFont="1"/>
    <xf numFmtId="15" fontId="4" fillId="5" borderId="12" xfId="2" applyNumberFormat="1" applyFont="1" applyFill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vertical="center" wrapText="1"/>
    </xf>
    <xf numFmtId="10" fontId="9" fillId="5" borderId="9" xfId="2" applyNumberFormat="1" applyFont="1" applyFill="1" applyBorder="1" applyAlignment="1">
      <alignment horizontal="center" vertical="center" wrapText="1"/>
    </xf>
    <xf numFmtId="14" fontId="4" fillId="5" borderId="12" xfId="2" applyNumberFormat="1" applyFont="1" applyFill="1" applyBorder="1" applyAlignment="1">
      <alignment horizontal="center" vertical="center" wrapText="1"/>
    </xf>
    <xf numFmtId="4" fontId="13" fillId="6" borderId="12" xfId="2" quotePrefix="1" applyNumberFormat="1" applyFont="1" applyFill="1" applyBorder="1" applyAlignment="1">
      <alignment horizontal="center" vertical="center" wrapText="1" readingOrder="1"/>
    </xf>
    <xf numFmtId="0" fontId="13" fillId="6" borderId="12" xfId="2" quotePrefix="1" applyFont="1" applyFill="1" applyBorder="1" applyAlignment="1">
      <alignment horizontal="center" vertical="center" wrapText="1" readingOrder="1"/>
    </xf>
    <xf numFmtId="14" fontId="13" fillId="6" borderId="12" xfId="2" quotePrefix="1" applyNumberFormat="1" applyFont="1" applyFill="1" applyBorder="1" applyAlignment="1">
      <alignment horizontal="center" vertical="center" wrapText="1" readingOrder="1"/>
    </xf>
    <xf numFmtId="0" fontId="16" fillId="0" borderId="0" xfId="2" applyFont="1"/>
    <xf numFmtId="14" fontId="1" fillId="0" borderId="0" xfId="2" applyNumberFormat="1"/>
    <xf numFmtId="0" fontId="9" fillId="5" borderId="12" xfId="2" applyFont="1" applyFill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  <xf numFmtId="3" fontId="10" fillId="3" borderId="12" xfId="2" quotePrefix="1" applyNumberFormat="1" applyFont="1" applyFill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9" fillId="0" borderId="12" xfId="2" quotePrefix="1" applyFont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 wrapText="1"/>
    </xf>
    <xf numFmtId="10" fontId="9" fillId="5" borderId="12" xfId="2" applyNumberFormat="1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167" fontId="10" fillId="3" borderId="12" xfId="2" quotePrefix="1" applyNumberFormat="1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0" fillId="0" borderId="10" xfId="0" applyBorder="1"/>
    <xf numFmtId="0" fontId="18" fillId="0" borderId="3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9" fillId="0" borderId="9" xfId="2" applyFont="1" applyBorder="1" applyAlignment="1">
      <alignment horizontal="center" vertical="center" wrapText="1"/>
    </xf>
    <xf numFmtId="0" fontId="18" fillId="0" borderId="11" xfId="2" applyFont="1" applyBorder="1" applyAlignment="1">
      <alignment horizontal="left" vertical="center" wrapText="1"/>
    </xf>
    <xf numFmtId="0" fontId="0" fillId="0" borderId="11" xfId="0" applyBorder="1"/>
    <xf numFmtId="0" fontId="17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22" fillId="0" borderId="10" xfId="0" applyFont="1" applyBorder="1"/>
    <xf numFmtId="0" fontId="22" fillId="0" borderId="11" xfId="0" applyFont="1" applyBorder="1"/>
    <xf numFmtId="0" fontId="19" fillId="0" borderId="10" xfId="2" applyFont="1" applyBorder="1" applyAlignment="1">
      <alignment horizontal="center" vertical="center" wrapText="1"/>
    </xf>
    <xf numFmtId="0" fontId="18" fillId="0" borderId="10" xfId="2" applyFont="1" applyBorder="1" applyAlignment="1">
      <alignment horizontal="left" vertical="center" wrapText="1"/>
    </xf>
    <xf numFmtId="0" fontId="18" fillId="0" borderId="11" xfId="0" quotePrefix="1" applyFont="1" applyBorder="1" applyAlignment="1">
      <alignment horizontal="left" vertical="center" wrapText="1"/>
    </xf>
    <xf numFmtId="0" fontId="18" fillId="0" borderId="10" xfId="0" quotePrefix="1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1" fillId="0" borderId="10" xfId="0" applyFont="1" applyBorder="1"/>
    <xf numFmtId="0" fontId="21" fillId="0" borderId="11" xfId="0" applyFont="1" applyBorder="1"/>
    <xf numFmtId="0" fontId="19" fillId="0" borderId="10" xfId="0" applyFont="1" applyBorder="1" applyAlignment="1">
      <alignment horizontal="center" vertical="center" wrapText="1"/>
    </xf>
    <xf numFmtId="0" fontId="18" fillId="0" borderId="6" xfId="0" quotePrefix="1" applyFont="1" applyBorder="1" applyAlignment="1">
      <alignment horizontal="left" vertical="center" wrapText="1"/>
    </xf>
    <xf numFmtId="0" fontId="0" fillId="0" borderId="6" xfId="0" applyBorder="1"/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5" xfId="0" applyBorder="1"/>
    <xf numFmtId="0" fontId="4" fillId="3" borderId="12" xfId="2" applyFont="1" applyFill="1" applyBorder="1" applyAlignment="1">
      <alignment horizontal="center" vertical="center" wrapText="1"/>
    </xf>
    <xf numFmtId="0" fontId="9" fillId="5" borderId="12" xfId="2" applyFont="1" applyFill="1" applyBorder="1" applyAlignment="1">
      <alignment horizontal="center" vertical="center" wrapText="1"/>
    </xf>
    <xf numFmtId="0" fontId="9" fillId="0" borderId="12" xfId="2" quotePrefix="1" applyFont="1" applyBorder="1" applyAlignment="1">
      <alignment horizontal="center" vertical="center" wrapText="1"/>
    </xf>
    <xf numFmtId="0" fontId="15" fillId="10" borderId="12" xfId="2" applyFont="1" applyFill="1" applyBorder="1" applyAlignment="1">
      <alignment horizontal="center" vertical="center" wrapText="1"/>
    </xf>
    <xf numFmtId="15" fontId="4" fillId="4" borderId="12" xfId="2" applyNumberFormat="1" applyFont="1" applyFill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0" fillId="0" borderId="8" xfId="0" applyBorder="1"/>
    <xf numFmtId="4" fontId="11" fillId="0" borderId="12" xfId="2" applyNumberFormat="1" applyFont="1" applyBorder="1" applyAlignment="1">
      <alignment horizontal="center" vertical="center" wrapText="1"/>
    </xf>
    <xf numFmtId="0" fontId="23" fillId="7" borderId="12" xfId="2" quotePrefix="1" applyFont="1" applyFill="1" applyBorder="1" applyAlignment="1">
      <alignment horizontal="center" vertical="center" wrapText="1" readingOrder="1"/>
    </xf>
    <xf numFmtId="0" fontId="24" fillId="0" borderId="11" xfId="0" applyFont="1" applyBorder="1"/>
    <xf numFmtId="3" fontId="9" fillId="5" borderId="12" xfId="2" applyNumberFormat="1" applyFont="1" applyFill="1" applyBorder="1" applyAlignment="1">
      <alignment horizontal="center" vertical="center" wrapText="1"/>
    </xf>
    <xf numFmtId="0" fontId="0" fillId="0" borderId="13" xfId="0" applyBorder="1"/>
    <xf numFmtId="3" fontId="11" fillId="0" borderId="12" xfId="2" applyNumberFormat="1" applyFont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  <xf numFmtId="20" fontId="13" fillId="6" borderId="12" xfId="2" quotePrefix="1" applyNumberFormat="1" applyFont="1" applyFill="1" applyBorder="1" applyAlignment="1">
      <alignment horizontal="center" vertical="center" wrapText="1" readingOrder="1"/>
    </xf>
    <xf numFmtId="166" fontId="10" fillId="3" borderId="12" xfId="2" quotePrefix="1" applyNumberFormat="1" applyFont="1" applyFill="1" applyBorder="1" applyAlignment="1">
      <alignment horizontal="center" vertical="center" wrapText="1"/>
    </xf>
    <xf numFmtId="43" fontId="9" fillId="4" borderId="12" xfId="3" applyFont="1" applyFill="1" applyBorder="1" applyAlignment="1">
      <alignment horizontal="center" vertical="center" wrapText="1"/>
    </xf>
    <xf numFmtId="0" fontId="15" fillId="8" borderId="12" xfId="2" applyFont="1" applyFill="1" applyBorder="1" applyAlignment="1">
      <alignment horizontal="center" vertical="center" wrapText="1" readingOrder="1"/>
    </xf>
    <xf numFmtId="3" fontId="10" fillId="3" borderId="12" xfId="2" quotePrefix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7" fillId="4" borderId="12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164" fontId="4" fillId="5" borderId="4" xfId="2" applyNumberFormat="1" applyFont="1" applyFill="1" applyBorder="1" applyAlignment="1">
      <alignment horizontal="center" vertical="center" wrapText="1"/>
    </xf>
    <xf numFmtId="164" fontId="4" fillId="5" borderId="12" xfId="2" applyNumberFormat="1" applyFont="1" applyFill="1" applyBorder="1" applyAlignment="1">
      <alignment horizontal="center" vertical="center" wrapText="1"/>
    </xf>
    <xf numFmtId="0" fontId="23" fillId="6" borderId="12" xfId="2" quotePrefix="1" applyFont="1" applyFill="1" applyBorder="1" applyAlignment="1">
      <alignment horizontal="left" vertical="center" wrapText="1" readingOrder="1"/>
    </xf>
    <xf numFmtId="0" fontId="24" fillId="0" borderId="10" xfId="0" applyFont="1" applyBorder="1"/>
    <xf numFmtId="10" fontId="9" fillId="5" borderId="1" xfId="2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13" fillId="7" borderId="12" xfId="2" quotePrefix="1" applyFont="1" applyFill="1" applyBorder="1" applyAlignment="1">
      <alignment horizontal="center" vertical="center" wrapText="1" readingOrder="1"/>
    </xf>
    <xf numFmtId="0" fontId="13" fillId="6" borderId="12" xfId="2" applyFont="1" applyFill="1" applyBorder="1" applyAlignment="1">
      <alignment vertical="center" wrapText="1" readingOrder="1"/>
    </xf>
    <xf numFmtId="0" fontId="4" fillId="0" borderId="12" xfId="2" applyFont="1" applyBorder="1" applyAlignment="1">
      <alignment horizontal="center" vertical="top" wrapText="1"/>
    </xf>
    <xf numFmtId="0" fontId="15" fillId="9" borderId="12" xfId="2" quotePrefix="1" applyFont="1" applyFill="1" applyBorder="1" applyAlignment="1">
      <alignment horizontal="center" vertical="center" wrapText="1" readingOrder="1"/>
    </xf>
    <xf numFmtId="165" fontId="13" fillId="3" borderId="12" xfId="2" applyNumberFormat="1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165" fontId="13" fillId="0" borderId="12" xfId="2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10" fontId="9" fillId="5" borderId="12" xfId="2" applyNumberFormat="1" applyFont="1" applyFill="1" applyBorder="1" applyAlignment="1">
      <alignment horizontal="center" vertical="center" wrapText="1"/>
    </xf>
    <xf numFmtId="15" fontId="3" fillId="0" borderId="8" xfId="1" applyNumberFormat="1" applyFont="1" applyFill="1" applyBorder="1" applyAlignment="1">
      <alignment horizontal="center" vertical="center" wrapText="1"/>
    </xf>
    <xf numFmtId="0" fontId="15" fillId="6" borderId="12" xfId="2" applyFont="1" applyFill="1" applyBorder="1" applyAlignment="1">
      <alignment horizontal="center" vertical="center" wrapText="1"/>
    </xf>
    <xf numFmtId="0" fontId="15" fillId="9" borderId="12" xfId="2" applyFont="1" applyFill="1" applyBorder="1" applyAlignment="1">
      <alignment horizontal="center" vertical="center" wrapText="1" readingOrder="1"/>
    </xf>
    <xf numFmtId="165" fontId="10" fillId="3" borderId="12" xfId="2" quotePrefix="1" applyNumberFormat="1" applyFont="1" applyFill="1" applyBorder="1" applyAlignment="1">
      <alignment horizontal="center" vertical="center" wrapText="1"/>
    </xf>
    <xf numFmtId="0" fontId="15" fillId="6" borderId="12" xfId="2" quotePrefix="1" applyFont="1" applyFill="1" applyBorder="1" applyAlignment="1">
      <alignment horizontal="center" vertical="center" wrapText="1"/>
    </xf>
    <xf numFmtId="4" fontId="12" fillId="0" borderId="4" xfId="0" applyNumberFormat="1" applyFont="1" applyBorder="1" applyAlignment="1">
      <alignment horizontal="center" vertical="center" wrapText="1"/>
    </xf>
    <xf numFmtId="4" fontId="11" fillId="0" borderId="4" xfId="2" applyNumberFormat="1" applyFont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center" vertical="center" wrapText="1"/>
    </xf>
    <xf numFmtId="43" fontId="9" fillId="4" borderId="4" xfId="3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49" fontId="6" fillId="3" borderId="12" xfId="2" applyNumberFormat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top" wrapText="1"/>
    </xf>
    <xf numFmtId="0" fontId="5" fillId="0" borderId="3" xfId="2" applyFont="1" applyBorder="1" applyAlignment="1">
      <alignment horizontal="center" vertical="top" wrapText="1"/>
    </xf>
    <xf numFmtId="0" fontId="5" fillId="0" borderId="5" xfId="2" applyFont="1" applyBorder="1" applyAlignment="1">
      <alignment horizontal="center" vertical="top" wrapText="1"/>
    </xf>
    <xf numFmtId="0" fontId="5" fillId="0" borderId="6" xfId="2" applyFont="1" applyBorder="1" applyAlignment="1">
      <alignment horizontal="center" vertical="top" wrapText="1"/>
    </xf>
    <xf numFmtId="0" fontId="5" fillId="0" borderId="7" xfId="2" applyFont="1" applyBorder="1" applyAlignment="1">
      <alignment horizontal="center" vertical="top" wrapText="1"/>
    </xf>
    <xf numFmtId="0" fontId="10" fillId="3" borderId="12" xfId="2" applyFont="1" applyFill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top" wrapText="1"/>
    </xf>
    <xf numFmtId="167" fontId="10" fillId="3" borderId="12" xfId="2" applyNumberFormat="1" applyFont="1" applyFill="1" applyBorder="1" applyAlignment="1">
      <alignment horizontal="center" vertical="center" wrapText="1"/>
    </xf>
    <xf numFmtId="167" fontId="0" fillId="0" borderId="8" xfId="0" applyNumberFormat="1" applyBorder="1"/>
    <xf numFmtId="15" fontId="3" fillId="3" borderId="4" xfId="1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3000000}"/>
    <cellStyle name="Good" xfId="1" builtinId="26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533400</xdr:colOff>
      <xdr:row>0</xdr:row>
      <xdr:rowOff>876300</xdr:rowOff>
    </xdr:from>
    <xdr:to>
      <xdr:col>17</xdr:col>
      <xdr:colOff>1434125</xdr:colOff>
      <xdr:row>0</xdr:row>
      <xdr:rowOff>2552700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94900" y="876300"/>
          <a:ext cx="6691925" cy="16764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19</xdr:col>
      <xdr:colOff>38100</xdr:colOff>
      <xdr:row>0</xdr:row>
      <xdr:rowOff>1371600</xdr:rowOff>
    </xdr:from>
    <xdr:ext cx="1981200" cy="179133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67475" y="1371600"/>
          <a:ext cx="1981200" cy="179133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694" t="28179" r="10403" b="27369"/>
        <a:stretch>
          <a:fillRect/>
        </a:stretch>
      </xdr:blipFill>
      <xdr:spPr>
        <a:xfrm>
          <a:off x="3505200" y="1828800"/>
          <a:ext cx="4336066" cy="1710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694" t="28179" r="10403" b="27369"/>
        <a:stretch>
          <a:fillRect/>
        </a:stretch>
      </xdr:blipFill>
      <xdr:spPr>
        <a:xfrm>
          <a:off x="3505200" y="1828800"/>
          <a:ext cx="4336066" cy="171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07"/>
  <sheetViews>
    <sheetView tabSelected="1" view="pageBreakPreview" zoomScale="25" zoomScaleNormal="30" zoomScaleSheetLayoutView="25" workbookViewId="0">
      <selection activeCell="A3" sqref="A3:C4"/>
    </sheetView>
  </sheetViews>
  <sheetFormatPr defaultColWidth="10.42578125" defaultRowHeight="15" x14ac:dyDescent="0.25"/>
  <cols>
    <col min="1" max="1" width="37.7109375" style="1" customWidth="1"/>
    <col min="2" max="2" width="72.85546875" style="1" customWidth="1"/>
    <col min="3" max="3" width="50.42578125" style="1" customWidth="1"/>
    <col min="4" max="4" width="28.42578125" style="1" customWidth="1"/>
    <col min="5" max="5" width="18.42578125" style="1" customWidth="1"/>
    <col min="6" max="7" width="22.140625" style="1" customWidth="1"/>
    <col min="8" max="8" width="38.7109375" style="1" customWidth="1"/>
    <col min="9" max="9" width="43.85546875" style="1" customWidth="1"/>
    <col min="10" max="10" width="43.85546875" style="11" customWidth="1"/>
    <col min="11" max="11" width="44.7109375" style="1" customWidth="1"/>
    <col min="12" max="12" width="41.28515625" style="1" customWidth="1"/>
    <col min="13" max="13" width="29.28515625" style="1" customWidth="1"/>
    <col min="14" max="14" width="28.7109375" style="1" customWidth="1"/>
    <col min="15" max="15" width="29.28515625" style="1" customWidth="1"/>
    <col min="16" max="16" width="28.7109375" style="1" customWidth="1"/>
    <col min="17" max="17" width="29.28515625" style="1" customWidth="1"/>
    <col min="18" max="18" width="28.7109375" style="1" customWidth="1"/>
    <col min="19" max="19" width="29.28515625" style="1" customWidth="1"/>
    <col min="20" max="20" width="28.7109375" style="1" customWidth="1"/>
    <col min="21" max="21" width="29.28515625" style="1" customWidth="1"/>
    <col min="22" max="22" width="110.7109375" style="1" customWidth="1"/>
    <col min="23" max="50" width="10.42578125" style="1" customWidth="1"/>
    <col min="51" max="16384" width="10.42578125" style="1"/>
  </cols>
  <sheetData>
    <row r="1" spans="1:22" ht="336" customHeight="1" x14ac:dyDescent="0.25">
      <c r="A1" s="105"/>
      <c r="B1" s="25"/>
      <c r="C1" s="26"/>
      <c r="D1" s="77" t="s">
        <v>0</v>
      </c>
      <c r="E1" s="25"/>
      <c r="F1" s="25"/>
      <c r="G1" s="26"/>
      <c r="H1" s="77" t="s">
        <v>1</v>
      </c>
      <c r="I1" s="26"/>
      <c r="J1" s="77" t="s">
        <v>82</v>
      </c>
      <c r="K1" s="26"/>
      <c r="L1" s="77" t="s">
        <v>2</v>
      </c>
      <c r="M1" s="25"/>
      <c r="N1" s="26"/>
      <c r="O1" s="95" t="s">
        <v>92</v>
      </c>
      <c r="P1" s="96"/>
      <c r="Q1" s="96"/>
      <c r="R1" s="97"/>
      <c r="S1" s="102" t="s">
        <v>3</v>
      </c>
      <c r="T1" s="25"/>
      <c r="U1" s="26"/>
      <c r="V1" s="94" t="s">
        <v>4</v>
      </c>
    </row>
    <row r="2" spans="1:22" ht="306.60000000000002" customHeight="1" x14ac:dyDescent="0.25">
      <c r="A2" s="84" t="s">
        <v>80</v>
      </c>
      <c r="B2" s="43"/>
      <c r="C2" s="66"/>
      <c r="D2" s="46"/>
      <c r="E2" s="43"/>
      <c r="F2" s="43"/>
      <c r="G2" s="66"/>
      <c r="H2" s="46"/>
      <c r="I2" s="66"/>
      <c r="J2" s="46"/>
      <c r="K2" s="66"/>
      <c r="L2" s="46"/>
      <c r="M2" s="43"/>
      <c r="N2" s="66"/>
      <c r="O2" s="98"/>
      <c r="P2" s="99"/>
      <c r="Q2" s="99"/>
      <c r="R2" s="100"/>
      <c r="S2" s="46"/>
      <c r="T2" s="43"/>
      <c r="U2" s="66"/>
      <c r="V2" s="53"/>
    </row>
    <row r="3" spans="1:22" s="2" customFormat="1" ht="99" customHeight="1" x14ac:dyDescent="0.6">
      <c r="A3" s="68" t="s">
        <v>5</v>
      </c>
      <c r="B3" s="25"/>
      <c r="C3" s="26"/>
      <c r="D3" s="68" t="s">
        <v>6</v>
      </c>
      <c r="E3" s="23"/>
      <c r="F3" s="23"/>
      <c r="G3" s="29"/>
      <c r="H3" s="51"/>
      <c r="I3" s="23"/>
      <c r="J3" s="23"/>
      <c r="K3" s="29"/>
      <c r="L3" s="68" t="s">
        <v>7</v>
      </c>
      <c r="M3" s="23"/>
      <c r="N3" s="23"/>
      <c r="O3" s="23"/>
      <c r="P3" s="23"/>
      <c r="Q3" s="23"/>
      <c r="R3" s="23"/>
      <c r="S3" s="23"/>
      <c r="T3" s="23"/>
      <c r="U3" s="23"/>
      <c r="V3" s="29"/>
    </row>
    <row r="4" spans="1:22" ht="88.5" customHeight="1" x14ac:dyDescent="0.25">
      <c r="A4" s="46"/>
      <c r="B4" s="43"/>
      <c r="C4" s="66"/>
      <c r="D4" s="70" t="s">
        <v>81</v>
      </c>
      <c r="E4" s="23"/>
      <c r="F4" s="23"/>
      <c r="G4" s="29"/>
      <c r="H4" s="3" t="s">
        <v>8</v>
      </c>
      <c r="I4" s="3" t="s">
        <v>5</v>
      </c>
      <c r="J4" s="3" t="s">
        <v>9</v>
      </c>
      <c r="K4" s="3" t="s">
        <v>10</v>
      </c>
      <c r="L4" s="4"/>
      <c r="M4" s="69" t="e">
        <f>D4+1</f>
        <v>#VALUE!</v>
      </c>
      <c r="N4" s="26"/>
      <c r="O4" s="69" t="e">
        <f>M4+1</f>
        <v>#VALUE!</v>
      </c>
      <c r="P4" s="26"/>
      <c r="Q4" s="69" t="e">
        <f>O4+1</f>
        <v>#VALUE!</v>
      </c>
      <c r="R4" s="26"/>
      <c r="S4" s="69" t="e">
        <f>Q4+1</f>
        <v>#VALUE!</v>
      </c>
      <c r="T4" s="26"/>
      <c r="U4" s="69" t="e">
        <f>S4+1</f>
        <v>#VALUE!</v>
      </c>
      <c r="V4" s="26"/>
    </row>
    <row r="5" spans="1:22" ht="55.5" customHeight="1" x14ac:dyDescent="0.25">
      <c r="A5" s="48" t="s">
        <v>11</v>
      </c>
      <c r="B5" s="65"/>
      <c r="C5" s="26"/>
      <c r="D5" s="20" t="s">
        <v>12</v>
      </c>
      <c r="E5" s="14"/>
      <c r="F5" s="65"/>
      <c r="G5" s="26"/>
      <c r="H5" s="48" t="s">
        <v>13</v>
      </c>
      <c r="I5" s="54"/>
      <c r="J5" s="54"/>
      <c r="K5" s="89">
        <v>112333.75</v>
      </c>
      <c r="L5" s="20" t="s">
        <v>12</v>
      </c>
      <c r="M5" s="15"/>
      <c r="N5" s="52"/>
      <c r="O5" s="15"/>
      <c r="P5" s="52"/>
      <c r="Q5" s="15"/>
      <c r="R5" s="52"/>
      <c r="S5" s="15"/>
      <c r="T5" s="52"/>
      <c r="U5" s="15"/>
      <c r="V5" s="52"/>
    </row>
    <row r="6" spans="1:22" ht="55.5" customHeight="1" x14ac:dyDescent="0.25">
      <c r="A6" s="53"/>
      <c r="B6" s="46"/>
      <c r="C6" s="66"/>
      <c r="D6" s="20" t="s">
        <v>14</v>
      </c>
      <c r="E6" s="21">
        <f>F5-E5</f>
        <v>0</v>
      </c>
      <c r="F6" s="46"/>
      <c r="G6" s="66"/>
      <c r="H6" s="53"/>
      <c r="I6" s="53"/>
      <c r="J6" s="53"/>
      <c r="K6" s="91"/>
      <c r="L6" s="20" t="s">
        <v>14</v>
      </c>
      <c r="M6" s="21">
        <f>N5-M5</f>
        <v>0</v>
      </c>
      <c r="N6" s="53"/>
      <c r="O6" s="21">
        <f>P5-O5</f>
        <v>0</v>
      </c>
      <c r="P6" s="53"/>
      <c r="Q6" s="21">
        <f>R5-Q5</f>
        <v>0</v>
      </c>
      <c r="R6" s="53"/>
      <c r="S6" s="21">
        <f>T5-S5</f>
        <v>0</v>
      </c>
      <c r="T6" s="53"/>
      <c r="U6" s="21">
        <f>V5-U5</f>
        <v>0</v>
      </c>
      <c r="V6" s="53"/>
    </row>
    <row r="7" spans="1:22" ht="55.5" customHeight="1" x14ac:dyDescent="0.25">
      <c r="A7" s="48" t="s">
        <v>15</v>
      </c>
      <c r="B7" s="65"/>
      <c r="C7" s="26"/>
      <c r="D7" s="20" t="s">
        <v>16</v>
      </c>
      <c r="E7" s="14"/>
      <c r="F7" s="65"/>
      <c r="G7" s="26"/>
      <c r="H7" s="48" t="s">
        <v>17</v>
      </c>
      <c r="I7" s="54"/>
      <c r="J7" s="54"/>
      <c r="K7" s="82">
        <v>29000</v>
      </c>
      <c r="L7" s="20" t="s">
        <v>16</v>
      </c>
      <c r="M7" s="15"/>
      <c r="N7" s="52"/>
      <c r="O7" s="15"/>
      <c r="P7" s="52"/>
      <c r="Q7" s="15"/>
      <c r="R7" s="52"/>
      <c r="S7" s="15"/>
      <c r="T7" s="52"/>
      <c r="U7" s="15"/>
      <c r="V7" s="52"/>
    </row>
    <row r="8" spans="1:22" ht="55.5" customHeight="1" x14ac:dyDescent="0.25">
      <c r="A8" s="53"/>
      <c r="B8" s="46"/>
      <c r="C8" s="66"/>
      <c r="D8" s="20" t="s">
        <v>14</v>
      </c>
      <c r="E8" s="21">
        <f>F7-E7</f>
        <v>0</v>
      </c>
      <c r="F8" s="46"/>
      <c r="G8" s="66"/>
      <c r="H8" s="53"/>
      <c r="I8" s="53"/>
      <c r="J8" s="53"/>
      <c r="K8" s="53"/>
      <c r="L8" s="20" t="s">
        <v>14</v>
      </c>
      <c r="M8" s="21">
        <f>N7-M7</f>
        <v>0</v>
      </c>
      <c r="N8" s="53"/>
      <c r="O8" s="21">
        <f>P7-O7</f>
        <v>0</v>
      </c>
      <c r="P8" s="53"/>
      <c r="Q8" s="21">
        <f>R7-Q7</f>
        <v>0</v>
      </c>
      <c r="R8" s="53"/>
      <c r="S8" s="21">
        <f>T7-S7</f>
        <v>0</v>
      </c>
      <c r="T8" s="53"/>
      <c r="U8" s="21">
        <f>V7-U7</f>
        <v>0</v>
      </c>
      <c r="V8" s="53"/>
    </row>
    <row r="9" spans="1:22" ht="57" customHeight="1" x14ac:dyDescent="0.25">
      <c r="A9" s="48" t="s">
        <v>18</v>
      </c>
      <c r="B9" s="65"/>
      <c r="C9" s="26"/>
      <c r="D9" s="57" t="s">
        <v>19</v>
      </c>
      <c r="E9" s="65"/>
      <c r="F9" s="25"/>
      <c r="G9" s="26"/>
      <c r="H9" s="48" t="s">
        <v>20</v>
      </c>
      <c r="I9" s="59"/>
      <c r="J9" s="59"/>
      <c r="K9" s="82">
        <v>160368</v>
      </c>
      <c r="L9" s="57" t="s">
        <v>19</v>
      </c>
      <c r="M9" s="52"/>
      <c r="N9" s="26"/>
      <c r="O9" s="52"/>
      <c r="P9" s="26"/>
      <c r="Q9" s="52"/>
      <c r="R9" s="26"/>
      <c r="S9" s="52"/>
      <c r="T9" s="26"/>
      <c r="U9" s="52"/>
      <c r="V9" s="26"/>
    </row>
    <row r="10" spans="1:22" ht="57" customHeight="1" x14ac:dyDescent="0.25">
      <c r="A10" s="53"/>
      <c r="B10" s="46"/>
      <c r="C10" s="66"/>
      <c r="D10" s="53"/>
      <c r="E10" s="46"/>
      <c r="F10" s="43"/>
      <c r="G10" s="66"/>
      <c r="H10" s="58"/>
      <c r="I10" s="58"/>
      <c r="J10" s="58"/>
      <c r="K10" s="58"/>
      <c r="L10" s="53"/>
      <c r="M10" s="46"/>
      <c r="N10" s="66"/>
      <c r="O10" s="46"/>
      <c r="P10" s="66"/>
      <c r="Q10" s="46"/>
      <c r="R10" s="66"/>
      <c r="S10" s="46"/>
      <c r="T10" s="66"/>
      <c r="U10" s="46"/>
      <c r="V10" s="66"/>
    </row>
    <row r="11" spans="1:22" ht="105" customHeight="1" x14ac:dyDescent="0.25">
      <c r="A11" s="12" t="s">
        <v>21</v>
      </c>
      <c r="B11" s="62"/>
      <c r="C11" s="29"/>
      <c r="D11" s="19" t="s">
        <v>22</v>
      </c>
      <c r="E11" s="79"/>
      <c r="F11" s="23"/>
      <c r="G11" s="29"/>
      <c r="H11" s="53"/>
      <c r="I11" s="53"/>
      <c r="J11" s="53"/>
      <c r="K11" s="53"/>
      <c r="L11" s="5" t="s">
        <v>23</v>
      </c>
      <c r="M11" s="81"/>
      <c r="N11" s="29"/>
      <c r="O11" s="81"/>
      <c r="P11" s="29"/>
      <c r="Q11" s="81"/>
      <c r="R11" s="29"/>
      <c r="S11" s="81"/>
      <c r="T11" s="29"/>
      <c r="U11" s="81"/>
      <c r="V11" s="29"/>
    </row>
    <row r="12" spans="1:22" ht="55.5" customHeight="1" x14ac:dyDescent="0.25">
      <c r="A12" s="48" t="s">
        <v>24</v>
      </c>
      <c r="B12" s="87"/>
      <c r="C12" s="26"/>
      <c r="D12" s="83" t="s">
        <v>25</v>
      </c>
      <c r="E12" s="18"/>
      <c r="F12" s="103">
        <f>E12+E13</f>
        <v>0</v>
      </c>
      <c r="G12" s="101"/>
      <c r="H12" s="48" t="s">
        <v>26</v>
      </c>
      <c r="I12" s="90"/>
      <c r="J12" s="54"/>
      <c r="K12" s="89">
        <v>180414</v>
      </c>
      <c r="L12" s="73" t="s">
        <v>25</v>
      </c>
      <c r="M12" s="52"/>
      <c r="N12" s="26"/>
      <c r="O12" s="52"/>
      <c r="P12" s="26"/>
      <c r="Q12" s="52"/>
      <c r="R12" s="26"/>
      <c r="S12" s="52"/>
      <c r="T12" s="26"/>
      <c r="U12" s="52"/>
      <c r="V12" s="26"/>
    </row>
    <row r="13" spans="1:22" ht="55.5" customHeight="1" x14ac:dyDescent="0.25">
      <c r="A13" s="53"/>
      <c r="B13" s="46"/>
      <c r="C13" s="66"/>
      <c r="D13" s="53"/>
      <c r="E13" s="18"/>
      <c r="F13" s="104"/>
      <c r="G13" s="53"/>
      <c r="H13" s="53"/>
      <c r="I13" s="58"/>
      <c r="J13" s="53"/>
      <c r="K13" s="58"/>
      <c r="L13" s="74"/>
      <c r="M13" s="46"/>
      <c r="N13" s="66"/>
      <c r="O13" s="46"/>
      <c r="P13" s="66"/>
      <c r="Q13" s="46"/>
      <c r="R13" s="66"/>
      <c r="S13" s="46"/>
      <c r="T13" s="66"/>
      <c r="U13" s="46"/>
      <c r="V13" s="66"/>
    </row>
    <row r="14" spans="1:22" s="2" customFormat="1" ht="99" customHeight="1" x14ac:dyDescent="0.6">
      <c r="A14" s="92" t="s">
        <v>27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</row>
    <row r="15" spans="1:22" ht="96" customHeight="1" x14ac:dyDescent="0.25">
      <c r="A15" s="60" t="s">
        <v>28</v>
      </c>
      <c r="B15" s="29"/>
      <c r="C15" s="13" t="s">
        <v>29</v>
      </c>
      <c r="D15" s="60" t="s">
        <v>30</v>
      </c>
      <c r="E15" s="29"/>
      <c r="F15" s="60" t="s">
        <v>31</v>
      </c>
      <c r="G15" s="29"/>
      <c r="H15" s="13" t="s">
        <v>32</v>
      </c>
      <c r="I15" s="13" t="s">
        <v>33</v>
      </c>
      <c r="J15" s="6" t="s">
        <v>34</v>
      </c>
      <c r="K15" s="6" t="s">
        <v>35</v>
      </c>
      <c r="L15" s="60" t="s">
        <v>36</v>
      </c>
      <c r="M15" s="29"/>
      <c r="N15" s="60" t="s">
        <v>37</v>
      </c>
      <c r="O15" s="29"/>
      <c r="P15" s="60" t="s">
        <v>38</v>
      </c>
      <c r="Q15" s="23"/>
      <c r="R15" s="23"/>
      <c r="S15" s="23"/>
      <c r="T15" s="23"/>
      <c r="U15" s="23"/>
      <c r="V15" s="29"/>
    </row>
    <row r="16" spans="1:22" ht="114" customHeight="1" x14ac:dyDescent="0.55000000000000004">
      <c r="A16" s="76"/>
      <c r="B16" s="29"/>
      <c r="C16" s="7"/>
      <c r="D16" s="75"/>
      <c r="E16" s="29"/>
      <c r="F16" s="55"/>
      <c r="G16" s="56"/>
      <c r="H16" s="8"/>
      <c r="I16" s="9"/>
      <c r="J16" s="9"/>
      <c r="K16" s="8"/>
      <c r="L16" s="61"/>
      <c r="M16" s="29"/>
      <c r="N16" s="65"/>
      <c r="O16" s="29"/>
      <c r="P16" s="71"/>
      <c r="Q16" s="72"/>
      <c r="R16" s="72"/>
      <c r="S16" s="72"/>
      <c r="T16" s="72"/>
      <c r="U16" s="72"/>
      <c r="V16" s="56"/>
    </row>
    <row r="17" spans="1:22" s="2" customFormat="1" ht="99" customHeight="1" x14ac:dyDescent="0.6">
      <c r="A17" s="63" t="s">
        <v>39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9"/>
    </row>
    <row r="18" spans="1:22" ht="96" customHeight="1" x14ac:dyDescent="0.25">
      <c r="A18" s="60" t="s">
        <v>28</v>
      </c>
      <c r="B18" s="29"/>
      <c r="C18" s="13" t="s">
        <v>29</v>
      </c>
      <c r="D18" s="60" t="s">
        <v>30</v>
      </c>
      <c r="E18" s="29"/>
      <c r="F18" s="60" t="s">
        <v>31</v>
      </c>
      <c r="G18" s="29"/>
      <c r="H18" s="13" t="s">
        <v>32</v>
      </c>
      <c r="I18" s="13" t="s">
        <v>33</v>
      </c>
      <c r="J18" s="6" t="s">
        <v>34</v>
      </c>
      <c r="K18" s="6" t="s">
        <v>35</v>
      </c>
      <c r="L18" s="60" t="s">
        <v>40</v>
      </c>
      <c r="M18" s="29"/>
      <c r="N18" s="60" t="s">
        <v>37</v>
      </c>
      <c r="O18" s="29"/>
      <c r="P18" s="60" t="s">
        <v>38</v>
      </c>
      <c r="Q18" s="23"/>
      <c r="R18" s="23"/>
      <c r="S18" s="23"/>
      <c r="T18" s="23"/>
      <c r="U18" s="23"/>
      <c r="V18" s="29"/>
    </row>
    <row r="19" spans="1:22" ht="114" customHeight="1" x14ac:dyDescent="0.55000000000000004">
      <c r="A19" s="76"/>
      <c r="B19" s="29"/>
      <c r="C19" s="7"/>
      <c r="D19" s="75"/>
      <c r="E19" s="29"/>
      <c r="F19" s="55"/>
      <c r="G19" s="56"/>
      <c r="H19" s="8"/>
      <c r="I19" s="9"/>
      <c r="J19" s="9"/>
      <c r="K19" s="8"/>
      <c r="L19" s="61"/>
      <c r="M19" s="29"/>
      <c r="N19" s="65"/>
      <c r="O19" s="29"/>
      <c r="P19" s="71"/>
      <c r="Q19" s="72"/>
      <c r="R19" s="72"/>
      <c r="S19" s="72"/>
      <c r="T19" s="72"/>
      <c r="U19" s="72"/>
      <c r="V19" s="56"/>
    </row>
    <row r="20" spans="1:22" s="2" customFormat="1" ht="99" customHeight="1" x14ac:dyDescent="0.6">
      <c r="A20" s="63" t="s">
        <v>41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9"/>
    </row>
    <row r="21" spans="1:22" ht="96" customHeight="1" x14ac:dyDescent="0.25">
      <c r="A21" s="60" t="s">
        <v>28</v>
      </c>
      <c r="B21" s="29"/>
      <c r="C21" s="13" t="s">
        <v>29</v>
      </c>
      <c r="D21" s="60" t="s">
        <v>30</v>
      </c>
      <c r="E21" s="29"/>
      <c r="F21" s="60" t="s">
        <v>31</v>
      </c>
      <c r="G21" s="29"/>
      <c r="H21" s="13" t="s">
        <v>32</v>
      </c>
      <c r="I21" s="13" t="s">
        <v>33</v>
      </c>
      <c r="J21" s="6" t="s">
        <v>34</v>
      </c>
      <c r="K21" s="6" t="s">
        <v>35</v>
      </c>
      <c r="L21" s="60" t="s">
        <v>40</v>
      </c>
      <c r="M21" s="29"/>
      <c r="N21" s="60" t="s">
        <v>37</v>
      </c>
      <c r="O21" s="29"/>
      <c r="P21" s="60" t="s">
        <v>38</v>
      </c>
      <c r="Q21" s="23"/>
      <c r="R21" s="23"/>
      <c r="S21" s="23"/>
      <c r="T21" s="23"/>
      <c r="U21" s="23"/>
      <c r="V21" s="29"/>
    </row>
    <row r="22" spans="1:22" ht="114" customHeight="1" x14ac:dyDescent="0.55000000000000004">
      <c r="A22" s="76"/>
      <c r="B22" s="29"/>
      <c r="C22" s="7"/>
      <c r="D22" s="75"/>
      <c r="E22" s="29"/>
      <c r="F22" s="55"/>
      <c r="G22" s="56"/>
      <c r="H22" s="8"/>
      <c r="I22" s="9"/>
      <c r="J22" s="9"/>
      <c r="K22" s="8"/>
      <c r="L22" s="61"/>
      <c r="M22" s="29"/>
      <c r="N22" s="65"/>
      <c r="O22" s="29"/>
      <c r="P22" s="71"/>
      <c r="Q22" s="72"/>
      <c r="R22" s="72"/>
      <c r="S22" s="72"/>
      <c r="T22" s="72"/>
      <c r="U22" s="72"/>
      <c r="V22" s="56"/>
    </row>
    <row r="23" spans="1:22" ht="103.5" customHeight="1" x14ac:dyDescent="0.25">
      <c r="A23" s="64" t="s">
        <v>42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9"/>
    </row>
    <row r="24" spans="1:22" ht="87.75" customHeight="1" x14ac:dyDescent="0.25">
      <c r="A24" s="48" t="s">
        <v>43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9"/>
      <c r="P24" s="48" t="s">
        <v>44</v>
      </c>
      <c r="Q24" s="23"/>
      <c r="R24" s="23"/>
      <c r="S24" s="23"/>
      <c r="T24" s="23"/>
      <c r="U24" s="23"/>
      <c r="V24" s="29"/>
    </row>
    <row r="25" spans="1:22" ht="114" customHeight="1" x14ac:dyDescent="0.25">
      <c r="A25" s="8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9"/>
      <c r="P25" s="78"/>
      <c r="Q25" s="23"/>
      <c r="R25" s="23"/>
      <c r="S25" s="23"/>
      <c r="T25" s="23"/>
      <c r="U25" s="23"/>
      <c r="V25" s="29"/>
    </row>
    <row r="26" spans="1:22" ht="114" customHeight="1" x14ac:dyDescent="0.25">
      <c r="A26" s="8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9"/>
      <c r="P26" s="78"/>
      <c r="Q26" s="23"/>
      <c r="R26" s="23"/>
      <c r="S26" s="23"/>
      <c r="T26" s="23"/>
      <c r="U26" s="23"/>
      <c r="V26" s="29"/>
    </row>
    <row r="27" spans="1:22" ht="114" customHeight="1" x14ac:dyDescent="0.25">
      <c r="A27" s="8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9"/>
      <c r="P27" s="78"/>
      <c r="Q27" s="23"/>
      <c r="R27" s="23"/>
      <c r="S27" s="23"/>
      <c r="T27" s="23"/>
      <c r="U27" s="23"/>
      <c r="V27" s="29"/>
    </row>
    <row r="28" spans="1:22" ht="103.5" customHeight="1" x14ac:dyDescent="0.25">
      <c r="A28" s="64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9"/>
    </row>
    <row r="29" spans="1:22" ht="87.75" customHeight="1" x14ac:dyDescent="0.25">
      <c r="A29" s="48" t="s">
        <v>43</v>
      </c>
      <c r="B29" s="23"/>
      <c r="C29" s="23"/>
      <c r="D29" s="29"/>
      <c r="E29" s="48" t="s">
        <v>46</v>
      </c>
      <c r="F29" s="23"/>
      <c r="G29" s="23"/>
      <c r="H29" s="23"/>
      <c r="I29" s="23"/>
      <c r="J29" s="23"/>
      <c r="K29" s="29"/>
      <c r="L29" s="48" t="s">
        <v>32</v>
      </c>
      <c r="M29" s="23"/>
      <c r="N29" s="23"/>
      <c r="O29" s="29"/>
      <c r="P29" s="48" t="s">
        <v>47</v>
      </c>
      <c r="Q29" s="29"/>
      <c r="R29" s="48" t="s">
        <v>38</v>
      </c>
      <c r="S29" s="23"/>
      <c r="T29" s="23"/>
      <c r="U29" s="29"/>
      <c r="V29" s="12" t="s">
        <v>48</v>
      </c>
    </row>
    <row r="30" spans="1:22" s="10" customFormat="1" ht="117" customHeight="1" x14ac:dyDescent="0.6">
      <c r="A30" s="49"/>
      <c r="B30" s="23"/>
      <c r="C30" s="23"/>
      <c r="D30" s="29"/>
      <c r="E30" s="49"/>
      <c r="F30" s="23"/>
      <c r="G30" s="23"/>
      <c r="H30" s="23"/>
      <c r="I30" s="23"/>
      <c r="J30" s="23"/>
      <c r="K30" s="29"/>
      <c r="L30" s="49"/>
      <c r="M30" s="23"/>
      <c r="N30" s="23"/>
      <c r="O30" s="29"/>
      <c r="P30" s="49"/>
      <c r="Q30" s="29"/>
      <c r="R30" s="49"/>
      <c r="S30" s="23"/>
      <c r="T30" s="23"/>
      <c r="U30" s="29"/>
      <c r="V30" s="17"/>
    </row>
    <row r="31" spans="1:22" s="10" customFormat="1" ht="103.5" customHeight="1" x14ac:dyDescent="0.6">
      <c r="A31" s="64" t="s">
        <v>49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9"/>
    </row>
    <row r="32" spans="1:22" s="10" customFormat="1" ht="87.75" customHeight="1" x14ac:dyDescent="0.6">
      <c r="A32" s="48" t="s">
        <v>50</v>
      </c>
      <c r="B32" s="23"/>
      <c r="C32" s="23"/>
      <c r="D32" s="29"/>
      <c r="E32" s="48" t="s">
        <v>51</v>
      </c>
      <c r="F32" s="23"/>
      <c r="G32" s="23"/>
      <c r="H32" s="23"/>
      <c r="I32" s="23"/>
      <c r="J32" s="29"/>
      <c r="K32" s="48" t="s">
        <v>52</v>
      </c>
      <c r="L32" s="29"/>
      <c r="M32" s="48" t="s">
        <v>53</v>
      </c>
      <c r="N32" s="23"/>
      <c r="O32" s="23"/>
      <c r="P32" s="23"/>
      <c r="Q32" s="23"/>
      <c r="R32" s="23"/>
      <c r="S32" s="23"/>
      <c r="T32" s="23"/>
      <c r="U32" s="29"/>
      <c r="V32" s="12" t="s">
        <v>48</v>
      </c>
    </row>
    <row r="33" spans="1:22" s="10" customFormat="1" ht="114" customHeight="1" x14ac:dyDescent="0.6">
      <c r="A33" s="47"/>
      <c r="B33" s="23"/>
      <c r="C33" s="23"/>
      <c r="D33" s="29"/>
      <c r="E33" s="47"/>
      <c r="F33" s="23"/>
      <c r="G33" s="23"/>
      <c r="H33" s="23"/>
      <c r="I33" s="23"/>
      <c r="J33" s="29"/>
      <c r="K33" s="47"/>
      <c r="L33" s="29"/>
      <c r="M33" s="47"/>
      <c r="N33" s="23"/>
      <c r="O33" s="23"/>
      <c r="P33" s="23"/>
      <c r="Q33" s="23"/>
      <c r="R33" s="23"/>
      <c r="S33" s="23"/>
      <c r="T33" s="23"/>
      <c r="U33" s="29"/>
      <c r="V33" s="16"/>
    </row>
    <row r="34" spans="1:22" s="10" customFormat="1" ht="93.75" customHeight="1" x14ac:dyDescent="0.6">
      <c r="A34" s="80" t="s">
        <v>54</v>
      </c>
      <c r="B34" s="23"/>
      <c r="C34" s="23"/>
      <c r="D34" s="48" t="s">
        <v>55</v>
      </c>
      <c r="E34" s="23"/>
      <c r="F34" s="23"/>
      <c r="G34" s="23"/>
      <c r="H34" s="23"/>
      <c r="I34" s="23"/>
      <c r="J34" s="29"/>
      <c r="K34" s="48" t="s">
        <v>54</v>
      </c>
      <c r="L34" s="23"/>
      <c r="M34" s="23"/>
      <c r="N34" s="23"/>
      <c r="O34" s="29"/>
      <c r="P34" s="48" t="s">
        <v>55</v>
      </c>
      <c r="Q34" s="23"/>
      <c r="R34" s="23"/>
      <c r="S34" s="23"/>
      <c r="T34" s="23"/>
      <c r="U34" s="23"/>
      <c r="V34" s="29"/>
    </row>
    <row r="35" spans="1:22" ht="114" customHeight="1" x14ac:dyDescent="0.25">
      <c r="A35" s="30" t="s">
        <v>56</v>
      </c>
      <c r="B35" s="25"/>
      <c r="C35" s="25"/>
      <c r="D35" s="45" t="s">
        <v>57</v>
      </c>
      <c r="E35" s="23"/>
      <c r="F35" s="23"/>
      <c r="G35" s="23"/>
      <c r="H35" s="23"/>
      <c r="I35" s="23"/>
      <c r="J35" s="29"/>
      <c r="K35" s="22" t="s">
        <v>83</v>
      </c>
      <c r="L35" s="41"/>
      <c r="M35" s="41"/>
      <c r="N35" s="41"/>
      <c r="O35" s="41"/>
      <c r="P35" s="37" t="s">
        <v>59</v>
      </c>
      <c r="Q35" s="37"/>
      <c r="R35" s="37"/>
      <c r="S35" s="37"/>
      <c r="T35" s="37"/>
      <c r="U35" s="37"/>
      <c r="V35" s="36"/>
    </row>
    <row r="36" spans="1:22" ht="114" customHeight="1" x14ac:dyDescent="0.25">
      <c r="A36" s="46"/>
      <c r="B36" s="43"/>
      <c r="C36" s="43"/>
      <c r="D36" s="38" t="s">
        <v>84</v>
      </c>
      <c r="E36" s="39"/>
      <c r="F36" s="39"/>
      <c r="G36" s="39"/>
      <c r="H36" s="39"/>
      <c r="I36" s="39"/>
      <c r="J36" s="40"/>
      <c r="K36" s="22" t="s">
        <v>62</v>
      </c>
      <c r="L36" s="41"/>
      <c r="M36" s="41"/>
      <c r="N36" s="41"/>
      <c r="O36" s="41"/>
      <c r="P36" s="37" t="s">
        <v>59</v>
      </c>
      <c r="Q36" s="37"/>
      <c r="R36" s="37"/>
      <c r="S36" s="37"/>
      <c r="T36" s="37"/>
      <c r="U36" s="37"/>
      <c r="V36" s="36"/>
    </row>
    <row r="37" spans="1:22" ht="114" customHeight="1" x14ac:dyDescent="0.25">
      <c r="A37" s="30" t="s">
        <v>60</v>
      </c>
      <c r="B37" s="23"/>
      <c r="C37" s="23"/>
      <c r="D37" s="42" t="s">
        <v>61</v>
      </c>
      <c r="E37" s="43"/>
      <c r="F37" s="43"/>
      <c r="G37" s="43"/>
      <c r="H37" s="43"/>
      <c r="I37" s="43"/>
      <c r="J37" s="43"/>
      <c r="K37" s="22" t="s">
        <v>64</v>
      </c>
      <c r="L37" s="41"/>
      <c r="M37" s="41"/>
      <c r="N37" s="41"/>
      <c r="O37" s="41"/>
      <c r="P37" s="44" t="s">
        <v>65</v>
      </c>
      <c r="Q37" s="44"/>
      <c r="R37" s="44"/>
      <c r="S37" s="44"/>
      <c r="T37" s="44"/>
      <c r="U37" s="44"/>
      <c r="V37" s="45"/>
    </row>
    <row r="38" spans="1:22" ht="114" customHeight="1" x14ac:dyDescent="0.25">
      <c r="A38" s="22" t="s">
        <v>63</v>
      </c>
      <c r="B38" s="23"/>
      <c r="C38" s="23"/>
      <c r="D38" s="38" t="s">
        <v>85</v>
      </c>
      <c r="E38" s="39"/>
      <c r="F38" s="39"/>
      <c r="G38" s="39"/>
      <c r="H38" s="39"/>
      <c r="I38" s="39"/>
      <c r="J38" s="40"/>
      <c r="K38" s="27" t="s">
        <v>86</v>
      </c>
      <c r="L38" s="34"/>
      <c r="M38" s="34"/>
      <c r="N38" s="34"/>
      <c r="O38" s="34"/>
      <c r="P38" s="44" t="s">
        <v>87</v>
      </c>
      <c r="Q38" s="44"/>
      <c r="R38" s="44"/>
      <c r="S38" s="44"/>
      <c r="T38" s="44"/>
      <c r="U38" s="44"/>
      <c r="V38" s="45"/>
    </row>
    <row r="39" spans="1:22" ht="114" customHeight="1" x14ac:dyDescent="0.25">
      <c r="A39" s="30" t="s">
        <v>66</v>
      </c>
      <c r="B39" s="23"/>
      <c r="C39" s="23"/>
      <c r="D39" s="31" t="s">
        <v>67</v>
      </c>
      <c r="E39" s="32"/>
      <c r="F39" s="32"/>
      <c r="G39" s="32"/>
      <c r="H39" s="32"/>
      <c r="I39" s="32"/>
      <c r="J39" s="33"/>
      <c r="K39" s="27" t="s">
        <v>88</v>
      </c>
      <c r="L39" s="34"/>
      <c r="M39" s="34"/>
      <c r="N39" s="34"/>
      <c r="O39" s="34"/>
      <c r="P39" s="35" t="s">
        <v>87</v>
      </c>
      <c r="Q39" s="35"/>
      <c r="R39" s="35"/>
      <c r="S39" s="35"/>
      <c r="T39" s="35"/>
      <c r="U39" s="35"/>
      <c r="V39" s="28"/>
    </row>
    <row r="40" spans="1:22" ht="114" customHeight="1" x14ac:dyDescent="0.25">
      <c r="A40" s="22" t="s">
        <v>69</v>
      </c>
      <c r="B40" s="23"/>
      <c r="C40" s="23"/>
      <c r="D40" s="36" t="s">
        <v>89</v>
      </c>
      <c r="E40" s="23"/>
      <c r="F40" s="23"/>
      <c r="G40" s="23"/>
      <c r="H40" s="23"/>
      <c r="I40" s="23"/>
      <c r="J40" s="29"/>
      <c r="K40" s="27" t="s">
        <v>70</v>
      </c>
      <c r="L40" s="34"/>
      <c r="M40" s="34"/>
      <c r="N40" s="34"/>
      <c r="O40" s="34"/>
      <c r="P40" s="35" t="s">
        <v>68</v>
      </c>
      <c r="Q40" s="35"/>
      <c r="R40" s="35"/>
      <c r="S40" s="35"/>
      <c r="T40" s="35"/>
      <c r="U40" s="35"/>
      <c r="V40" s="28"/>
    </row>
    <row r="41" spans="1:22" ht="114" customHeight="1" x14ac:dyDescent="0.25">
      <c r="A41" s="22" t="s">
        <v>71</v>
      </c>
      <c r="B41" s="23"/>
      <c r="C41" s="23"/>
      <c r="D41" s="36" t="s">
        <v>89</v>
      </c>
      <c r="E41" s="23"/>
      <c r="F41" s="23"/>
      <c r="G41" s="23"/>
      <c r="H41" s="23"/>
      <c r="I41" s="23"/>
      <c r="J41" s="29"/>
      <c r="K41" s="27" t="s">
        <v>72</v>
      </c>
      <c r="L41" s="23"/>
      <c r="M41" s="23"/>
      <c r="N41" s="23"/>
      <c r="O41" s="23"/>
      <c r="P41" s="28" t="s">
        <v>73</v>
      </c>
      <c r="Q41" s="23"/>
      <c r="R41" s="23"/>
      <c r="S41" s="23"/>
      <c r="T41" s="23"/>
      <c r="U41" s="23"/>
      <c r="V41" s="29"/>
    </row>
    <row r="42" spans="1:22" ht="114" customHeight="1" x14ac:dyDescent="0.25">
      <c r="A42" s="22" t="s">
        <v>58</v>
      </c>
      <c r="B42" s="23"/>
      <c r="C42" s="23"/>
      <c r="D42" s="24" t="s">
        <v>59</v>
      </c>
      <c r="E42" s="25"/>
      <c r="F42" s="25"/>
      <c r="G42" s="25"/>
      <c r="H42" s="25"/>
      <c r="I42" s="25"/>
      <c r="J42" s="26"/>
      <c r="K42" s="27" t="s">
        <v>90</v>
      </c>
      <c r="L42" s="23"/>
      <c r="M42" s="23"/>
      <c r="N42" s="23"/>
      <c r="O42" s="23"/>
      <c r="P42" s="28" t="s">
        <v>91</v>
      </c>
      <c r="Q42" s="23"/>
      <c r="R42" s="23"/>
      <c r="S42" s="23"/>
      <c r="T42" s="23"/>
      <c r="U42" s="23"/>
      <c r="V42" s="29"/>
    </row>
    <row r="43" spans="1:22" s="2" customFormat="1" ht="99" customHeight="1" x14ac:dyDescent="0.6">
      <c r="A43" s="67" t="s">
        <v>74</v>
      </c>
      <c r="B43" s="23"/>
      <c r="C43" s="23"/>
      <c r="D43" s="23"/>
      <c r="E43" s="23"/>
      <c r="F43" s="29"/>
      <c r="G43" s="50" t="s">
        <v>44</v>
      </c>
      <c r="H43" s="23"/>
      <c r="I43" s="23"/>
      <c r="J43" s="23"/>
      <c r="K43" s="23"/>
      <c r="L43" s="23"/>
      <c r="M43" s="23"/>
      <c r="N43" s="23"/>
      <c r="O43" s="29"/>
      <c r="P43" s="50" t="s">
        <v>75</v>
      </c>
      <c r="Q43" s="23"/>
      <c r="R43" s="23"/>
      <c r="S43" s="23"/>
      <c r="T43" s="23"/>
      <c r="U43" s="23"/>
      <c r="V43" s="29"/>
    </row>
    <row r="44" spans="1:22" ht="114" customHeight="1" x14ac:dyDescent="0.25">
      <c r="A44" s="93" t="s">
        <v>76</v>
      </c>
      <c r="B44" s="23"/>
      <c r="C44" s="23"/>
      <c r="D44" s="23"/>
      <c r="E44" s="23"/>
      <c r="F44" s="29"/>
      <c r="G44" s="88"/>
      <c r="H44" s="23"/>
      <c r="I44" s="23"/>
      <c r="J44" s="23"/>
      <c r="K44" s="23"/>
      <c r="L44" s="23"/>
      <c r="M44" s="23"/>
      <c r="N44" s="23"/>
      <c r="O44" s="29"/>
      <c r="P44" s="85"/>
      <c r="Q44" s="23"/>
      <c r="R44" s="23"/>
      <c r="S44" s="23"/>
      <c r="T44" s="23"/>
      <c r="U44" s="23"/>
      <c r="V44" s="29"/>
    </row>
    <row r="45" spans="1:22" ht="114" customHeight="1" x14ac:dyDescent="0.25">
      <c r="A45" s="93" t="s">
        <v>77</v>
      </c>
      <c r="B45" s="23"/>
      <c r="C45" s="23"/>
      <c r="D45" s="23"/>
      <c r="E45" s="23"/>
      <c r="F45" s="29"/>
      <c r="G45" s="85"/>
      <c r="H45" s="23"/>
      <c r="I45" s="23"/>
      <c r="J45" s="23"/>
      <c r="K45" s="23"/>
      <c r="L45" s="23"/>
      <c r="M45" s="23"/>
      <c r="N45" s="23"/>
      <c r="O45" s="29"/>
      <c r="P45" s="85"/>
      <c r="Q45" s="23"/>
      <c r="R45" s="23"/>
      <c r="S45" s="23"/>
      <c r="T45" s="23"/>
      <c r="U45" s="23"/>
      <c r="V45" s="29"/>
    </row>
    <row r="46" spans="1:22" s="2" customFormat="1" ht="99" customHeight="1" x14ac:dyDescent="0.6">
      <c r="A46" s="67" t="s">
        <v>78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9"/>
    </row>
    <row r="607" spans="1:22" ht="101.25" customHeight="1" x14ac:dyDescent="0.25">
      <c r="A607" s="67" t="s">
        <v>79</v>
      </c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9"/>
    </row>
  </sheetData>
  <mergeCells count="193">
    <mergeCell ref="P27:V27"/>
    <mergeCell ref="P22:V22"/>
    <mergeCell ref="P30:Q30"/>
    <mergeCell ref="P25:V25"/>
    <mergeCell ref="N5:N6"/>
    <mergeCell ref="P15:V15"/>
    <mergeCell ref="D9:D10"/>
    <mergeCell ref="S1:U2"/>
    <mergeCell ref="F12:F13"/>
    <mergeCell ref="N21:O21"/>
    <mergeCell ref="A20:V20"/>
    <mergeCell ref="Q4:R4"/>
    <mergeCell ref="P5:P6"/>
    <mergeCell ref="R5:R6"/>
    <mergeCell ref="H5:H6"/>
    <mergeCell ref="J5:J6"/>
    <mergeCell ref="H1:I2"/>
    <mergeCell ref="J1:K2"/>
    <mergeCell ref="A18:B18"/>
    <mergeCell ref="S11:T11"/>
    <mergeCell ref="A1:C1"/>
    <mergeCell ref="T7:T8"/>
    <mergeCell ref="V7:V8"/>
    <mergeCell ref="E9:G10"/>
    <mergeCell ref="K7:K8"/>
    <mergeCell ref="V1:V2"/>
    <mergeCell ref="A3:C4"/>
    <mergeCell ref="D3:G3"/>
    <mergeCell ref="M4:N4"/>
    <mergeCell ref="A16:B16"/>
    <mergeCell ref="O1:R2"/>
    <mergeCell ref="L1:N2"/>
    <mergeCell ref="F16:G16"/>
    <mergeCell ref="L16:M16"/>
    <mergeCell ref="N16:O16"/>
    <mergeCell ref="G12:G13"/>
    <mergeCell ref="M12:N13"/>
    <mergeCell ref="O12:P13"/>
    <mergeCell ref="Q11:R11"/>
    <mergeCell ref="O11:P11"/>
    <mergeCell ref="H12:H13"/>
    <mergeCell ref="J12:J13"/>
    <mergeCell ref="P45:V45"/>
    <mergeCell ref="P16:V16"/>
    <mergeCell ref="V5:V6"/>
    <mergeCell ref="P29:Q29"/>
    <mergeCell ref="K32:L32"/>
    <mergeCell ref="A27:O27"/>
    <mergeCell ref="D19:E19"/>
    <mergeCell ref="B7:C8"/>
    <mergeCell ref="H7:H8"/>
    <mergeCell ref="I9:I11"/>
    <mergeCell ref="J7:J8"/>
    <mergeCell ref="M9:N10"/>
    <mergeCell ref="O9:P10"/>
    <mergeCell ref="K5:K6"/>
    <mergeCell ref="U11:V11"/>
    <mergeCell ref="T5:T6"/>
    <mergeCell ref="A12:A13"/>
    <mergeCell ref="D34:J34"/>
    <mergeCell ref="A29:D29"/>
    <mergeCell ref="A14:V14"/>
    <mergeCell ref="A7:A8"/>
    <mergeCell ref="Q12:R13"/>
    <mergeCell ref="A45:F45"/>
    <mergeCell ref="A44:F44"/>
    <mergeCell ref="A607:V607"/>
    <mergeCell ref="A23:V23"/>
    <mergeCell ref="A19:B19"/>
    <mergeCell ref="G45:O45"/>
    <mergeCell ref="G43:O43"/>
    <mergeCell ref="U12:V13"/>
    <mergeCell ref="A26:O26"/>
    <mergeCell ref="A21:B21"/>
    <mergeCell ref="D15:E15"/>
    <mergeCell ref="P44:V44"/>
    <mergeCell ref="A30:D30"/>
    <mergeCell ref="B12:C13"/>
    <mergeCell ref="K34:O34"/>
    <mergeCell ref="G44:O44"/>
    <mergeCell ref="D21:E21"/>
    <mergeCell ref="K12:K13"/>
    <mergeCell ref="L29:O29"/>
    <mergeCell ref="F15:G15"/>
    <mergeCell ref="I12:I13"/>
    <mergeCell ref="A43:F43"/>
    <mergeCell ref="L30:O30"/>
    <mergeCell ref="L19:M19"/>
    <mergeCell ref="A25:O25"/>
    <mergeCell ref="A24:O24"/>
    <mergeCell ref="A31:V31"/>
    <mergeCell ref="A22:B22"/>
    <mergeCell ref="B5:C6"/>
    <mergeCell ref="N15:O15"/>
    <mergeCell ref="D1:G2"/>
    <mergeCell ref="P34:V34"/>
    <mergeCell ref="F7:G8"/>
    <mergeCell ref="N22:O22"/>
    <mergeCell ref="A15:B15"/>
    <mergeCell ref="R29:U29"/>
    <mergeCell ref="P26:V26"/>
    <mergeCell ref="A5:A6"/>
    <mergeCell ref="D16:E16"/>
    <mergeCell ref="E32:J32"/>
    <mergeCell ref="E11:G11"/>
    <mergeCell ref="A34:C34"/>
    <mergeCell ref="S9:T10"/>
    <mergeCell ref="M11:N11"/>
    <mergeCell ref="K9:K11"/>
    <mergeCell ref="K33:L33"/>
    <mergeCell ref="D12:D13"/>
    <mergeCell ref="A9:A10"/>
    <mergeCell ref="A2:C2"/>
    <mergeCell ref="P18:V18"/>
    <mergeCell ref="A46:V46"/>
    <mergeCell ref="F19:G19"/>
    <mergeCell ref="L3:V3"/>
    <mergeCell ref="P24:V24"/>
    <mergeCell ref="L18:M18"/>
    <mergeCell ref="P7:P8"/>
    <mergeCell ref="U9:V10"/>
    <mergeCell ref="S4:T4"/>
    <mergeCell ref="D4:G4"/>
    <mergeCell ref="U4:V4"/>
    <mergeCell ref="S12:T13"/>
    <mergeCell ref="B9:C10"/>
    <mergeCell ref="P19:V19"/>
    <mergeCell ref="L12:L13"/>
    <mergeCell ref="F21:G21"/>
    <mergeCell ref="N19:O19"/>
    <mergeCell ref="D22:E22"/>
    <mergeCell ref="R30:U30"/>
    <mergeCell ref="M33:U33"/>
    <mergeCell ref="D18:E18"/>
    <mergeCell ref="F18:G18"/>
    <mergeCell ref="L15:M15"/>
    <mergeCell ref="I5:I6"/>
    <mergeCell ref="O4:P4"/>
    <mergeCell ref="E33:J33"/>
    <mergeCell ref="A32:D32"/>
    <mergeCell ref="E30:K30"/>
    <mergeCell ref="P43:V43"/>
    <mergeCell ref="H3:K3"/>
    <mergeCell ref="R7:R8"/>
    <mergeCell ref="I7:I8"/>
    <mergeCell ref="F22:G22"/>
    <mergeCell ref="L9:L10"/>
    <mergeCell ref="H9:H11"/>
    <mergeCell ref="J9:J11"/>
    <mergeCell ref="L21:M21"/>
    <mergeCell ref="L22:M22"/>
    <mergeCell ref="B11:C11"/>
    <mergeCell ref="E29:K29"/>
    <mergeCell ref="A17:V17"/>
    <mergeCell ref="A28:V28"/>
    <mergeCell ref="A33:D33"/>
    <mergeCell ref="M32:U32"/>
    <mergeCell ref="F5:G6"/>
    <mergeCell ref="N18:O18"/>
    <mergeCell ref="N7:N8"/>
    <mergeCell ref="Q9:R10"/>
    <mergeCell ref="P21:V21"/>
    <mergeCell ref="P35:V35"/>
    <mergeCell ref="D36:J36"/>
    <mergeCell ref="K36:O36"/>
    <mergeCell ref="P36:V36"/>
    <mergeCell ref="A37:C37"/>
    <mergeCell ref="D37:J37"/>
    <mergeCell ref="K37:O37"/>
    <mergeCell ref="P37:V37"/>
    <mergeCell ref="A38:C38"/>
    <mergeCell ref="D38:J38"/>
    <mergeCell ref="K38:O38"/>
    <mergeCell ref="P38:V38"/>
    <mergeCell ref="A35:C36"/>
    <mergeCell ref="D35:J35"/>
    <mergeCell ref="K35:O35"/>
    <mergeCell ref="A42:C42"/>
    <mergeCell ref="D42:J42"/>
    <mergeCell ref="K42:O42"/>
    <mergeCell ref="P42:V42"/>
    <mergeCell ref="A39:C39"/>
    <mergeCell ref="D39:J39"/>
    <mergeCell ref="K39:O39"/>
    <mergeCell ref="P39:V39"/>
    <mergeCell ref="A40:C40"/>
    <mergeCell ref="D40:J40"/>
    <mergeCell ref="K40:O40"/>
    <mergeCell ref="P40:V40"/>
    <mergeCell ref="A41:C41"/>
    <mergeCell ref="D41:J41"/>
    <mergeCell ref="K41:O41"/>
    <mergeCell ref="P41:V41"/>
  </mergeCells>
  <dataValidations count="30">
    <dataValidation type="textLength" errorStyle="information" allowBlank="1" showInputMessage="1" showErrorMessage="1" error="XLBVal:5=9175.87085811385_x000d__x000a_" sqref="D64465:F64465 CS64438" xr:uid="{00000000-0002-0000-0000-000000000000}">
      <formula1>0</formula1>
      <formula2>300</formula2>
    </dataValidation>
    <dataValidation type="textLength" errorStyle="information" allowBlank="1" showInputMessage="1" showErrorMessage="1" error="XLBVal:5=1971.66180968562_x000d__x000a_" sqref="D64477:F64477 CS64450" xr:uid="{00000000-0002-0000-0000-000001000000}">
      <formula1>0</formula1>
      <formula2>300</formula2>
    </dataValidation>
    <dataValidation type="textLength" errorStyle="information" allowBlank="1" showInputMessage="1" showErrorMessage="1" error="XLBVal:5=654.21_x000d__x000a_" sqref="D64473:F64473 CS64446" xr:uid="{00000000-0002-0000-0000-000002000000}">
      <formula1>0</formula1>
      <formula2>300</formula2>
    </dataValidation>
    <dataValidation type="textLength" errorStyle="information" allowBlank="1" showInputMessage="1" showErrorMessage="1" error="XLBVal:5=3831.77570093458_x000d__x000a_" sqref="D64482:F64482 CS64455" xr:uid="{00000000-0002-0000-0000-000003000000}">
      <formula1>0</formula1>
      <formula2>300</formula2>
    </dataValidation>
    <dataValidation type="textLength" errorStyle="information" allowBlank="1" showInputMessage="1" showErrorMessage="1" error="XLBVal:5=969_x000d__x000a_" sqref="D64478:F64478 CS64451" xr:uid="{00000000-0002-0000-0000-000004000000}">
      <formula1>0</formula1>
      <formula2>300</formula2>
    </dataValidation>
    <dataValidation type="textLength" errorStyle="information" allowBlank="1" showInputMessage="1" showErrorMessage="1" error="XLBVal:5=29778.32_x000d__x000a_" sqref="D64475:F64475 CS64448" xr:uid="{00000000-0002-0000-0000-000005000000}">
      <formula1>0</formula1>
      <formula2>300</formula2>
    </dataValidation>
    <dataValidation type="textLength" errorStyle="information" allowBlank="1" showInputMessage="1" showErrorMessage="1" error="XLBVal:5=2730_x000d__x000a_" sqref="D64470:F64470 CS64443" xr:uid="{00000000-0002-0000-0000-000006000000}">
      <formula1>0</formula1>
      <formula2>300</formula2>
    </dataValidation>
    <dataValidation type="textLength" errorStyle="information" allowBlank="1" showInputMessage="1" showErrorMessage="1" error="XLBVal:5=140.186915887849_x000d__x000a_" sqref="D64467:F64467 CS64440" xr:uid="{00000000-0002-0000-0000-000007000000}">
      <formula1>0</formula1>
      <formula2>300</formula2>
    </dataValidation>
    <dataValidation type="textLength" errorStyle="information" allowBlank="1" showInputMessage="1" showErrorMessage="1" error="XLBVal:5=3495_x000d__x000a_" sqref="D64471:F64471 CS64444" xr:uid="{00000000-0002-0000-0000-000008000000}">
      <formula1>0</formula1>
      <formula2>300</formula2>
    </dataValidation>
    <dataValidation type="textLength" errorStyle="information" allowBlank="1" showInputMessage="1" showErrorMessage="1" error="XLBVal:5=76.46_x000d__x000a_" sqref="D64466:F64466 CS64439" xr:uid="{00000000-0002-0000-0000-000009000000}">
      <formula1>0</formula1>
      <formula2>300</formula2>
    </dataValidation>
    <dataValidation type="textLength" errorStyle="information" allowBlank="1" showInputMessage="1" showErrorMessage="1" error="XLBVal:2=0_x000d__x000a_" sqref="D64464:F64464 D64468:F64469 D64472:F64472 D64474:F64474 D64479:F64481 P64464:Q64464 P64468:Q64469 P64472:Q64472 P64474:Q64474 P64477:Q64477 P64479:Q64480 CS64445" xr:uid="{00000000-0002-0000-0000-00000A000000}">
      <formula1>0</formula1>
      <formula2>300</formula2>
    </dataValidation>
    <dataValidation type="textLength" errorStyle="information" allowBlank="1" showInputMessage="1" showErrorMessage="1" error="XLBVal:5=3124.44_x000d__x000a_" sqref="P64481:Q64481 DA64454" xr:uid="{00000000-0002-0000-0000-00000B000000}">
      <formula1>0</formula1>
      <formula2>300</formula2>
    </dataValidation>
    <dataValidation type="textLength" errorStyle="information" allowBlank="1" showInputMessage="1" showErrorMessage="1" error="XLBVal:5=2947.48_x000d__x000a_" sqref="P64473:Q64473 DA64446" xr:uid="{00000000-0002-0000-0000-00000C000000}">
      <formula1>0</formula1>
      <formula2>300</formula2>
    </dataValidation>
    <dataValidation type="textLength" errorStyle="information" allowBlank="1" showInputMessage="1" showErrorMessage="1" error="XLBVal:5=337579.47_x000d__x000a_" sqref="P64475:Q64475 DA64448" xr:uid="{00000000-0002-0000-0000-00000D000000}">
      <formula1>0</formula1>
      <formula2>300</formula2>
    </dataValidation>
    <dataValidation type="textLength" errorStyle="information" allowBlank="1" showInputMessage="1" showErrorMessage="1" error="XLBVal:5=3041.07_x000d__x000a_" sqref="P64482:Q64482 DA64455" xr:uid="{00000000-0002-0000-0000-00000E000000}">
      <formula1>0</formula1>
      <formula2>300</formula2>
    </dataValidation>
    <dataValidation type="textLength" errorStyle="information" allowBlank="1" showInputMessage="1" showErrorMessage="1" error="XLBVal:5=10387_x000d__x000a_" sqref="P64478:Q64478 DA64451" xr:uid="{00000000-0002-0000-0000-00000F000000}">
      <formula1>0</formula1>
      <formula2>300</formula2>
    </dataValidation>
    <dataValidation type="textLength" errorStyle="information" allowBlank="1" showInputMessage="1" showErrorMessage="1" error="XLBVal:5=7600_x000d__x000a_" sqref="P64471:Q64471 DA64444" xr:uid="{00000000-0002-0000-0000-000010000000}">
      <formula1>0</formula1>
      <formula2>300</formula2>
    </dataValidation>
    <dataValidation type="textLength" errorStyle="information" allowBlank="1" showInputMessage="1" showErrorMessage="1" error="XLBVal:5=33859.1606542056_x000d__x000a_" sqref="P64470:Q64470 DA64443" xr:uid="{00000000-0002-0000-0000-000011000000}">
      <formula1>0</formula1>
      <formula2>300</formula2>
    </dataValidation>
    <dataValidation type="textLength" errorStyle="information" allowBlank="1" showInputMessage="1" showErrorMessage="1" error="XLBVal:5=108462.39_x000d__x000a_" sqref="P64466:Q64466 DA64439" xr:uid="{00000000-0002-0000-0000-000012000000}">
      <formula1>0</formula1>
      <formula2>300</formula2>
    </dataValidation>
    <dataValidation type="textLength" errorStyle="information" allowBlank="1" showInputMessage="1" showErrorMessage="1" error="XLBVal:5=1064.01962616822_x000d__x000a_" sqref="P64467:Q64467 DA64440" xr:uid="{00000000-0002-0000-0000-000013000000}">
      <formula1>0</formula1>
      <formula2>300</formula2>
    </dataValidation>
    <dataValidation type="textLength" errorStyle="information" allowBlank="1" showInputMessage="1" showErrorMessage="1" error="XLBVal:5=16849.7162616821_x000d__x000a_" sqref="CX64450" xr:uid="{00000000-0002-0000-0000-000014000000}">
      <formula1>0</formula1>
      <formula2>300</formula2>
    </dataValidation>
    <dataValidation type="textLength" errorStyle="information" allowBlank="1" showInputMessage="1" showErrorMessage="1" error="XLBVal:5=116642.038971963_x000d__x000a_" sqref="CX64446" xr:uid="{00000000-0002-0000-0000-000015000000}">
      <formula1>0</formula1>
      <formula2>300</formula2>
    </dataValidation>
    <dataValidation type="textLength" errorStyle="information" allowBlank="1" showInputMessage="1" showErrorMessage="1" error="XLBVal:5=379048.61_x000d__x000a_" sqref="CX64448" xr:uid="{00000000-0002-0000-0000-000016000000}">
      <formula1>0</formula1>
      <formula2>300</formula2>
    </dataValidation>
    <dataValidation type="textLength" errorStyle="information" allowBlank="1" showInputMessage="1" showErrorMessage="1" error="XLBVal:5=1031.37196261682_x000d__x000a_" sqref="CX64440" xr:uid="{00000000-0002-0000-0000-000017000000}">
      <formula1>0</formula1>
      <formula2>300</formula2>
    </dataValidation>
    <dataValidation type="textLength" errorStyle="information" allowBlank="1" showInputMessage="1" showErrorMessage="1" error="XLBVal:5=57417.1622769754_x000d__x000a_" sqref="CX64438" xr:uid="{00000000-0002-0000-0000-000018000000}">
      <formula1>0</formula1>
      <formula2>300</formula2>
    </dataValidation>
    <dataValidation type="textLength" errorStyle="information" allowBlank="1" showInputMessage="1" showErrorMessage="1" error="XLBVal:5=78897.0664655905_x000d__x000a_" sqref="CX64444" xr:uid="{00000000-0002-0000-0000-000019000000}">
      <formula1>0</formula1>
      <formula2>300</formula2>
    </dataValidation>
    <dataValidation type="textLength" errorStyle="information" allowBlank="1" showInputMessage="1" showErrorMessage="1" error="XLBVal:5=812367.264112149_x000d__x000a_" sqref="CX64455" xr:uid="{00000000-0002-0000-0000-00001A000000}">
      <formula1>0</formula1>
      <formula2>300</formula2>
    </dataValidation>
    <dataValidation type="textLength" errorStyle="information" allowBlank="1" showInputMessage="1" showErrorMessage="1" error="XLBVal:5=7558.54_x000d__x000a_" sqref="CX64451" xr:uid="{00000000-0002-0000-0000-00001B000000}">
      <formula1>0</formula1>
      <formula2>300</formula2>
    </dataValidation>
    <dataValidation type="textLength" errorStyle="information" allowBlank="1" showInputMessage="1" showErrorMessage="1" error="XLBVal:5=33220_x000d__x000a_" sqref="CX64443" xr:uid="{00000000-0002-0000-0000-00001C000000}">
      <formula1>0</formula1>
      <formula2>300</formula2>
    </dataValidation>
    <dataValidation type="textLength" errorStyle="information" allowBlank="1" showInputMessage="1" showErrorMessage="1" error="XLBVal:5=65552.82_x000d__x000a_" sqref="CX64439" xr:uid="{00000000-0002-0000-0000-00001D000000}">
      <formula1>0</formula1>
      <formula2>300</formula2>
    </dataValidation>
  </dataValidations>
  <printOptions horizontalCentered="1"/>
  <pageMargins left="0" right="0" top="0" bottom="0" header="0" footer="0"/>
  <pageSetup paperSize="9" scale="12" fitToHeight="0" orientation="portrait" horizontalDpi="300" verticalDpi="300" r:id="rId1"/>
  <rowBreaks count="3" manualBreakCount="3">
    <brk id="30" max="26" man="1"/>
    <brk id="328" max="26" man="1"/>
    <brk id="712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 Format</vt:lpstr>
      <vt:lpstr>'Ori Format'!Print_Area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Manager Avani+ Khao Lak</dc:creator>
  <cp:lastModifiedBy>Duty Manager Avani+ Khao Lak</cp:lastModifiedBy>
  <dcterms:created xsi:type="dcterms:W3CDTF">2026-07-24T20:34:28Z</dcterms:created>
  <dcterms:modified xsi:type="dcterms:W3CDTF">2026-08-31T18:13:43Z</dcterms:modified>
</cp:coreProperties>
</file>