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tymanager.vkhl\Documents\1E\"/>
    </mc:Choice>
  </mc:AlternateContent>
  <xr:revisionPtr revIDLastSave="0" documentId="13_ncr:1_{23174979-721D-4436-B11B-125479BBBED2}" xr6:coauthVersionLast="47" xr6:coauthVersionMax="47" xr10:uidLastSave="{00000000-0000-0000-0000-000000000000}"/>
  <bookViews>
    <workbookView xWindow="-120" yWindow="-120" windowWidth="29040" windowHeight="15720" xr2:uid="{70457059-44E1-443D-8C1F-68F039ACECD9}"/>
  </bookViews>
  <sheets>
    <sheet name="TIM" sheetId="5" r:id="rId1"/>
    <sheet name="IMM" sheetId="10" r:id="rId2"/>
    <sheet name="F1_" sheetId="12" r:id="rId3"/>
    <sheet name="COP_" sheetId="18" r:id="rId4"/>
    <sheet name="ASSETs" sheetId="3" r:id="rId5"/>
    <sheet name="Car_" sheetId="13" r:id="rId6"/>
  </sheets>
  <definedNames>
    <definedName name="_xleta.MID" hidden="1" xlm="1">#NAME?</definedName>
    <definedName name="_xleta.ROWS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11" i="3" l="1"/>
  <c r="M111" i="3"/>
  <c r="S110" i="3"/>
  <c r="M110" i="3"/>
  <c r="S109" i="3"/>
  <c r="M109" i="3"/>
  <c r="S108" i="3"/>
  <c r="M108" i="3"/>
  <c r="S107" i="3"/>
  <c r="M107" i="3"/>
  <c r="S106" i="3"/>
  <c r="M106" i="3"/>
  <c r="S105" i="3"/>
  <c r="M105" i="3"/>
  <c r="S104" i="3"/>
  <c r="M104" i="3"/>
  <c r="S103" i="3"/>
  <c r="M103" i="3"/>
  <c r="S102" i="3"/>
  <c r="M102" i="3"/>
  <c r="S101" i="3"/>
  <c r="M101" i="3"/>
  <c r="S100" i="3"/>
  <c r="M100" i="3"/>
  <c r="S99" i="3"/>
  <c r="M99" i="3"/>
  <c r="S98" i="3"/>
  <c r="M98" i="3"/>
  <c r="S97" i="3"/>
  <c r="M97" i="3"/>
  <c r="S96" i="3"/>
  <c r="M96" i="3"/>
  <c r="S95" i="3"/>
  <c r="M95" i="3"/>
  <c r="S94" i="3"/>
  <c r="M94" i="3"/>
  <c r="S93" i="3"/>
  <c r="M93" i="3"/>
  <c r="S92" i="3"/>
  <c r="M92" i="3"/>
  <c r="S91" i="3"/>
  <c r="M91" i="3"/>
  <c r="S90" i="3"/>
  <c r="M90" i="3"/>
  <c r="S89" i="3"/>
  <c r="M89" i="3"/>
  <c r="S88" i="3"/>
  <c r="M88" i="3"/>
  <c r="S87" i="3"/>
  <c r="M87" i="3"/>
  <c r="S86" i="3"/>
  <c r="M86" i="3"/>
  <c r="S85" i="3"/>
  <c r="M85" i="3"/>
  <c r="S84" i="3"/>
  <c r="M84" i="3"/>
  <c r="S83" i="3"/>
  <c r="M83" i="3"/>
  <c r="S82" i="3"/>
  <c r="M82" i="3"/>
  <c r="O43" i="12"/>
  <c r="S80" i="3"/>
  <c r="M78" i="3"/>
  <c r="K80" i="3"/>
  <c r="S79" i="3"/>
  <c r="M79" i="3"/>
  <c r="S78" i="3"/>
  <c r="S77" i="3"/>
  <c r="M77" i="3"/>
  <c r="S76" i="3"/>
  <c r="M76" i="3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O154" i="12"/>
  <c r="O155" i="12"/>
  <c r="O156" i="12"/>
  <c r="O157" i="12"/>
  <c r="O158" i="12"/>
  <c r="O159" i="12"/>
  <c r="O160" i="12"/>
  <c r="O161" i="12"/>
  <c r="O162" i="12"/>
  <c r="O163" i="12"/>
  <c r="O164" i="12"/>
  <c r="O165" i="12"/>
  <c r="O166" i="12"/>
  <c r="O167" i="12"/>
  <c r="O168" i="12"/>
  <c r="O169" i="12"/>
  <c r="O170" i="12"/>
  <c r="O171" i="12"/>
  <c r="O172" i="12"/>
  <c r="O173" i="12"/>
  <c r="O174" i="12"/>
  <c r="O175" i="12"/>
  <c r="O176" i="12"/>
  <c r="O177" i="12"/>
  <c r="O178" i="12"/>
  <c r="O179" i="12"/>
  <c r="O180" i="12"/>
  <c r="O181" i="12"/>
  <c r="O182" i="12"/>
  <c r="O183" i="12"/>
  <c r="O184" i="12"/>
  <c r="O185" i="12"/>
  <c r="O186" i="12"/>
  <c r="O187" i="12"/>
  <c r="O188" i="12"/>
  <c r="O189" i="12"/>
  <c r="O190" i="12"/>
  <c r="O191" i="12"/>
  <c r="O192" i="12"/>
  <c r="O193" i="12"/>
  <c r="O194" i="12"/>
  <c r="O195" i="12"/>
  <c r="O196" i="12"/>
  <c r="O197" i="12"/>
  <c r="O198" i="12"/>
  <c r="O199" i="12"/>
  <c r="O200" i="12"/>
  <c r="O201" i="12"/>
  <c r="O202" i="12"/>
  <c r="O203" i="12"/>
  <c r="O204" i="12"/>
  <c r="O205" i="12"/>
  <c r="O206" i="12"/>
  <c r="O207" i="12"/>
  <c r="O208" i="12"/>
  <c r="O209" i="12"/>
  <c r="O210" i="12"/>
  <c r="O211" i="12"/>
  <c r="O212" i="12"/>
  <c r="O213" i="12"/>
  <c r="O214" i="12"/>
  <c r="O215" i="12"/>
  <c r="O216" i="12"/>
  <c r="O217" i="12"/>
  <c r="O218" i="12"/>
  <c r="O219" i="12"/>
  <c r="O220" i="12"/>
  <c r="O221" i="12"/>
  <c r="O222" i="12"/>
  <c r="O223" i="12"/>
  <c r="O224" i="12"/>
  <c r="O225" i="12"/>
  <c r="O226" i="12"/>
  <c r="O227" i="12"/>
  <c r="O228" i="12"/>
  <c r="O229" i="12"/>
  <c r="O230" i="12"/>
  <c r="O231" i="12"/>
  <c r="O232" i="12"/>
  <c r="O233" i="12"/>
  <c r="O234" i="12"/>
  <c r="O235" i="12"/>
  <c r="O236" i="12"/>
  <c r="O237" i="12"/>
  <c r="O238" i="12"/>
  <c r="O239" i="12"/>
  <c r="O240" i="12"/>
  <c r="O241" i="12"/>
  <c r="O242" i="12"/>
  <c r="O243" i="12"/>
  <c r="O244" i="12"/>
  <c r="O245" i="12"/>
  <c r="O246" i="12"/>
  <c r="O247" i="12"/>
  <c r="O248" i="12"/>
  <c r="O249" i="12"/>
  <c r="O250" i="12"/>
  <c r="O251" i="12"/>
  <c r="O252" i="12"/>
  <c r="O253" i="12"/>
  <c r="O254" i="12"/>
  <c r="O255" i="12"/>
  <c r="O256" i="12"/>
  <c r="O257" i="12"/>
  <c r="O258" i="12"/>
  <c r="O259" i="12"/>
  <c r="O260" i="12"/>
  <c r="O261" i="12"/>
  <c r="O262" i="12"/>
  <c r="O263" i="12"/>
  <c r="O264" i="12"/>
  <c r="O265" i="12"/>
  <c r="O266" i="12"/>
  <c r="O267" i="12"/>
  <c r="O268" i="12"/>
  <c r="O269" i="12"/>
  <c r="O270" i="12"/>
  <c r="O271" i="12"/>
  <c r="O272" i="12"/>
  <c r="O273" i="12"/>
  <c r="O274" i="12"/>
  <c r="O275" i="12"/>
  <c r="O276" i="12"/>
  <c r="O277" i="12"/>
  <c r="O278" i="12"/>
  <c r="O279" i="12"/>
  <c r="O280" i="12"/>
  <c r="O281" i="12"/>
  <c r="O282" i="12"/>
  <c r="O283" i="12"/>
  <c r="O284" i="12"/>
  <c r="O285" i="12"/>
  <c r="O286" i="12"/>
  <c r="O287" i="12"/>
  <c r="O288" i="12"/>
  <c r="O289" i="12"/>
  <c r="O290" i="12"/>
  <c r="O291" i="12"/>
  <c r="O292" i="12"/>
  <c r="O293" i="12"/>
  <c r="O294" i="12"/>
  <c r="O295" i="12"/>
  <c r="O296" i="12"/>
  <c r="O297" i="12"/>
  <c r="O298" i="12"/>
  <c r="O299" i="12"/>
  <c r="O300" i="12"/>
  <c r="O301" i="12"/>
  <c r="O302" i="12"/>
  <c r="O303" i="12"/>
  <c r="O304" i="12"/>
  <c r="O305" i="12"/>
  <c r="O306" i="12"/>
  <c r="O307" i="12"/>
  <c r="O308" i="12"/>
  <c r="O309" i="12"/>
  <c r="O310" i="12"/>
  <c r="O311" i="12"/>
  <c r="O312" i="12"/>
  <c r="O313" i="12"/>
  <c r="O314" i="12"/>
  <c r="O315" i="12"/>
  <c r="O316" i="12"/>
  <c r="O317" i="12"/>
  <c r="O318" i="12"/>
  <c r="O319" i="12"/>
  <c r="O320" i="12"/>
  <c r="O321" i="12"/>
  <c r="O322" i="12"/>
  <c r="O323" i="12"/>
  <c r="O324" i="12"/>
  <c r="O325" i="12"/>
  <c r="O326" i="12"/>
  <c r="O327" i="12"/>
  <c r="O328" i="12"/>
  <c r="O329" i="12"/>
  <c r="O330" i="12"/>
  <c r="O331" i="12"/>
  <c r="O332" i="12"/>
  <c r="O333" i="12"/>
  <c r="O334" i="12"/>
  <c r="O335" i="12"/>
  <c r="O336" i="12"/>
  <c r="O337" i="12"/>
  <c r="O338" i="12"/>
  <c r="O339" i="12"/>
  <c r="O340" i="12"/>
  <c r="O341" i="12"/>
  <c r="O342" i="12"/>
  <c r="O343" i="12"/>
  <c r="O344" i="12"/>
  <c r="O345" i="12"/>
  <c r="O346" i="12"/>
  <c r="O347" i="12"/>
  <c r="O348" i="12"/>
  <c r="O349" i="12"/>
  <c r="O350" i="12"/>
  <c r="O351" i="12"/>
  <c r="O352" i="12"/>
  <c r="O353" i="12"/>
  <c r="O354" i="12"/>
  <c r="O355" i="12"/>
  <c r="O356" i="12"/>
  <c r="O357" i="12"/>
  <c r="O358" i="12"/>
  <c r="O359" i="12"/>
  <c r="O360" i="12"/>
  <c r="O361" i="12"/>
  <c r="O362" i="12"/>
  <c r="O363" i="12"/>
  <c r="O364" i="12"/>
  <c r="O365" i="12"/>
  <c r="O366" i="12"/>
  <c r="O367" i="12"/>
  <c r="O368" i="12"/>
  <c r="O369" i="12"/>
  <c r="O370" i="12"/>
  <c r="O371" i="12"/>
  <c r="O372" i="12"/>
  <c r="O373" i="12"/>
  <c r="O374" i="12"/>
  <c r="O375" i="12"/>
  <c r="O376" i="12"/>
  <c r="O377" i="12"/>
  <c r="O378" i="12"/>
  <c r="O379" i="12"/>
  <c r="O380" i="12"/>
  <c r="O381" i="12"/>
  <c r="O382" i="12"/>
  <c r="O383" i="12"/>
  <c r="O384" i="12"/>
  <c r="O385" i="12"/>
  <c r="O386" i="12"/>
  <c r="O387" i="12"/>
  <c r="O5" i="12"/>
  <c r="S75" i="3"/>
  <c r="M75" i="3"/>
  <c r="S74" i="3"/>
  <c r="M74" i="3"/>
  <c r="S73" i="3"/>
  <c r="M73" i="3"/>
  <c r="S72" i="3"/>
  <c r="M72" i="3"/>
  <c r="S71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" i="3"/>
  <c r="M71" i="3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M333" i="12"/>
  <c r="M334" i="12"/>
  <c r="M335" i="12"/>
  <c r="M336" i="12"/>
  <c r="M337" i="12"/>
  <c r="M338" i="12"/>
  <c r="M339" i="12"/>
  <c r="M340" i="12"/>
  <c r="M341" i="12"/>
  <c r="M342" i="12"/>
  <c r="M343" i="12"/>
  <c r="M344" i="12"/>
  <c r="M345" i="12"/>
  <c r="M346" i="12"/>
  <c r="M347" i="12"/>
  <c r="M348" i="12"/>
  <c r="M349" i="12"/>
  <c r="M350" i="12"/>
  <c r="M351" i="12"/>
  <c r="M352" i="12"/>
  <c r="M353" i="12"/>
  <c r="M354" i="12"/>
  <c r="M355" i="12"/>
  <c r="M356" i="12"/>
  <c r="M357" i="12"/>
  <c r="M358" i="12"/>
  <c r="M359" i="12"/>
  <c r="M360" i="12"/>
  <c r="M361" i="12"/>
  <c r="M362" i="12"/>
  <c r="M363" i="12"/>
  <c r="M364" i="12"/>
  <c r="M365" i="12"/>
  <c r="M366" i="12"/>
  <c r="M367" i="12"/>
  <c r="M368" i="12"/>
  <c r="M369" i="12"/>
  <c r="M370" i="12"/>
  <c r="M371" i="12"/>
  <c r="M372" i="12"/>
  <c r="M373" i="12"/>
  <c r="M374" i="12"/>
  <c r="M375" i="12"/>
  <c r="M376" i="12"/>
  <c r="M377" i="12"/>
  <c r="M378" i="12"/>
  <c r="M379" i="12"/>
  <c r="M380" i="12"/>
  <c r="M381" i="12"/>
  <c r="M382" i="12"/>
  <c r="M383" i="12"/>
  <c r="M384" i="12"/>
  <c r="M385" i="12"/>
  <c r="M386" i="12"/>
  <c r="M387" i="12"/>
  <c r="W251" i="3"/>
  <c r="M254" i="12" s="1"/>
  <c r="W254" i="3"/>
  <c r="M257" i="12" s="1"/>
  <c r="W255" i="3"/>
  <c r="M258" i="12" s="1"/>
  <c r="W256" i="3"/>
  <c r="M259" i="12" s="1"/>
  <c r="W268" i="3"/>
  <c r="M271" i="12" s="1"/>
  <c r="W269" i="3"/>
  <c r="M272" i="12" s="1"/>
  <c r="W270" i="3"/>
  <c r="M273" i="12" s="1"/>
  <c r="W271" i="3"/>
  <c r="M274" i="12" s="1"/>
  <c r="W272" i="3"/>
  <c r="M275" i="12" s="1"/>
  <c r="W273" i="3"/>
  <c r="M276" i="12" s="1"/>
  <c r="W274" i="3"/>
  <c r="M277" i="12" s="1"/>
  <c r="W275" i="3"/>
  <c r="M278" i="12" s="1"/>
  <c r="W276" i="3"/>
  <c r="M279" i="12" s="1"/>
  <c r="W277" i="3"/>
  <c r="M280" i="12" s="1"/>
  <c r="W278" i="3"/>
  <c r="M281" i="12" s="1"/>
  <c r="W279" i="3"/>
  <c r="M282" i="12" s="1"/>
  <c r="W280" i="3"/>
  <c r="M283" i="12" s="1"/>
  <c r="W281" i="3"/>
  <c r="M284" i="12" s="1"/>
  <c r="W282" i="3"/>
  <c r="M285" i="12" s="1"/>
  <c r="W283" i="3"/>
  <c r="M286" i="12" s="1"/>
  <c r="W284" i="3"/>
  <c r="M287" i="12" s="1"/>
  <c r="W285" i="3"/>
  <c r="M288" i="12" s="1"/>
  <c r="W286" i="3"/>
  <c r="M289" i="12" s="1"/>
  <c r="W287" i="3"/>
  <c r="M290" i="12" s="1"/>
  <c r="W288" i="3"/>
  <c r="M291" i="12" s="1"/>
  <c r="W289" i="3"/>
  <c r="M292" i="12" s="1"/>
  <c r="W290" i="3"/>
  <c r="M293" i="12" s="1"/>
  <c r="W291" i="3"/>
  <c r="M294" i="12" s="1"/>
  <c r="W292" i="3"/>
  <c r="M295" i="12" s="1"/>
  <c r="W293" i="3"/>
  <c r="M296" i="12" s="1"/>
  <c r="W294" i="3"/>
  <c r="M297" i="12" s="1"/>
  <c r="W295" i="3"/>
  <c r="M298" i="12" s="1"/>
  <c r="W296" i="3"/>
  <c r="M299" i="12" s="1"/>
  <c r="W297" i="3"/>
  <c r="M300" i="12" s="1"/>
  <c r="W298" i="3"/>
  <c r="M301" i="12" s="1"/>
  <c r="W299" i="3"/>
  <c r="M302" i="12" s="1"/>
  <c r="W300" i="3"/>
  <c r="M303" i="12" s="1"/>
  <c r="W301" i="3"/>
  <c r="M304" i="12" s="1"/>
  <c r="W302" i="3"/>
  <c r="M305" i="12" s="1"/>
  <c r="W303" i="3"/>
  <c r="M306" i="12" s="1"/>
  <c r="W304" i="3"/>
  <c r="M307" i="12" s="1"/>
  <c r="W305" i="3"/>
  <c r="M308" i="12" s="1"/>
  <c r="W306" i="3"/>
  <c r="M309" i="12" s="1"/>
  <c r="W307" i="3"/>
  <c r="M310" i="12" s="1"/>
  <c r="W308" i="3"/>
  <c r="M311" i="12" s="1"/>
  <c r="W309" i="3"/>
  <c r="M312" i="12" s="1"/>
  <c r="W310" i="3"/>
  <c r="M313" i="12" s="1"/>
  <c r="W311" i="3"/>
  <c r="M314" i="12" s="1"/>
  <c r="W312" i="3"/>
  <c r="M315" i="12" s="1"/>
  <c r="W313" i="3"/>
  <c r="M316" i="12" s="1"/>
  <c r="W314" i="3"/>
  <c r="M317" i="12" s="1"/>
  <c r="W315" i="3"/>
  <c r="M318" i="12" s="1"/>
  <c r="W316" i="3"/>
  <c r="M319" i="12" s="1"/>
  <c r="W317" i="3"/>
  <c r="M320" i="12" s="1"/>
  <c r="W318" i="3"/>
  <c r="M321" i="12" s="1"/>
  <c r="W319" i="3"/>
  <c r="M322" i="12" s="1"/>
  <c r="W320" i="3"/>
  <c r="M323" i="12" s="1"/>
  <c r="W321" i="3"/>
  <c r="M324" i="12" s="1"/>
  <c r="W322" i="3"/>
  <c r="M325" i="12" s="1"/>
  <c r="W323" i="3"/>
  <c r="M326" i="12" s="1"/>
  <c r="W324" i="3"/>
  <c r="M327" i="12" s="1"/>
  <c r="W325" i="3"/>
  <c r="M328" i="12" s="1"/>
  <c r="W326" i="3"/>
  <c r="M329" i="12" s="1"/>
  <c r="W327" i="3"/>
  <c r="M330" i="12" s="1"/>
  <c r="W328" i="3"/>
  <c r="M331" i="12" s="1"/>
  <c r="W329" i="3"/>
  <c r="M332" i="12" s="1"/>
  <c r="K3" i="3"/>
  <c r="L3" i="3"/>
  <c r="K4" i="3"/>
  <c r="L4" i="3"/>
  <c r="K5" i="3"/>
  <c r="L5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K18" i="3"/>
  <c r="L18" i="3"/>
  <c r="K19" i="3"/>
  <c r="L19" i="3"/>
  <c r="K20" i="3"/>
  <c r="L20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K45" i="3"/>
  <c r="L45" i="3"/>
  <c r="K46" i="3"/>
  <c r="L46" i="3"/>
  <c r="K47" i="3"/>
  <c r="L47" i="3"/>
  <c r="K48" i="3"/>
  <c r="L48" i="3"/>
  <c r="K49" i="3"/>
  <c r="L49" i="3"/>
  <c r="K50" i="3"/>
  <c r="L50" i="3"/>
  <c r="K51" i="3"/>
  <c r="L51" i="3"/>
  <c r="K52" i="3"/>
  <c r="L52" i="3"/>
  <c r="K53" i="3"/>
  <c r="L53" i="3"/>
  <c r="K54" i="3"/>
  <c r="L54" i="3"/>
  <c r="K55" i="3"/>
  <c r="L55" i="3"/>
  <c r="K56" i="3"/>
  <c r="L56" i="3"/>
  <c r="K57" i="3"/>
  <c r="L57" i="3"/>
  <c r="K58" i="3"/>
  <c r="L58" i="3"/>
  <c r="K59" i="3"/>
  <c r="L59" i="3"/>
  <c r="K60" i="3"/>
  <c r="L60" i="3"/>
  <c r="K61" i="3"/>
  <c r="L61" i="3"/>
  <c r="K62" i="3"/>
  <c r="L62" i="3"/>
  <c r="K63" i="3"/>
  <c r="L63" i="3"/>
  <c r="K64" i="3"/>
  <c r="L64" i="3"/>
  <c r="K65" i="3"/>
  <c r="L65" i="3"/>
  <c r="K66" i="3"/>
  <c r="L66" i="3"/>
  <c r="K67" i="3"/>
  <c r="L67" i="3"/>
  <c r="K68" i="3"/>
  <c r="L68" i="3"/>
  <c r="K69" i="3"/>
  <c r="L69" i="3"/>
  <c r="K70" i="3"/>
  <c r="L70" i="3"/>
  <c r="K71" i="3"/>
  <c r="L71" i="3"/>
  <c r="K72" i="3"/>
  <c r="L72" i="3"/>
  <c r="K73" i="3"/>
  <c r="L73" i="3"/>
  <c r="K74" i="3"/>
  <c r="L74" i="3"/>
  <c r="K75" i="3"/>
  <c r="L75" i="3"/>
  <c r="K76" i="3"/>
  <c r="L76" i="3"/>
  <c r="K77" i="3"/>
  <c r="L77" i="3"/>
  <c r="K78" i="3"/>
  <c r="L78" i="3"/>
  <c r="K79" i="3"/>
  <c r="L79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89" i="3"/>
  <c r="L89" i="3"/>
  <c r="K90" i="3"/>
  <c r="L90" i="3"/>
  <c r="K91" i="3"/>
  <c r="L91" i="3"/>
  <c r="K92" i="3"/>
  <c r="L92" i="3"/>
  <c r="K93" i="3"/>
  <c r="L93" i="3"/>
  <c r="K94" i="3"/>
  <c r="L94" i="3"/>
  <c r="K95" i="3"/>
  <c r="L95" i="3"/>
  <c r="K96" i="3"/>
  <c r="L96" i="3"/>
  <c r="K97" i="3"/>
  <c r="L97" i="3"/>
  <c r="K98" i="3"/>
  <c r="L98" i="3"/>
  <c r="K99" i="3"/>
  <c r="L99" i="3"/>
  <c r="K100" i="3"/>
  <c r="L100" i="3"/>
  <c r="K101" i="3"/>
  <c r="L101" i="3"/>
  <c r="K102" i="3"/>
  <c r="L102" i="3"/>
  <c r="K103" i="3"/>
  <c r="L103" i="3"/>
  <c r="K104" i="3"/>
  <c r="L104" i="3"/>
  <c r="K105" i="3"/>
  <c r="L105" i="3"/>
  <c r="K106" i="3"/>
  <c r="L106" i="3"/>
  <c r="K107" i="3"/>
  <c r="L107" i="3"/>
  <c r="K108" i="3"/>
  <c r="L108" i="3"/>
  <c r="K109" i="3"/>
  <c r="L109" i="3"/>
  <c r="K110" i="3"/>
  <c r="L110" i="3"/>
  <c r="K111" i="3"/>
  <c r="L111" i="3"/>
  <c r="K112" i="3"/>
  <c r="L112" i="3"/>
  <c r="K113" i="3"/>
  <c r="L113" i="3"/>
  <c r="K114" i="3"/>
  <c r="L114" i="3"/>
  <c r="K115" i="3"/>
  <c r="L115" i="3"/>
  <c r="K116" i="3"/>
  <c r="L116" i="3"/>
  <c r="K117" i="3"/>
  <c r="L117" i="3"/>
  <c r="K118" i="3"/>
  <c r="L118" i="3"/>
  <c r="K119" i="3"/>
  <c r="L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26" i="3"/>
  <c r="L126" i="3"/>
  <c r="K127" i="3"/>
  <c r="L127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37" i="3"/>
  <c r="L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K183" i="3"/>
  <c r="L183" i="3"/>
  <c r="K184" i="3"/>
  <c r="L184" i="3"/>
  <c r="K185" i="3"/>
  <c r="L185" i="3"/>
  <c r="K186" i="3"/>
  <c r="L186" i="3"/>
  <c r="K187" i="3"/>
  <c r="L187" i="3"/>
  <c r="K188" i="3"/>
  <c r="L188" i="3"/>
  <c r="K189" i="3"/>
  <c r="L189" i="3"/>
  <c r="K190" i="3"/>
  <c r="L190" i="3"/>
  <c r="K191" i="3"/>
  <c r="L191" i="3"/>
  <c r="K192" i="3"/>
  <c r="L192" i="3"/>
  <c r="K193" i="3"/>
  <c r="L193" i="3"/>
  <c r="K194" i="3"/>
  <c r="L194" i="3"/>
  <c r="K195" i="3"/>
  <c r="L195" i="3"/>
  <c r="K196" i="3"/>
  <c r="L196" i="3"/>
  <c r="K197" i="3"/>
  <c r="L197" i="3"/>
  <c r="K198" i="3"/>
  <c r="L198" i="3"/>
  <c r="K199" i="3"/>
  <c r="L199" i="3"/>
  <c r="K200" i="3"/>
  <c r="L200" i="3"/>
  <c r="K201" i="3"/>
  <c r="L201" i="3"/>
  <c r="K202" i="3"/>
  <c r="L202" i="3"/>
  <c r="K203" i="3"/>
  <c r="L203" i="3"/>
  <c r="K204" i="3"/>
  <c r="L204" i="3"/>
  <c r="K205" i="3"/>
  <c r="L205" i="3"/>
  <c r="K206" i="3"/>
  <c r="L206" i="3"/>
  <c r="K207" i="3"/>
  <c r="L207" i="3"/>
  <c r="K208" i="3"/>
  <c r="L208" i="3"/>
  <c r="K209" i="3"/>
  <c r="L209" i="3"/>
  <c r="K210" i="3"/>
  <c r="L210" i="3"/>
  <c r="K211" i="3"/>
  <c r="L211" i="3"/>
  <c r="K212" i="3"/>
  <c r="L212" i="3"/>
  <c r="K213" i="3"/>
  <c r="L213" i="3"/>
  <c r="K214" i="3"/>
  <c r="L214" i="3"/>
  <c r="K215" i="3"/>
  <c r="L215" i="3"/>
  <c r="K216" i="3"/>
  <c r="L216" i="3"/>
  <c r="K217" i="3"/>
  <c r="L217" i="3"/>
  <c r="K218" i="3"/>
  <c r="L218" i="3"/>
  <c r="K219" i="3"/>
  <c r="L219" i="3"/>
  <c r="K220" i="3"/>
  <c r="L220" i="3"/>
  <c r="K221" i="3"/>
  <c r="L221" i="3"/>
  <c r="K222" i="3"/>
  <c r="L222" i="3"/>
  <c r="K223" i="3"/>
  <c r="L223" i="3"/>
  <c r="K224" i="3"/>
  <c r="L224" i="3"/>
  <c r="K225" i="3"/>
  <c r="L225" i="3"/>
  <c r="K226" i="3"/>
  <c r="L226" i="3"/>
  <c r="K227" i="3"/>
  <c r="L227" i="3"/>
  <c r="K228" i="3"/>
  <c r="L228" i="3"/>
  <c r="K229" i="3"/>
  <c r="L229" i="3"/>
  <c r="K230" i="3"/>
  <c r="L230" i="3"/>
  <c r="K231" i="3"/>
  <c r="L231" i="3"/>
  <c r="K232" i="3"/>
  <c r="L232" i="3"/>
  <c r="K233" i="3"/>
  <c r="L233" i="3"/>
  <c r="K234" i="3"/>
  <c r="L234" i="3"/>
  <c r="K235" i="3"/>
  <c r="L235" i="3"/>
  <c r="K236" i="3"/>
  <c r="L236" i="3"/>
  <c r="K237" i="3"/>
  <c r="L237" i="3"/>
  <c r="K238" i="3"/>
  <c r="L238" i="3"/>
  <c r="K239" i="3"/>
  <c r="L239" i="3"/>
  <c r="K240" i="3"/>
  <c r="L240" i="3"/>
  <c r="K241" i="3"/>
  <c r="L241" i="3"/>
  <c r="K242" i="3"/>
  <c r="L242" i="3"/>
  <c r="K243" i="3"/>
  <c r="L243" i="3"/>
  <c r="K244" i="3"/>
  <c r="L244" i="3"/>
  <c r="K245" i="3"/>
  <c r="L245" i="3"/>
  <c r="K246" i="3"/>
  <c r="L246" i="3"/>
  <c r="K247" i="3"/>
  <c r="L247" i="3"/>
  <c r="K248" i="3"/>
  <c r="L248" i="3"/>
  <c r="K249" i="3"/>
  <c r="L249" i="3"/>
  <c r="K250" i="3"/>
  <c r="L250" i="3"/>
  <c r="K251" i="3"/>
  <c r="L251" i="3"/>
  <c r="K252" i="3"/>
  <c r="L252" i="3"/>
  <c r="K253" i="3"/>
  <c r="L253" i="3"/>
  <c r="K254" i="3"/>
  <c r="L254" i="3"/>
  <c r="K255" i="3"/>
  <c r="L255" i="3"/>
  <c r="K256" i="3"/>
  <c r="L256" i="3"/>
  <c r="K257" i="3"/>
  <c r="L257" i="3"/>
  <c r="K258" i="3"/>
  <c r="L258" i="3"/>
  <c r="L2" i="3"/>
  <c r="K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V3" i="3"/>
  <c r="W3" i="3" s="1"/>
  <c r="M6" i="12" s="1"/>
  <c r="V4" i="3"/>
  <c r="W4" i="3" s="1"/>
  <c r="M7" i="12" s="1"/>
  <c r="V5" i="3"/>
  <c r="V6" i="3"/>
  <c r="V7" i="3"/>
  <c r="V8" i="3"/>
  <c r="V9" i="3"/>
  <c r="V10" i="3"/>
  <c r="V11" i="3"/>
  <c r="V12" i="3"/>
  <c r="V13" i="3"/>
  <c r="V14" i="3"/>
  <c r="W14" i="3" s="1"/>
  <c r="M17" i="12" s="1"/>
  <c r="V15" i="3"/>
  <c r="W15" i="3" s="1"/>
  <c r="M18" i="12" s="1"/>
  <c r="V16" i="3"/>
  <c r="W16" i="3" s="1"/>
  <c r="M19" i="12" s="1"/>
  <c r="V17" i="3"/>
  <c r="V18" i="3"/>
  <c r="V19" i="3"/>
  <c r="V20" i="3"/>
  <c r="V21" i="3"/>
  <c r="V22" i="3"/>
  <c r="V23" i="3"/>
  <c r="V24" i="3"/>
  <c r="V25" i="3"/>
  <c r="V26" i="3"/>
  <c r="W26" i="3" s="1"/>
  <c r="M29" i="12" s="1"/>
  <c r="V27" i="3"/>
  <c r="W27" i="3" s="1"/>
  <c r="M30" i="12" s="1"/>
  <c r="V28" i="3"/>
  <c r="W28" i="3" s="1"/>
  <c r="M31" i="12" s="1"/>
  <c r="V29" i="3"/>
  <c r="V30" i="3"/>
  <c r="V31" i="3"/>
  <c r="V32" i="3"/>
  <c r="V33" i="3"/>
  <c r="V34" i="3"/>
  <c r="V35" i="3"/>
  <c r="V36" i="3"/>
  <c r="V37" i="3"/>
  <c r="V38" i="3"/>
  <c r="W38" i="3" s="1"/>
  <c r="M41" i="12" s="1"/>
  <c r="V39" i="3"/>
  <c r="W39" i="3" s="1"/>
  <c r="M42" i="12" s="1"/>
  <c r="V40" i="3"/>
  <c r="W40" i="3" s="1"/>
  <c r="M43" i="12" s="1"/>
  <c r="V41" i="3"/>
  <c r="V42" i="3"/>
  <c r="V43" i="3"/>
  <c r="V44" i="3"/>
  <c r="V45" i="3"/>
  <c r="V46" i="3"/>
  <c r="V47" i="3"/>
  <c r="V48" i="3"/>
  <c r="V49" i="3"/>
  <c r="V50" i="3"/>
  <c r="W50" i="3" s="1"/>
  <c r="M53" i="12" s="1"/>
  <c r="V51" i="3"/>
  <c r="W51" i="3" s="1"/>
  <c r="M54" i="12" s="1"/>
  <c r="V52" i="3"/>
  <c r="W52" i="3" s="1"/>
  <c r="M55" i="12" s="1"/>
  <c r="V53" i="3"/>
  <c r="V54" i="3"/>
  <c r="V55" i="3"/>
  <c r="V56" i="3"/>
  <c r="V57" i="3"/>
  <c r="V58" i="3"/>
  <c r="V59" i="3"/>
  <c r="V60" i="3"/>
  <c r="V61" i="3"/>
  <c r="V62" i="3"/>
  <c r="W62" i="3" s="1"/>
  <c r="M65" i="12" s="1"/>
  <c r="V63" i="3"/>
  <c r="W63" i="3" s="1"/>
  <c r="M66" i="12" s="1"/>
  <c r="V64" i="3"/>
  <c r="W64" i="3" s="1"/>
  <c r="M67" i="12" s="1"/>
  <c r="V65" i="3"/>
  <c r="V66" i="3"/>
  <c r="V67" i="3"/>
  <c r="V68" i="3"/>
  <c r="V69" i="3"/>
  <c r="V70" i="3"/>
  <c r="V71" i="3"/>
  <c r="V72" i="3"/>
  <c r="V73" i="3"/>
  <c r="V74" i="3"/>
  <c r="W74" i="3" s="1"/>
  <c r="M77" i="12" s="1"/>
  <c r="V75" i="3"/>
  <c r="W75" i="3" s="1"/>
  <c r="M78" i="12" s="1"/>
  <c r="V76" i="3"/>
  <c r="W76" i="3" s="1"/>
  <c r="M79" i="12" s="1"/>
  <c r="V77" i="3"/>
  <c r="V78" i="3"/>
  <c r="V79" i="3"/>
  <c r="V80" i="3"/>
  <c r="V81" i="3"/>
  <c r="V82" i="3"/>
  <c r="V83" i="3"/>
  <c r="V84" i="3"/>
  <c r="V85" i="3"/>
  <c r="V86" i="3"/>
  <c r="W86" i="3" s="1"/>
  <c r="M89" i="12" s="1"/>
  <c r="V87" i="3"/>
  <c r="W87" i="3" s="1"/>
  <c r="M90" i="12" s="1"/>
  <c r="V88" i="3"/>
  <c r="W88" i="3" s="1"/>
  <c r="M91" i="12" s="1"/>
  <c r="V89" i="3"/>
  <c r="V90" i="3"/>
  <c r="V91" i="3"/>
  <c r="V92" i="3"/>
  <c r="V93" i="3"/>
  <c r="V94" i="3"/>
  <c r="V95" i="3"/>
  <c r="V96" i="3"/>
  <c r="V97" i="3"/>
  <c r="V98" i="3"/>
  <c r="W98" i="3" s="1"/>
  <c r="M101" i="12" s="1"/>
  <c r="V99" i="3"/>
  <c r="W99" i="3" s="1"/>
  <c r="M102" i="12" s="1"/>
  <c r="V100" i="3"/>
  <c r="W100" i="3" s="1"/>
  <c r="M103" i="12" s="1"/>
  <c r="V101" i="3"/>
  <c r="V102" i="3"/>
  <c r="V103" i="3"/>
  <c r="V104" i="3"/>
  <c r="V105" i="3"/>
  <c r="V106" i="3"/>
  <c r="V107" i="3"/>
  <c r="V108" i="3"/>
  <c r="V109" i="3"/>
  <c r="V110" i="3"/>
  <c r="W110" i="3" s="1"/>
  <c r="M113" i="12" s="1"/>
  <c r="V111" i="3"/>
  <c r="W111" i="3" s="1"/>
  <c r="M114" i="12" s="1"/>
  <c r="V112" i="3"/>
  <c r="W112" i="3" s="1"/>
  <c r="M115" i="12" s="1"/>
  <c r="V113" i="3"/>
  <c r="V114" i="3"/>
  <c r="V115" i="3"/>
  <c r="V116" i="3"/>
  <c r="V117" i="3"/>
  <c r="V118" i="3"/>
  <c r="V119" i="3"/>
  <c r="V120" i="3"/>
  <c r="V121" i="3"/>
  <c r="V122" i="3"/>
  <c r="W122" i="3" s="1"/>
  <c r="M125" i="12" s="1"/>
  <c r="V123" i="3"/>
  <c r="W123" i="3" s="1"/>
  <c r="M126" i="12" s="1"/>
  <c r="V124" i="3"/>
  <c r="W124" i="3" s="1"/>
  <c r="M127" i="12" s="1"/>
  <c r="V125" i="3"/>
  <c r="V126" i="3"/>
  <c r="V127" i="3"/>
  <c r="V128" i="3"/>
  <c r="V129" i="3"/>
  <c r="V130" i="3"/>
  <c r="V131" i="3"/>
  <c r="V132" i="3"/>
  <c r="V133" i="3"/>
  <c r="V134" i="3"/>
  <c r="W134" i="3" s="1"/>
  <c r="M137" i="12" s="1"/>
  <c r="V135" i="3"/>
  <c r="W135" i="3" s="1"/>
  <c r="M138" i="12" s="1"/>
  <c r="V136" i="3"/>
  <c r="W136" i="3" s="1"/>
  <c r="M139" i="12" s="1"/>
  <c r="V137" i="3"/>
  <c r="V138" i="3"/>
  <c r="V139" i="3"/>
  <c r="V140" i="3"/>
  <c r="V141" i="3"/>
  <c r="V142" i="3"/>
  <c r="V143" i="3"/>
  <c r="V144" i="3"/>
  <c r="V145" i="3"/>
  <c r="V146" i="3"/>
  <c r="W146" i="3" s="1"/>
  <c r="M149" i="12" s="1"/>
  <c r="V147" i="3"/>
  <c r="W147" i="3" s="1"/>
  <c r="M150" i="12" s="1"/>
  <c r="V148" i="3"/>
  <c r="W148" i="3" s="1"/>
  <c r="M151" i="12" s="1"/>
  <c r="V149" i="3"/>
  <c r="V150" i="3"/>
  <c r="V151" i="3"/>
  <c r="V152" i="3"/>
  <c r="V153" i="3"/>
  <c r="V154" i="3"/>
  <c r="V155" i="3"/>
  <c r="V156" i="3"/>
  <c r="V157" i="3"/>
  <c r="V158" i="3"/>
  <c r="W158" i="3" s="1"/>
  <c r="M161" i="12" s="1"/>
  <c r="V159" i="3"/>
  <c r="W159" i="3" s="1"/>
  <c r="M162" i="12" s="1"/>
  <c r="V160" i="3"/>
  <c r="W160" i="3" s="1"/>
  <c r="M163" i="12" s="1"/>
  <c r="V161" i="3"/>
  <c r="V162" i="3"/>
  <c r="V163" i="3"/>
  <c r="V164" i="3"/>
  <c r="V165" i="3"/>
  <c r="V166" i="3"/>
  <c r="V167" i="3"/>
  <c r="V168" i="3"/>
  <c r="V169" i="3"/>
  <c r="V170" i="3"/>
  <c r="W170" i="3" s="1"/>
  <c r="M173" i="12" s="1"/>
  <c r="V171" i="3"/>
  <c r="W171" i="3" s="1"/>
  <c r="M174" i="12" s="1"/>
  <c r="V172" i="3"/>
  <c r="W172" i="3" s="1"/>
  <c r="M175" i="12" s="1"/>
  <c r="V173" i="3"/>
  <c r="V174" i="3"/>
  <c r="V175" i="3"/>
  <c r="V176" i="3"/>
  <c r="V177" i="3"/>
  <c r="V178" i="3"/>
  <c r="V179" i="3"/>
  <c r="V180" i="3"/>
  <c r="V181" i="3"/>
  <c r="V182" i="3"/>
  <c r="W182" i="3" s="1"/>
  <c r="M185" i="12" s="1"/>
  <c r="V183" i="3"/>
  <c r="W183" i="3" s="1"/>
  <c r="M186" i="12" s="1"/>
  <c r="V184" i="3"/>
  <c r="W184" i="3" s="1"/>
  <c r="M187" i="12" s="1"/>
  <c r="V185" i="3"/>
  <c r="V186" i="3"/>
  <c r="V187" i="3"/>
  <c r="V188" i="3"/>
  <c r="V189" i="3"/>
  <c r="V190" i="3"/>
  <c r="V191" i="3"/>
  <c r="V192" i="3"/>
  <c r="V193" i="3"/>
  <c r="V194" i="3"/>
  <c r="W194" i="3" s="1"/>
  <c r="M197" i="12" s="1"/>
  <c r="V195" i="3"/>
  <c r="W195" i="3" s="1"/>
  <c r="M198" i="12" s="1"/>
  <c r="V196" i="3"/>
  <c r="W196" i="3" s="1"/>
  <c r="M199" i="12" s="1"/>
  <c r="V197" i="3"/>
  <c r="V198" i="3"/>
  <c r="V199" i="3"/>
  <c r="V200" i="3"/>
  <c r="V201" i="3"/>
  <c r="V202" i="3"/>
  <c r="V203" i="3"/>
  <c r="V204" i="3"/>
  <c r="V205" i="3"/>
  <c r="V206" i="3"/>
  <c r="W206" i="3" s="1"/>
  <c r="M209" i="12" s="1"/>
  <c r="V207" i="3"/>
  <c r="W207" i="3" s="1"/>
  <c r="M210" i="12" s="1"/>
  <c r="V208" i="3"/>
  <c r="W208" i="3" s="1"/>
  <c r="M211" i="12" s="1"/>
  <c r="V209" i="3"/>
  <c r="V210" i="3"/>
  <c r="V211" i="3"/>
  <c r="V212" i="3"/>
  <c r="V213" i="3"/>
  <c r="V214" i="3"/>
  <c r="V215" i="3"/>
  <c r="V216" i="3"/>
  <c r="V217" i="3"/>
  <c r="V218" i="3"/>
  <c r="W218" i="3" s="1"/>
  <c r="M221" i="12" s="1"/>
  <c r="V219" i="3"/>
  <c r="W219" i="3" s="1"/>
  <c r="M222" i="12" s="1"/>
  <c r="V220" i="3"/>
  <c r="W220" i="3" s="1"/>
  <c r="M223" i="12" s="1"/>
  <c r="V221" i="3"/>
  <c r="V222" i="3"/>
  <c r="V223" i="3"/>
  <c r="V224" i="3"/>
  <c r="V225" i="3"/>
  <c r="V226" i="3"/>
  <c r="V227" i="3"/>
  <c r="V228" i="3"/>
  <c r="V229" i="3"/>
  <c r="V230" i="3"/>
  <c r="W230" i="3" s="1"/>
  <c r="M233" i="12" s="1"/>
  <c r="V231" i="3"/>
  <c r="W231" i="3" s="1"/>
  <c r="M234" i="12" s="1"/>
  <c r="V232" i="3"/>
  <c r="W232" i="3" s="1"/>
  <c r="M235" i="12" s="1"/>
  <c r="V233" i="3"/>
  <c r="W233" i="3" s="1"/>
  <c r="M236" i="12" s="1"/>
  <c r="V234" i="3"/>
  <c r="W234" i="3" s="1"/>
  <c r="M237" i="12" s="1"/>
  <c r="V235" i="3"/>
  <c r="W235" i="3" s="1"/>
  <c r="M238" i="12" s="1"/>
  <c r="V236" i="3"/>
  <c r="W236" i="3" s="1"/>
  <c r="M239" i="12" s="1"/>
  <c r="V237" i="3"/>
  <c r="W237" i="3" s="1"/>
  <c r="M240" i="12" s="1"/>
  <c r="V238" i="3"/>
  <c r="W238" i="3" s="1"/>
  <c r="M241" i="12" s="1"/>
  <c r="V239" i="3"/>
  <c r="W239" i="3" s="1"/>
  <c r="M242" i="12" s="1"/>
  <c r="V240" i="3"/>
  <c r="W240" i="3" s="1"/>
  <c r="M243" i="12" s="1"/>
  <c r="V241" i="3"/>
  <c r="W241" i="3" s="1"/>
  <c r="M244" i="12" s="1"/>
  <c r="V242" i="3"/>
  <c r="W242" i="3" s="1"/>
  <c r="M245" i="12" s="1"/>
  <c r="V243" i="3"/>
  <c r="W243" i="3" s="1"/>
  <c r="M246" i="12" s="1"/>
  <c r="V244" i="3"/>
  <c r="W244" i="3" s="1"/>
  <c r="M247" i="12" s="1"/>
  <c r="V245" i="3"/>
  <c r="W245" i="3" s="1"/>
  <c r="M248" i="12" s="1"/>
  <c r="V246" i="3"/>
  <c r="W246" i="3" s="1"/>
  <c r="M249" i="12" s="1"/>
  <c r="V247" i="3"/>
  <c r="W247" i="3" s="1"/>
  <c r="M250" i="12" s="1"/>
  <c r="V248" i="3"/>
  <c r="W248" i="3" s="1"/>
  <c r="M251" i="12" s="1"/>
  <c r="V249" i="3"/>
  <c r="W249" i="3" s="1"/>
  <c r="M252" i="12" s="1"/>
  <c r="V250" i="3"/>
  <c r="W250" i="3" s="1"/>
  <c r="M253" i="12" s="1"/>
  <c r="V251" i="3"/>
  <c r="V252" i="3"/>
  <c r="W252" i="3" s="1"/>
  <c r="M255" i="12" s="1"/>
  <c r="V253" i="3"/>
  <c r="W253" i="3" s="1"/>
  <c r="M256" i="12" s="1"/>
  <c r="V254" i="3"/>
  <c r="V255" i="3"/>
  <c r="V256" i="3"/>
  <c r="V257" i="3"/>
  <c r="W257" i="3" s="1"/>
  <c r="M260" i="12" s="1"/>
  <c r="V258" i="3"/>
  <c r="W258" i="3" s="1"/>
  <c r="M261" i="12" s="1"/>
  <c r="V259" i="3"/>
  <c r="W259" i="3" s="1"/>
  <c r="M262" i="12" s="1"/>
  <c r="V260" i="3"/>
  <c r="W260" i="3" s="1"/>
  <c r="M263" i="12" s="1"/>
  <c r="V261" i="3"/>
  <c r="W261" i="3" s="1"/>
  <c r="M264" i="12" s="1"/>
  <c r="V262" i="3"/>
  <c r="W262" i="3" s="1"/>
  <c r="M265" i="12" s="1"/>
  <c r="V263" i="3"/>
  <c r="W263" i="3" s="1"/>
  <c r="M266" i="12" s="1"/>
  <c r="V264" i="3"/>
  <c r="W264" i="3" s="1"/>
  <c r="M267" i="12" s="1"/>
  <c r="V265" i="3"/>
  <c r="W265" i="3" s="1"/>
  <c r="M268" i="12" s="1"/>
  <c r="V266" i="3"/>
  <c r="W266" i="3" s="1"/>
  <c r="M269" i="12" s="1"/>
  <c r="V267" i="3"/>
  <c r="W267" i="3" s="1"/>
  <c r="M270" i="12" s="1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Y301" i="12"/>
  <c r="Y302" i="12"/>
  <c r="Y303" i="12"/>
  <c r="Y304" i="12"/>
  <c r="Y305" i="12"/>
  <c r="Y306" i="12"/>
  <c r="Y307" i="12"/>
  <c r="Y308" i="12"/>
  <c r="Y309" i="12"/>
  <c r="Y310" i="12"/>
  <c r="Y311" i="12"/>
  <c r="Y312" i="12"/>
  <c r="Y313" i="12"/>
  <c r="Y314" i="12"/>
  <c r="Y315" i="12"/>
  <c r="Y316" i="12"/>
  <c r="Y317" i="12"/>
  <c r="Y318" i="12"/>
  <c r="Y319" i="12"/>
  <c r="Y320" i="12"/>
  <c r="Y321" i="12"/>
  <c r="Y322" i="12"/>
  <c r="Y323" i="12"/>
  <c r="Y324" i="12"/>
  <c r="Y325" i="12"/>
  <c r="Y326" i="12"/>
  <c r="Y327" i="12"/>
  <c r="Y328" i="12"/>
  <c r="Y329" i="12"/>
  <c r="Y330" i="12"/>
  <c r="Y331" i="12"/>
  <c r="Y332" i="12"/>
  <c r="Y333" i="12"/>
  <c r="Y334" i="12"/>
  <c r="Y335" i="12"/>
  <c r="Y336" i="12"/>
  <c r="Y337" i="12"/>
  <c r="Y338" i="12"/>
  <c r="Y339" i="12"/>
  <c r="Y340" i="12"/>
  <c r="Y341" i="12"/>
  <c r="Y342" i="12"/>
  <c r="Y343" i="12"/>
  <c r="Y344" i="12"/>
  <c r="Y345" i="12"/>
  <c r="Y346" i="12"/>
  <c r="Y347" i="12"/>
  <c r="Y348" i="12"/>
  <c r="Y349" i="12"/>
  <c r="Y350" i="12"/>
  <c r="Y351" i="12"/>
  <c r="Y352" i="12"/>
  <c r="Y353" i="12"/>
  <c r="Y354" i="12"/>
  <c r="Y355" i="12"/>
  <c r="Y356" i="12"/>
  <c r="Y357" i="12"/>
  <c r="Y358" i="12"/>
  <c r="Y359" i="12"/>
  <c r="Y360" i="12"/>
  <c r="Y361" i="12"/>
  <c r="Y362" i="12"/>
  <c r="Y363" i="12"/>
  <c r="Y364" i="12"/>
  <c r="Y365" i="12"/>
  <c r="Y366" i="12"/>
  <c r="Y367" i="12"/>
  <c r="Y368" i="12"/>
  <c r="Y369" i="12"/>
  <c r="Y370" i="12"/>
  <c r="Y371" i="12"/>
  <c r="Y372" i="12"/>
  <c r="Y373" i="12"/>
  <c r="Y374" i="12"/>
  <c r="Y375" i="12"/>
  <c r="Y376" i="12"/>
  <c r="Y377" i="12"/>
  <c r="Y378" i="12"/>
  <c r="Y379" i="12"/>
  <c r="Y380" i="12"/>
  <c r="Y381" i="12"/>
  <c r="Y382" i="12"/>
  <c r="Y383" i="12"/>
  <c r="Y384" i="12"/>
  <c r="Y385" i="12"/>
  <c r="Y386" i="12"/>
  <c r="Y387" i="12"/>
  <c r="Y5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X382" i="12"/>
  <c r="X383" i="12"/>
  <c r="X384" i="12"/>
  <c r="X385" i="12"/>
  <c r="X386" i="12"/>
  <c r="X387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W175" i="12"/>
  <c r="W176" i="12"/>
  <c r="W177" i="12"/>
  <c r="W178" i="12"/>
  <c r="W179" i="12"/>
  <c r="W180" i="12"/>
  <c r="W181" i="12"/>
  <c r="W182" i="12"/>
  <c r="W183" i="12"/>
  <c r="W184" i="12"/>
  <c r="W185" i="12"/>
  <c r="W186" i="12"/>
  <c r="W187" i="12"/>
  <c r="W188" i="12"/>
  <c r="W189" i="12"/>
  <c r="W190" i="12"/>
  <c r="W191" i="12"/>
  <c r="W192" i="12"/>
  <c r="W193" i="12"/>
  <c r="W194" i="12"/>
  <c r="W195" i="12"/>
  <c r="W196" i="12"/>
  <c r="W197" i="12"/>
  <c r="W198" i="12"/>
  <c r="W199" i="12"/>
  <c r="W200" i="12"/>
  <c r="W201" i="12"/>
  <c r="W202" i="12"/>
  <c r="W203" i="12"/>
  <c r="W204" i="12"/>
  <c r="W205" i="12"/>
  <c r="W206" i="12"/>
  <c r="W207" i="12"/>
  <c r="W208" i="12"/>
  <c r="W209" i="12"/>
  <c r="W210" i="12"/>
  <c r="W211" i="12"/>
  <c r="W212" i="12"/>
  <c r="W213" i="12"/>
  <c r="W214" i="12"/>
  <c r="W215" i="12"/>
  <c r="W216" i="12"/>
  <c r="W217" i="12"/>
  <c r="W218" i="12"/>
  <c r="W219" i="12"/>
  <c r="W220" i="12"/>
  <c r="W221" i="12"/>
  <c r="W222" i="12"/>
  <c r="W223" i="12"/>
  <c r="W224" i="12"/>
  <c r="W225" i="12"/>
  <c r="W226" i="12"/>
  <c r="W227" i="12"/>
  <c r="W228" i="12"/>
  <c r="W229" i="12"/>
  <c r="W230" i="12"/>
  <c r="W231" i="12"/>
  <c r="W232" i="12"/>
  <c r="W233" i="12"/>
  <c r="W234" i="12"/>
  <c r="W235" i="12"/>
  <c r="W236" i="12"/>
  <c r="W237" i="12"/>
  <c r="W238" i="12"/>
  <c r="W239" i="12"/>
  <c r="W240" i="12"/>
  <c r="W241" i="12"/>
  <c r="W242" i="12"/>
  <c r="W243" i="12"/>
  <c r="W244" i="12"/>
  <c r="W245" i="12"/>
  <c r="W246" i="12"/>
  <c r="W247" i="12"/>
  <c r="W248" i="12"/>
  <c r="W249" i="12"/>
  <c r="W250" i="12"/>
  <c r="W251" i="12"/>
  <c r="W252" i="12"/>
  <c r="W253" i="12"/>
  <c r="W254" i="12"/>
  <c r="W255" i="12"/>
  <c r="W256" i="12"/>
  <c r="W257" i="12"/>
  <c r="W258" i="12"/>
  <c r="W259" i="12"/>
  <c r="W260" i="12"/>
  <c r="W261" i="12"/>
  <c r="W262" i="12"/>
  <c r="W263" i="12"/>
  <c r="W264" i="12"/>
  <c r="W265" i="12"/>
  <c r="W266" i="12"/>
  <c r="W267" i="12"/>
  <c r="W268" i="12"/>
  <c r="W269" i="12"/>
  <c r="W270" i="12"/>
  <c r="W271" i="12"/>
  <c r="W272" i="12"/>
  <c r="W273" i="12"/>
  <c r="W274" i="12"/>
  <c r="W275" i="12"/>
  <c r="W276" i="12"/>
  <c r="W277" i="12"/>
  <c r="W278" i="12"/>
  <c r="W279" i="12"/>
  <c r="W280" i="12"/>
  <c r="W281" i="12"/>
  <c r="W282" i="12"/>
  <c r="W283" i="12"/>
  <c r="W284" i="12"/>
  <c r="W285" i="12"/>
  <c r="W286" i="12"/>
  <c r="W287" i="12"/>
  <c r="W288" i="12"/>
  <c r="W289" i="12"/>
  <c r="W290" i="12"/>
  <c r="W291" i="12"/>
  <c r="W292" i="12"/>
  <c r="W293" i="12"/>
  <c r="W294" i="12"/>
  <c r="W295" i="12"/>
  <c r="W296" i="12"/>
  <c r="W297" i="12"/>
  <c r="W298" i="12"/>
  <c r="W299" i="12"/>
  <c r="W300" i="12"/>
  <c r="W301" i="12"/>
  <c r="W302" i="12"/>
  <c r="W303" i="12"/>
  <c r="W304" i="12"/>
  <c r="W305" i="12"/>
  <c r="W306" i="12"/>
  <c r="W307" i="12"/>
  <c r="W308" i="12"/>
  <c r="W309" i="12"/>
  <c r="W310" i="12"/>
  <c r="W311" i="12"/>
  <c r="W312" i="12"/>
  <c r="W313" i="12"/>
  <c r="W314" i="12"/>
  <c r="W315" i="12"/>
  <c r="W316" i="12"/>
  <c r="W317" i="12"/>
  <c r="W318" i="12"/>
  <c r="W319" i="12"/>
  <c r="W320" i="12"/>
  <c r="W321" i="12"/>
  <c r="W322" i="12"/>
  <c r="W323" i="12"/>
  <c r="W324" i="12"/>
  <c r="W325" i="12"/>
  <c r="W326" i="12"/>
  <c r="W327" i="12"/>
  <c r="W328" i="12"/>
  <c r="W329" i="12"/>
  <c r="W330" i="12"/>
  <c r="W331" i="12"/>
  <c r="W332" i="12"/>
  <c r="W333" i="12"/>
  <c r="W334" i="12"/>
  <c r="W335" i="12"/>
  <c r="W336" i="12"/>
  <c r="W337" i="12"/>
  <c r="W338" i="12"/>
  <c r="W339" i="12"/>
  <c r="W340" i="12"/>
  <c r="W341" i="12"/>
  <c r="W342" i="12"/>
  <c r="W343" i="12"/>
  <c r="W344" i="12"/>
  <c r="W345" i="12"/>
  <c r="W346" i="12"/>
  <c r="W347" i="12"/>
  <c r="W348" i="12"/>
  <c r="W349" i="12"/>
  <c r="W350" i="12"/>
  <c r="W351" i="12"/>
  <c r="W352" i="12"/>
  <c r="W353" i="12"/>
  <c r="W354" i="12"/>
  <c r="W355" i="12"/>
  <c r="W356" i="12"/>
  <c r="W357" i="12"/>
  <c r="W358" i="12"/>
  <c r="W359" i="12"/>
  <c r="W360" i="12"/>
  <c r="W361" i="12"/>
  <c r="W362" i="12"/>
  <c r="W363" i="12"/>
  <c r="W364" i="12"/>
  <c r="W365" i="12"/>
  <c r="W366" i="12"/>
  <c r="W367" i="12"/>
  <c r="W368" i="12"/>
  <c r="W369" i="12"/>
  <c r="W370" i="12"/>
  <c r="W371" i="12"/>
  <c r="W372" i="12"/>
  <c r="W373" i="12"/>
  <c r="W374" i="12"/>
  <c r="W375" i="12"/>
  <c r="W376" i="12"/>
  <c r="W377" i="12"/>
  <c r="W378" i="12"/>
  <c r="W379" i="12"/>
  <c r="W380" i="12"/>
  <c r="W381" i="12"/>
  <c r="W382" i="12"/>
  <c r="W383" i="12"/>
  <c r="W384" i="12"/>
  <c r="W385" i="12"/>
  <c r="W386" i="12"/>
  <c r="W387" i="12"/>
  <c r="W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Q372" i="12"/>
  <c r="Q373" i="12"/>
  <c r="Q374" i="12"/>
  <c r="Q375" i="12"/>
  <c r="Q376" i="12"/>
  <c r="Q377" i="12"/>
  <c r="Q378" i="12"/>
  <c r="Q379" i="12"/>
  <c r="Q380" i="12"/>
  <c r="Q381" i="12"/>
  <c r="Q382" i="12"/>
  <c r="Q383" i="12"/>
  <c r="Q384" i="12"/>
  <c r="Q385" i="12"/>
  <c r="Q386" i="12"/>
  <c r="Q387" i="12"/>
  <c r="R5" i="12"/>
  <c r="Q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2" i="12"/>
  <c r="L123" i="12"/>
  <c r="L124" i="12"/>
  <c r="L125" i="12"/>
  <c r="L126" i="12"/>
  <c r="L127" i="12"/>
  <c r="L128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145" i="12"/>
  <c r="L146" i="12"/>
  <c r="L147" i="12"/>
  <c r="L148" i="12"/>
  <c r="L149" i="12"/>
  <c r="L150" i="12"/>
  <c r="L151" i="12"/>
  <c r="L152" i="12"/>
  <c r="L153" i="12"/>
  <c r="L154" i="12"/>
  <c r="L155" i="12"/>
  <c r="L156" i="12"/>
  <c r="L157" i="12"/>
  <c r="L158" i="12"/>
  <c r="L159" i="12"/>
  <c r="L160" i="12"/>
  <c r="L161" i="12"/>
  <c r="L162" i="12"/>
  <c r="L163" i="12"/>
  <c r="L164" i="12"/>
  <c r="L165" i="12"/>
  <c r="L166" i="12"/>
  <c r="L167" i="12"/>
  <c r="L168" i="12"/>
  <c r="L169" i="12"/>
  <c r="L170" i="12"/>
  <c r="L171" i="12"/>
  <c r="L172" i="12"/>
  <c r="L173" i="12"/>
  <c r="L174" i="12"/>
  <c r="L175" i="12"/>
  <c r="L176" i="12"/>
  <c r="L177" i="12"/>
  <c r="L178" i="12"/>
  <c r="L179" i="12"/>
  <c r="L180" i="12"/>
  <c r="L181" i="12"/>
  <c r="L182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218" i="12"/>
  <c r="L219" i="12"/>
  <c r="L220" i="12"/>
  <c r="L221" i="12"/>
  <c r="L222" i="12"/>
  <c r="L223" i="12"/>
  <c r="L224" i="12"/>
  <c r="L225" i="12"/>
  <c r="L226" i="12"/>
  <c r="L227" i="12"/>
  <c r="L228" i="12"/>
  <c r="L229" i="12"/>
  <c r="L230" i="12"/>
  <c r="L231" i="12"/>
  <c r="L232" i="12"/>
  <c r="L233" i="12"/>
  <c r="L234" i="12"/>
  <c r="L235" i="12"/>
  <c r="L236" i="12"/>
  <c r="L237" i="12"/>
  <c r="L238" i="12"/>
  <c r="L239" i="12"/>
  <c r="L240" i="12"/>
  <c r="L241" i="12"/>
  <c r="L242" i="12"/>
  <c r="L243" i="12"/>
  <c r="L244" i="12"/>
  <c r="L245" i="12"/>
  <c r="L246" i="12"/>
  <c r="L247" i="12"/>
  <c r="L248" i="12"/>
  <c r="L249" i="12"/>
  <c r="L250" i="12"/>
  <c r="L251" i="12"/>
  <c r="L252" i="12"/>
  <c r="L253" i="12"/>
  <c r="L254" i="12"/>
  <c r="L255" i="12"/>
  <c r="L256" i="12"/>
  <c r="L257" i="12"/>
  <c r="L258" i="12"/>
  <c r="L259" i="12"/>
  <c r="L260" i="12"/>
  <c r="L261" i="12"/>
  <c r="L262" i="12"/>
  <c r="L263" i="12"/>
  <c r="L264" i="12"/>
  <c r="L265" i="12"/>
  <c r="L266" i="12"/>
  <c r="L267" i="12"/>
  <c r="L268" i="12"/>
  <c r="L269" i="12"/>
  <c r="L270" i="12"/>
  <c r="L271" i="12"/>
  <c r="L272" i="12"/>
  <c r="L273" i="12"/>
  <c r="L274" i="12"/>
  <c r="L275" i="12"/>
  <c r="L276" i="12"/>
  <c r="L277" i="12"/>
  <c r="L278" i="12"/>
  <c r="L279" i="12"/>
  <c r="L280" i="12"/>
  <c r="L281" i="12"/>
  <c r="L282" i="12"/>
  <c r="L283" i="12"/>
  <c r="L284" i="12"/>
  <c r="L285" i="12"/>
  <c r="L286" i="12"/>
  <c r="L287" i="12"/>
  <c r="L288" i="12"/>
  <c r="L289" i="12"/>
  <c r="L290" i="12"/>
  <c r="L291" i="12"/>
  <c r="L292" i="12"/>
  <c r="L293" i="12"/>
  <c r="L294" i="12"/>
  <c r="L295" i="12"/>
  <c r="L296" i="12"/>
  <c r="L297" i="12"/>
  <c r="L298" i="12"/>
  <c r="L299" i="12"/>
  <c r="L300" i="12"/>
  <c r="L301" i="12"/>
  <c r="L302" i="12"/>
  <c r="L303" i="12"/>
  <c r="L304" i="12"/>
  <c r="L305" i="12"/>
  <c r="L306" i="12"/>
  <c r="L307" i="12"/>
  <c r="L308" i="12"/>
  <c r="L309" i="12"/>
  <c r="L310" i="12"/>
  <c r="L311" i="12"/>
  <c r="L312" i="12"/>
  <c r="L313" i="12"/>
  <c r="L314" i="12"/>
  <c r="L315" i="12"/>
  <c r="L316" i="12"/>
  <c r="L317" i="12"/>
  <c r="L318" i="12"/>
  <c r="L319" i="12"/>
  <c r="L320" i="12"/>
  <c r="L321" i="12"/>
  <c r="L322" i="12"/>
  <c r="L323" i="12"/>
  <c r="L324" i="12"/>
  <c r="L325" i="12"/>
  <c r="L326" i="12"/>
  <c r="L327" i="12"/>
  <c r="L328" i="12"/>
  <c r="L329" i="12"/>
  <c r="L330" i="12"/>
  <c r="L331" i="12"/>
  <c r="L332" i="12"/>
  <c r="L333" i="12"/>
  <c r="L334" i="12"/>
  <c r="L335" i="12"/>
  <c r="L336" i="12"/>
  <c r="L337" i="12"/>
  <c r="L338" i="12"/>
  <c r="L339" i="12"/>
  <c r="L340" i="12"/>
  <c r="L341" i="12"/>
  <c r="L342" i="12"/>
  <c r="L343" i="12"/>
  <c r="L344" i="12"/>
  <c r="L345" i="12"/>
  <c r="L346" i="12"/>
  <c r="L347" i="12"/>
  <c r="L348" i="12"/>
  <c r="L349" i="12"/>
  <c r="L350" i="12"/>
  <c r="L351" i="12"/>
  <c r="L352" i="12"/>
  <c r="L353" i="12"/>
  <c r="L354" i="12"/>
  <c r="L355" i="12"/>
  <c r="L356" i="12"/>
  <c r="L357" i="12"/>
  <c r="L358" i="12"/>
  <c r="L359" i="12"/>
  <c r="L360" i="12"/>
  <c r="L361" i="12"/>
  <c r="L362" i="12"/>
  <c r="L363" i="12"/>
  <c r="L364" i="12"/>
  <c r="L365" i="12"/>
  <c r="L366" i="12"/>
  <c r="L367" i="12"/>
  <c r="L368" i="12"/>
  <c r="L369" i="12"/>
  <c r="L370" i="12"/>
  <c r="L371" i="12"/>
  <c r="L372" i="12"/>
  <c r="L373" i="12"/>
  <c r="L374" i="12"/>
  <c r="L375" i="12"/>
  <c r="L376" i="12"/>
  <c r="L377" i="12"/>
  <c r="L378" i="12"/>
  <c r="L379" i="12"/>
  <c r="L380" i="12"/>
  <c r="L381" i="12"/>
  <c r="L382" i="12"/>
  <c r="L383" i="12"/>
  <c r="L384" i="12"/>
  <c r="L385" i="12"/>
  <c r="L386" i="12"/>
  <c r="L387" i="12"/>
  <c r="L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5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5" i="12"/>
  <c r="AP3" i="3"/>
  <c r="AQ3" i="3" s="1"/>
  <c r="AP4" i="3"/>
  <c r="AQ4" i="3" s="1"/>
  <c r="AP5" i="3"/>
  <c r="AQ5" i="3" s="1"/>
  <c r="AP6" i="3"/>
  <c r="AQ6" i="3" s="1"/>
  <c r="AP7" i="3"/>
  <c r="AQ7" i="3" s="1"/>
  <c r="AP8" i="3"/>
  <c r="AQ8" i="3" s="1"/>
  <c r="AP9" i="3"/>
  <c r="AQ9" i="3" s="1"/>
  <c r="AP10" i="3"/>
  <c r="AQ10" i="3" s="1"/>
  <c r="AP11" i="3"/>
  <c r="AS11" i="3" s="1"/>
  <c r="AT11" i="3" s="1"/>
  <c r="AP12" i="3"/>
  <c r="AQ12" i="3" s="1"/>
  <c r="AP13" i="3"/>
  <c r="AQ13" i="3" s="1"/>
  <c r="AP14" i="3"/>
  <c r="AQ14" i="3" s="1"/>
  <c r="AP15" i="3"/>
  <c r="AR15" i="3" s="1"/>
  <c r="AP16" i="3"/>
  <c r="AQ16" i="3" s="1"/>
  <c r="AP17" i="3"/>
  <c r="AQ17" i="3" s="1"/>
  <c r="AP18" i="3"/>
  <c r="AQ18" i="3" s="1"/>
  <c r="AP19" i="3"/>
  <c r="AR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S26" i="3" s="1"/>
  <c r="AT26" i="3" s="1"/>
  <c r="AP27" i="3"/>
  <c r="AQ27" i="3" s="1"/>
  <c r="AP28" i="3"/>
  <c r="AQ28" i="3" s="1"/>
  <c r="AP29" i="3"/>
  <c r="AQ29" i="3" s="1"/>
  <c r="AP30" i="3"/>
  <c r="AR30" i="3" s="1"/>
  <c r="AP31" i="3"/>
  <c r="AQ31" i="3" s="1"/>
  <c r="AP32" i="3"/>
  <c r="AQ32" i="3" s="1"/>
  <c r="AP33" i="3"/>
  <c r="AQ33" i="3" s="1"/>
  <c r="AP34" i="3"/>
  <c r="AR34" i="3" s="1"/>
  <c r="AP35" i="3"/>
  <c r="AQ35" i="3" s="1"/>
  <c r="AP36" i="3"/>
  <c r="AQ36" i="3" s="1"/>
  <c r="AP37" i="3"/>
  <c r="AQ37" i="3" s="1"/>
  <c r="AP38" i="3"/>
  <c r="AR38" i="3" s="1"/>
  <c r="AP39" i="3"/>
  <c r="AQ39" i="3" s="1"/>
  <c r="AP40" i="3"/>
  <c r="AQ40" i="3" s="1"/>
  <c r="AP41" i="3"/>
  <c r="AQ41" i="3" s="1"/>
  <c r="AP42" i="3"/>
  <c r="AQ42" i="3" s="1"/>
  <c r="AP43" i="3"/>
  <c r="AQ43" i="3" s="1"/>
  <c r="AP44" i="3"/>
  <c r="AQ44" i="3" s="1"/>
  <c r="AP45" i="3"/>
  <c r="AS45" i="3" s="1"/>
  <c r="AT45" i="3" s="1"/>
  <c r="AP46" i="3"/>
  <c r="AQ46" i="3" s="1"/>
  <c r="AP47" i="3"/>
  <c r="AQ47" i="3" s="1"/>
  <c r="AP48" i="3"/>
  <c r="AQ48" i="3" s="1"/>
  <c r="AP49" i="3"/>
  <c r="AR49" i="3" s="1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R55" i="3" s="1"/>
  <c r="AP56" i="3"/>
  <c r="AQ56" i="3" s="1"/>
  <c r="AP57" i="3"/>
  <c r="AQ57" i="3" s="1"/>
  <c r="AP58" i="3"/>
  <c r="AQ58" i="3" s="1"/>
  <c r="AP59" i="3"/>
  <c r="AQ59" i="3" s="1"/>
  <c r="AP60" i="3"/>
  <c r="AQ60" i="3" s="1"/>
  <c r="AP61" i="3"/>
  <c r="AQ61" i="3" s="1"/>
  <c r="AP62" i="3"/>
  <c r="AQ62" i="3" s="1"/>
  <c r="AP63" i="3"/>
  <c r="AQ63" i="3" s="1"/>
  <c r="AP64" i="3"/>
  <c r="AQ64" i="3" s="1"/>
  <c r="AP65" i="3"/>
  <c r="AQ65" i="3" s="1"/>
  <c r="AP66" i="3"/>
  <c r="AS66" i="3" s="1"/>
  <c r="AT66" i="3" s="1"/>
  <c r="AP67" i="3"/>
  <c r="AQ67" i="3" s="1"/>
  <c r="AP68" i="3"/>
  <c r="AQ68" i="3" s="1"/>
  <c r="AP69" i="3"/>
  <c r="AQ69" i="3" s="1"/>
  <c r="AP70" i="3"/>
  <c r="AS70" i="3" s="1"/>
  <c r="AT70" i="3" s="1"/>
  <c r="AP71" i="3"/>
  <c r="AR71" i="3" s="1"/>
  <c r="AP72" i="3"/>
  <c r="AQ72" i="3" s="1"/>
  <c r="AP73" i="3"/>
  <c r="AQ73" i="3" s="1"/>
  <c r="AP74" i="3"/>
  <c r="AS74" i="3" s="1"/>
  <c r="AT74" i="3" s="1"/>
  <c r="AP75" i="3"/>
  <c r="AQ75" i="3" s="1"/>
  <c r="AP76" i="3"/>
  <c r="AQ76" i="3" s="1"/>
  <c r="AP77" i="3"/>
  <c r="AQ77" i="3" s="1"/>
  <c r="AP78" i="3"/>
  <c r="AR78" i="3" s="1"/>
  <c r="AP79" i="3"/>
  <c r="AQ79" i="3" s="1"/>
  <c r="AP80" i="3"/>
  <c r="AQ80" i="3" s="1"/>
  <c r="AP81" i="3"/>
  <c r="AQ81" i="3" s="1"/>
  <c r="AP82" i="3"/>
  <c r="AR82" i="3" s="1"/>
  <c r="AP83" i="3"/>
  <c r="AQ83" i="3" s="1"/>
  <c r="AP84" i="3"/>
  <c r="AQ84" i="3" s="1"/>
  <c r="AP85" i="3"/>
  <c r="AQ85" i="3" s="1"/>
  <c r="AP86" i="3"/>
  <c r="AQ86" i="3" s="1"/>
  <c r="AP87" i="3"/>
  <c r="AQ87" i="3" s="1"/>
  <c r="AP88" i="3"/>
  <c r="AQ88" i="3" s="1"/>
  <c r="AP89" i="3"/>
  <c r="AQ89" i="3" s="1"/>
  <c r="AP90" i="3"/>
  <c r="AQ90" i="3" s="1"/>
  <c r="AP91" i="3"/>
  <c r="AQ91" i="3" s="1"/>
  <c r="AP92" i="3"/>
  <c r="AQ92" i="3" s="1"/>
  <c r="AP93" i="3"/>
  <c r="AS93" i="3" s="1"/>
  <c r="AT93" i="3" s="1"/>
  <c r="AP94" i="3"/>
  <c r="AQ94" i="3" s="1"/>
  <c r="AP95" i="3"/>
  <c r="AQ95" i="3" s="1"/>
  <c r="AP96" i="3"/>
  <c r="AQ96" i="3" s="1"/>
  <c r="AP97" i="3"/>
  <c r="AS97" i="3" s="1"/>
  <c r="AT97" i="3" s="1"/>
  <c r="AP98" i="3"/>
  <c r="AR98" i="3" s="1"/>
  <c r="AP99" i="3"/>
  <c r="AQ99" i="3" s="1"/>
  <c r="AP100" i="3"/>
  <c r="AQ100" i="3" s="1"/>
  <c r="AP101" i="3"/>
  <c r="AR101" i="3" s="1"/>
  <c r="AP102" i="3"/>
  <c r="AQ102" i="3" s="1"/>
  <c r="AP103" i="3"/>
  <c r="AQ103" i="3" s="1"/>
  <c r="AP104" i="3"/>
  <c r="AQ104" i="3" s="1"/>
  <c r="AP105" i="3"/>
  <c r="AQ105" i="3" s="1"/>
  <c r="AP106" i="3"/>
  <c r="AQ106" i="3" s="1"/>
  <c r="AP107" i="3"/>
  <c r="AQ107" i="3" s="1"/>
  <c r="AP108" i="3"/>
  <c r="AS108" i="3" s="1"/>
  <c r="AT108" i="3" s="1"/>
  <c r="AP109" i="3"/>
  <c r="AR109" i="3" s="1"/>
  <c r="AP110" i="3"/>
  <c r="AQ110" i="3" s="1"/>
  <c r="AP111" i="3"/>
  <c r="AQ111" i="3" s="1"/>
  <c r="AP112" i="3"/>
  <c r="AR112" i="3" s="1"/>
  <c r="AP113" i="3"/>
  <c r="AQ113" i="3" s="1"/>
  <c r="AP114" i="3"/>
  <c r="AQ114" i="3" s="1"/>
  <c r="AP115" i="3"/>
  <c r="AQ115" i="3" s="1"/>
  <c r="AP116" i="3"/>
  <c r="AR116" i="3" s="1"/>
  <c r="AP117" i="3"/>
  <c r="AQ117" i="3" s="1"/>
  <c r="AP118" i="3"/>
  <c r="AQ118" i="3" s="1"/>
  <c r="AP119" i="3"/>
  <c r="AQ119" i="3" s="1"/>
  <c r="AP120" i="3"/>
  <c r="AR120" i="3" s="1"/>
  <c r="AP121" i="3"/>
  <c r="AQ121" i="3" s="1"/>
  <c r="AP122" i="3"/>
  <c r="AQ122" i="3" s="1"/>
  <c r="AP123" i="3"/>
  <c r="AR123" i="3" s="1"/>
  <c r="AP124" i="3"/>
  <c r="AQ124" i="3" s="1"/>
  <c r="AP125" i="3"/>
  <c r="AQ125" i="3" s="1"/>
  <c r="AP126" i="3"/>
  <c r="AR126" i="3" s="1"/>
  <c r="AP127" i="3"/>
  <c r="AQ127" i="3" s="1"/>
  <c r="AP128" i="3"/>
  <c r="AQ128" i="3" s="1"/>
  <c r="AP129" i="3"/>
  <c r="AQ129" i="3" s="1"/>
  <c r="AP130" i="3"/>
  <c r="AS130" i="3" s="1"/>
  <c r="AT130" i="3" s="1"/>
  <c r="AP131" i="3"/>
  <c r="AR131" i="3" s="1"/>
  <c r="AP132" i="3"/>
  <c r="AQ132" i="3" s="1"/>
  <c r="AP133" i="3"/>
  <c r="AQ133" i="3" s="1"/>
  <c r="AP134" i="3"/>
  <c r="AS134" i="3" s="1"/>
  <c r="AT134" i="3" s="1"/>
  <c r="AP135" i="3"/>
  <c r="AQ135" i="3" s="1"/>
  <c r="AP136" i="3"/>
  <c r="AQ136" i="3" s="1"/>
  <c r="AP137" i="3"/>
  <c r="AQ137" i="3" s="1"/>
  <c r="AP138" i="3"/>
  <c r="AR138" i="3" s="1"/>
  <c r="AP139" i="3"/>
  <c r="AQ139" i="3" s="1"/>
  <c r="AP140" i="3"/>
  <c r="AQ140" i="3" s="1"/>
  <c r="AP141" i="3"/>
  <c r="AQ141" i="3" s="1"/>
  <c r="AP142" i="3"/>
  <c r="AR142" i="3" s="1"/>
  <c r="AP143" i="3"/>
  <c r="AQ143" i="3" s="1"/>
  <c r="AP144" i="3"/>
  <c r="AQ144" i="3" s="1"/>
  <c r="AP145" i="3"/>
  <c r="AQ145" i="3" s="1"/>
  <c r="AP146" i="3"/>
  <c r="AQ146" i="3" s="1"/>
  <c r="AP147" i="3"/>
  <c r="AQ147" i="3" s="1"/>
  <c r="AP148" i="3"/>
  <c r="AQ148" i="3" s="1"/>
  <c r="AP149" i="3"/>
  <c r="AS149" i="3" s="1"/>
  <c r="AT149" i="3" s="1"/>
  <c r="AP150" i="3"/>
  <c r="AQ150" i="3" s="1"/>
  <c r="AP151" i="3"/>
  <c r="AR151" i="3" s="1"/>
  <c r="AP152" i="3"/>
  <c r="AR152" i="3" s="1"/>
  <c r="AP153" i="3"/>
  <c r="AQ153" i="3" s="1"/>
  <c r="AP154" i="3"/>
  <c r="AQ154" i="3" s="1"/>
  <c r="AP155" i="3"/>
  <c r="AR155" i="3" s="1"/>
  <c r="AP156" i="3"/>
  <c r="AR156" i="3" s="1"/>
  <c r="AP157" i="3"/>
  <c r="AR157" i="3" s="1"/>
  <c r="AP158" i="3"/>
  <c r="AQ158" i="3" s="1"/>
  <c r="AP159" i="3"/>
  <c r="AQ159" i="3" s="1"/>
  <c r="AP160" i="3"/>
  <c r="AR160" i="3" s="1"/>
  <c r="AP161" i="3"/>
  <c r="AQ161" i="3" s="1"/>
  <c r="AP162" i="3"/>
  <c r="AQ162" i="3" s="1"/>
  <c r="AP163" i="3"/>
  <c r="AQ163" i="3" s="1"/>
  <c r="AP164" i="3"/>
  <c r="AQ164" i="3" s="1"/>
  <c r="AP165" i="3"/>
  <c r="AR165" i="3" s="1"/>
  <c r="AP166" i="3"/>
  <c r="AQ166" i="3" s="1"/>
  <c r="AP167" i="3"/>
  <c r="AS167" i="3" s="1"/>
  <c r="AT167" i="3" s="1"/>
  <c r="AP168" i="3"/>
  <c r="AQ168" i="3" s="1"/>
  <c r="AP169" i="3"/>
  <c r="AR169" i="3" s="1"/>
  <c r="AP170" i="3"/>
  <c r="AQ170" i="3" s="1"/>
  <c r="AP171" i="3"/>
  <c r="AS171" i="3" s="1"/>
  <c r="AT171" i="3" s="1"/>
  <c r="AP172" i="3"/>
  <c r="AQ172" i="3" s="1"/>
  <c r="AP173" i="3"/>
  <c r="AR173" i="3" s="1"/>
  <c r="AP174" i="3"/>
  <c r="AQ174" i="3" s="1"/>
  <c r="AP175" i="3"/>
  <c r="AS175" i="3" s="1"/>
  <c r="AT175" i="3" s="1"/>
  <c r="AP176" i="3"/>
  <c r="AQ176" i="3" s="1"/>
  <c r="AP177" i="3"/>
  <c r="AR177" i="3" s="1"/>
  <c r="AP178" i="3"/>
  <c r="AQ178" i="3" s="1"/>
  <c r="AP179" i="3"/>
  <c r="AS179" i="3" s="1"/>
  <c r="AT179" i="3" s="1"/>
  <c r="AP180" i="3"/>
  <c r="AQ180" i="3" s="1"/>
  <c r="AP181" i="3"/>
  <c r="AQ181" i="3" s="1"/>
  <c r="AP182" i="3"/>
  <c r="AQ182" i="3" s="1"/>
  <c r="AP183" i="3"/>
  <c r="AQ183" i="3" s="1"/>
  <c r="AP184" i="3"/>
  <c r="AQ184" i="3" s="1"/>
  <c r="AP185" i="3"/>
  <c r="AR185" i="3" s="1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Q192" i="3" s="1"/>
  <c r="AP193" i="3"/>
  <c r="AR193" i="3" s="1"/>
  <c r="AP194" i="3"/>
  <c r="AQ194" i="3" s="1"/>
  <c r="AP195" i="3"/>
  <c r="AQ195" i="3" s="1"/>
  <c r="AP196" i="3"/>
  <c r="AQ196" i="3" s="1"/>
  <c r="AP197" i="3"/>
  <c r="AR197" i="3" s="1"/>
  <c r="AP198" i="3"/>
  <c r="AQ198" i="3" s="1"/>
  <c r="AP199" i="3"/>
  <c r="AQ199" i="3" s="1"/>
  <c r="AP200" i="3"/>
  <c r="AQ200" i="3" s="1"/>
  <c r="AP201" i="3"/>
  <c r="AS201" i="3" s="1"/>
  <c r="AT201" i="3" s="1"/>
  <c r="AP202" i="3"/>
  <c r="AS202" i="3" s="1"/>
  <c r="AT202" i="3" s="1"/>
  <c r="AP203" i="3"/>
  <c r="AQ203" i="3" s="1"/>
  <c r="AP204" i="3"/>
  <c r="AQ204" i="3" s="1"/>
  <c r="AP205" i="3"/>
  <c r="AQ205" i="3" s="1"/>
  <c r="AP206" i="3"/>
  <c r="AS206" i="3" s="1"/>
  <c r="AT206" i="3" s="1"/>
  <c r="AP207" i="3"/>
  <c r="AQ207" i="3" s="1"/>
  <c r="AP208" i="3"/>
  <c r="AQ208" i="3" s="1"/>
  <c r="AP209" i="3"/>
  <c r="AR209" i="3" s="1"/>
  <c r="AP210" i="3"/>
  <c r="AR210" i="3" s="1"/>
  <c r="AP211" i="3"/>
  <c r="AR211" i="3" s="1"/>
  <c r="AP212" i="3"/>
  <c r="AQ212" i="3" s="1"/>
  <c r="AP213" i="3"/>
  <c r="AR213" i="3" s="1"/>
  <c r="AP214" i="3"/>
  <c r="AR214" i="3" s="1"/>
  <c r="AP215" i="3"/>
  <c r="AR215" i="3" s="1"/>
  <c r="AP216" i="3"/>
  <c r="AQ216" i="3" s="1"/>
  <c r="AP217" i="3"/>
  <c r="AR217" i="3" s="1"/>
  <c r="AP218" i="3"/>
  <c r="AR218" i="3" s="1"/>
  <c r="AP219" i="3"/>
  <c r="AQ219" i="3" s="1"/>
  <c r="AP220" i="3"/>
  <c r="AR220" i="3" s="1"/>
  <c r="AP221" i="3"/>
  <c r="AQ221" i="3" s="1"/>
  <c r="AP222" i="3"/>
  <c r="AQ222" i="3" s="1"/>
  <c r="AP223" i="3"/>
  <c r="AQ223" i="3" s="1"/>
  <c r="AP224" i="3"/>
  <c r="AR224" i="3" s="1"/>
  <c r="AP225" i="3"/>
  <c r="AQ225" i="3" s="1"/>
  <c r="AP226" i="3"/>
  <c r="AQ226" i="3" s="1"/>
  <c r="AP227" i="3"/>
  <c r="AP228" i="3"/>
  <c r="AQ228" i="3" s="1"/>
  <c r="AP229" i="3"/>
  <c r="AQ229" i="3" s="1"/>
  <c r="AP230" i="3"/>
  <c r="AQ230" i="3" s="1"/>
  <c r="AP231" i="3"/>
  <c r="AQ231" i="3" s="1"/>
  <c r="AP232" i="3"/>
  <c r="AR232" i="3" s="1"/>
  <c r="AP233" i="3"/>
  <c r="AQ233" i="3" s="1"/>
  <c r="AP234" i="3"/>
  <c r="AQ234" i="3" s="1"/>
  <c r="AP235" i="3"/>
  <c r="AQ235" i="3" s="1"/>
  <c r="AP236" i="3"/>
  <c r="AR236" i="3" s="1"/>
  <c r="AP237" i="3"/>
  <c r="AQ237" i="3" s="1"/>
  <c r="AP238" i="3"/>
  <c r="AQ238" i="3" s="1"/>
  <c r="AP239" i="3"/>
  <c r="AR239" i="3" s="1"/>
  <c r="AP240" i="3"/>
  <c r="AQ240" i="3" s="1"/>
  <c r="AP241" i="3"/>
  <c r="AQ241" i="3" s="1"/>
  <c r="AP242" i="3"/>
  <c r="AS242" i="3" s="1"/>
  <c r="AT242" i="3" s="1"/>
  <c r="AP243" i="3"/>
  <c r="AQ243" i="3" s="1"/>
  <c r="AP244" i="3"/>
  <c r="AQ244" i="3" s="1"/>
  <c r="AP245" i="3"/>
  <c r="AQ245" i="3" s="1"/>
  <c r="AP246" i="3"/>
  <c r="AQ246" i="3" s="1"/>
  <c r="AP247" i="3"/>
  <c r="AQ247" i="3" s="1"/>
  <c r="AP248" i="3"/>
  <c r="AR248" i="3" s="1"/>
  <c r="AP249" i="3"/>
  <c r="AQ249" i="3" s="1"/>
  <c r="AP250" i="3"/>
  <c r="AS250" i="3" s="1"/>
  <c r="AT250" i="3" s="1"/>
  <c r="AP251" i="3"/>
  <c r="AQ251" i="3" s="1"/>
  <c r="AP252" i="3"/>
  <c r="AR252" i="3" s="1"/>
  <c r="AP253" i="3"/>
  <c r="AQ253" i="3" s="1"/>
  <c r="AP254" i="3"/>
  <c r="AS254" i="3" s="1"/>
  <c r="AT254" i="3" s="1"/>
  <c r="AP255" i="3"/>
  <c r="AQ255" i="3" s="1"/>
  <c r="AP256" i="3"/>
  <c r="AQ256" i="3" s="1"/>
  <c r="AP257" i="3"/>
  <c r="AS257" i="3" s="1"/>
  <c r="AT257" i="3" s="1"/>
  <c r="AP258" i="3"/>
  <c r="AQ258" i="3" s="1"/>
  <c r="AP259" i="3"/>
  <c r="AQ259" i="3" s="1"/>
  <c r="AP260" i="3"/>
  <c r="AQ260" i="3" s="1"/>
  <c r="AP261" i="3"/>
  <c r="AQ261" i="3" s="1"/>
  <c r="AP262" i="3"/>
  <c r="AR262" i="3" s="1"/>
  <c r="AP263" i="3"/>
  <c r="AQ263" i="3" s="1"/>
  <c r="AP264" i="3"/>
  <c r="AQ264" i="3" s="1"/>
  <c r="AP265" i="3"/>
  <c r="AQ265" i="3" s="1"/>
  <c r="AP266" i="3"/>
  <c r="AR266" i="3" s="1"/>
  <c r="AP267" i="3"/>
  <c r="AQ267" i="3" s="1"/>
  <c r="AP268" i="3"/>
  <c r="AQ268" i="3" s="1"/>
  <c r="AP269" i="3"/>
  <c r="AS269" i="3" s="1"/>
  <c r="AT269" i="3" s="1"/>
  <c r="AP270" i="3"/>
  <c r="AQ270" i="3" s="1"/>
  <c r="AP271" i="3"/>
  <c r="AQ271" i="3" s="1"/>
  <c r="AP272" i="3"/>
  <c r="AQ272" i="3" s="1"/>
  <c r="AP273" i="3"/>
  <c r="AQ273" i="3" s="1"/>
  <c r="AP274" i="3"/>
  <c r="AR274" i="3" s="1"/>
  <c r="AP275" i="3"/>
  <c r="AQ275" i="3" s="1"/>
  <c r="AP276" i="3"/>
  <c r="AQ276" i="3" s="1"/>
  <c r="AP277" i="3"/>
  <c r="AQ277" i="3" s="1"/>
  <c r="AP278" i="3"/>
  <c r="AR278" i="3" s="1"/>
  <c r="AP279" i="3"/>
  <c r="AQ279" i="3" s="1"/>
  <c r="AP280" i="3"/>
  <c r="AQ280" i="3" s="1"/>
  <c r="AP281" i="3"/>
  <c r="AS281" i="3" s="1"/>
  <c r="AT281" i="3" s="1"/>
  <c r="AP282" i="3"/>
  <c r="AQ282" i="3" s="1"/>
  <c r="AP283" i="3"/>
  <c r="AQ283" i="3" s="1"/>
  <c r="AP284" i="3"/>
  <c r="AQ284" i="3" s="1"/>
  <c r="AP285" i="3"/>
  <c r="AQ285" i="3" s="1"/>
  <c r="AP286" i="3"/>
  <c r="AR286" i="3" s="1"/>
  <c r="AP287" i="3"/>
  <c r="AQ287" i="3" s="1"/>
  <c r="AP288" i="3"/>
  <c r="AQ288" i="3" s="1"/>
  <c r="AP289" i="3"/>
  <c r="AQ289" i="3" s="1"/>
  <c r="AP290" i="3"/>
  <c r="AR290" i="3" s="1"/>
  <c r="AP291" i="3"/>
  <c r="AQ291" i="3" s="1"/>
  <c r="AP292" i="3"/>
  <c r="AQ292" i="3" s="1"/>
  <c r="AP293" i="3"/>
  <c r="AS293" i="3" s="1"/>
  <c r="AT293" i="3" s="1"/>
  <c r="AP294" i="3"/>
  <c r="AQ294" i="3" s="1"/>
  <c r="AP295" i="3"/>
  <c r="AQ295" i="3" s="1"/>
  <c r="AP296" i="3"/>
  <c r="AQ296" i="3" s="1"/>
  <c r="AP297" i="3"/>
  <c r="AQ297" i="3" s="1"/>
  <c r="AP298" i="3"/>
  <c r="AR298" i="3" s="1"/>
  <c r="AP299" i="3"/>
  <c r="AQ299" i="3" s="1"/>
  <c r="AP300" i="3"/>
  <c r="AQ300" i="3" s="1"/>
  <c r="AP301" i="3"/>
  <c r="AQ301" i="3" s="1"/>
  <c r="AP302" i="3"/>
  <c r="AR302" i="3" s="1"/>
  <c r="AP303" i="3"/>
  <c r="AQ303" i="3" s="1"/>
  <c r="AP304" i="3"/>
  <c r="AQ304" i="3" s="1"/>
  <c r="AP305" i="3"/>
  <c r="AS305" i="3" s="1"/>
  <c r="AT305" i="3" s="1"/>
  <c r="AP306" i="3"/>
  <c r="AQ306" i="3" s="1"/>
  <c r="AP307" i="3"/>
  <c r="AQ307" i="3" s="1"/>
  <c r="AP308" i="3"/>
  <c r="AQ308" i="3" s="1"/>
  <c r="AP309" i="3"/>
  <c r="AQ309" i="3" s="1"/>
  <c r="AP310" i="3"/>
  <c r="AR310" i="3" s="1"/>
  <c r="AP311" i="3"/>
  <c r="AQ311" i="3" s="1"/>
  <c r="AP312" i="3"/>
  <c r="AQ312" i="3" s="1"/>
  <c r="AP313" i="3"/>
  <c r="AQ313" i="3" s="1"/>
  <c r="AP314" i="3"/>
  <c r="AR314" i="3" s="1"/>
  <c r="AP315" i="3"/>
  <c r="AQ315" i="3" s="1"/>
  <c r="AP316" i="3"/>
  <c r="AQ316" i="3" s="1"/>
  <c r="AP317" i="3"/>
  <c r="AS317" i="3" s="1"/>
  <c r="AT317" i="3" s="1"/>
  <c r="AP318" i="3"/>
  <c r="AQ318" i="3" s="1"/>
  <c r="AP319" i="3"/>
  <c r="AQ319" i="3" s="1"/>
  <c r="AP320" i="3"/>
  <c r="AQ320" i="3" s="1"/>
  <c r="AP321" i="3"/>
  <c r="AQ321" i="3" s="1"/>
  <c r="AP322" i="3"/>
  <c r="AR322" i="3" s="1"/>
  <c r="AP323" i="3"/>
  <c r="AQ323" i="3" s="1"/>
  <c r="AP324" i="3"/>
  <c r="AQ324" i="3" s="1"/>
  <c r="AP325" i="3"/>
  <c r="AQ325" i="3" s="1"/>
  <c r="AP326" i="3"/>
  <c r="AR326" i="3" s="1"/>
  <c r="AP327" i="3"/>
  <c r="AQ327" i="3" s="1"/>
  <c r="AP328" i="3"/>
  <c r="AQ328" i="3" s="1"/>
  <c r="AP2" i="3"/>
  <c r="AS2" i="3" s="1"/>
  <c r="AT2" i="3" s="1"/>
  <c r="AI3" i="3"/>
  <c r="AJ3" i="3" s="1"/>
  <c r="AI4" i="3"/>
  <c r="AK4" i="3" s="1"/>
  <c r="AI5" i="3"/>
  <c r="AL5" i="3" s="1"/>
  <c r="AM5" i="3" s="1"/>
  <c r="AI6" i="3"/>
  <c r="AJ6" i="3" s="1"/>
  <c r="AI7" i="3"/>
  <c r="AL7" i="3" s="1"/>
  <c r="AM7" i="3" s="1"/>
  <c r="AI8" i="3"/>
  <c r="AK8" i="3" s="1"/>
  <c r="AI9" i="3"/>
  <c r="AJ9" i="3" s="1"/>
  <c r="AI10" i="3"/>
  <c r="AJ10" i="3" s="1"/>
  <c r="AI11" i="3"/>
  <c r="AJ11" i="3" s="1"/>
  <c r="AI12" i="3"/>
  <c r="AJ12" i="3" s="1"/>
  <c r="AI13" i="3"/>
  <c r="AJ13" i="3" s="1"/>
  <c r="AI14" i="3"/>
  <c r="AJ14" i="3" s="1"/>
  <c r="AI15" i="3"/>
  <c r="AJ15" i="3" s="1"/>
  <c r="AI16" i="3"/>
  <c r="AJ16" i="3" s="1"/>
  <c r="AI17" i="3"/>
  <c r="AL17" i="3" s="1"/>
  <c r="AM17" i="3" s="1"/>
  <c r="AI18" i="3"/>
  <c r="AJ18" i="3" s="1"/>
  <c r="AI19" i="3"/>
  <c r="AL19" i="3" s="1"/>
  <c r="AM19" i="3" s="1"/>
  <c r="AI20" i="3"/>
  <c r="AJ20" i="3" s="1"/>
  <c r="AI21" i="3"/>
  <c r="AL21" i="3" s="1"/>
  <c r="AM21" i="3" s="1"/>
  <c r="AI22" i="3"/>
  <c r="AJ22" i="3" s="1"/>
  <c r="AI23" i="3"/>
  <c r="AL23" i="3" s="1"/>
  <c r="AM23" i="3" s="1"/>
  <c r="AI24" i="3"/>
  <c r="AL24" i="3" s="1"/>
  <c r="AM24" i="3" s="1"/>
  <c r="AI25" i="3"/>
  <c r="AL25" i="3" s="1"/>
  <c r="AM25" i="3" s="1"/>
  <c r="AI26" i="3"/>
  <c r="AK26" i="3" s="1"/>
  <c r="AI27" i="3"/>
  <c r="AL27" i="3" s="1"/>
  <c r="AM27" i="3" s="1"/>
  <c r="AI28" i="3"/>
  <c r="AJ28" i="3" s="1"/>
  <c r="AI29" i="3"/>
  <c r="AJ29" i="3" s="1"/>
  <c r="AI30" i="3"/>
  <c r="AJ30" i="3" s="1"/>
  <c r="AI31" i="3"/>
  <c r="AL31" i="3" s="1"/>
  <c r="AM31" i="3" s="1"/>
  <c r="AI32" i="3"/>
  <c r="AJ32" i="3" s="1"/>
  <c r="AI33" i="3"/>
  <c r="AL33" i="3" s="1"/>
  <c r="AM33" i="3" s="1"/>
  <c r="AI34" i="3"/>
  <c r="AJ34" i="3" s="1"/>
  <c r="AI35" i="3"/>
  <c r="AJ35" i="3" s="1"/>
  <c r="AI36" i="3"/>
  <c r="AK36" i="3" s="1"/>
  <c r="AI37" i="3"/>
  <c r="AJ37" i="3" s="1"/>
  <c r="AI38" i="3"/>
  <c r="AK38" i="3" s="1"/>
  <c r="AI39" i="3"/>
  <c r="AJ39" i="3" s="1"/>
  <c r="AI40" i="3"/>
  <c r="AJ40" i="3" s="1"/>
  <c r="AI41" i="3"/>
  <c r="AK41" i="3" s="1"/>
  <c r="AI42" i="3"/>
  <c r="AJ42" i="3" s="1"/>
  <c r="AI43" i="3"/>
  <c r="AL43" i="3" s="1"/>
  <c r="AM43" i="3" s="1"/>
  <c r="AI44" i="3"/>
  <c r="AJ44" i="3" s="1"/>
  <c r="AI45" i="3"/>
  <c r="AJ45" i="3" s="1"/>
  <c r="AI46" i="3"/>
  <c r="AK46" i="3" s="1"/>
  <c r="AI47" i="3"/>
  <c r="AJ47" i="3" s="1"/>
  <c r="AI48" i="3"/>
  <c r="AL48" i="3" s="1"/>
  <c r="AM48" i="3" s="1"/>
  <c r="AI49" i="3"/>
  <c r="AJ49" i="3" s="1"/>
  <c r="AI50" i="3"/>
  <c r="AJ50" i="3" s="1"/>
  <c r="AI51" i="3"/>
  <c r="AJ51" i="3" s="1"/>
  <c r="AI52" i="3"/>
  <c r="AK52" i="3" s="1"/>
  <c r="AI53" i="3"/>
  <c r="AJ53" i="3" s="1"/>
  <c r="AI54" i="3"/>
  <c r="AJ54" i="3" s="1"/>
  <c r="AI55" i="3"/>
  <c r="AL55" i="3" s="1"/>
  <c r="AM55" i="3" s="1"/>
  <c r="AI56" i="3"/>
  <c r="AL56" i="3" s="1"/>
  <c r="AM56" i="3" s="1"/>
  <c r="AI57" i="3"/>
  <c r="AJ57" i="3" s="1"/>
  <c r="AI58" i="3"/>
  <c r="AK58" i="3" s="1"/>
  <c r="AI59" i="3"/>
  <c r="AJ59" i="3" s="1"/>
  <c r="AI60" i="3"/>
  <c r="AL60" i="3" s="1"/>
  <c r="AM60" i="3" s="1"/>
  <c r="AI61" i="3"/>
  <c r="AJ61" i="3" s="1"/>
  <c r="AI62" i="3"/>
  <c r="AJ62" i="3" s="1"/>
  <c r="AI63" i="3"/>
  <c r="AJ63" i="3" s="1"/>
  <c r="AI64" i="3"/>
  <c r="AJ64" i="3" s="1"/>
  <c r="AI65" i="3"/>
  <c r="AJ65" i="3" s="1"/>
  <c r="AI66" i="3"/>
  <c r="AJ66" i="3" s="1"/>
  <c r="AI67" i="3"/>
  <c r="AL67" i="3" s="1"/>
  <c r="AM67" i="3" s="1"/>
  <c r="AI68" i="3"/>
  <c r="AK68" i="3" s="1"/>
  <c r="AI69" i="3"/>
  <c r="AJ69" i="3" s="1"/>
  <c r="AI70" i="3"/>
  <c r="AJ70" i="3" s="1"/>
  <c r="AI71" i="3"/>
  <c r="AJ71" i="3" s="1"/>
  <c r="AI72" i="3"/>
  <c r="AJ72" i="3" s="1"/>
  <c r="AI73" i="3"/>
  <c r="AJ73" i="3" s="1"/>
  <c r="AI74" i="3"/>
  <c r="AK74" i="3" s="1"/>
  <c r="AI75" i="3"/>
  <c r="AJ75" i="3" s="1"/>
  <c r="AI76" i="3"/>
  <c r="AJ76" i="3" s="1"/>
  <c r="AI77" i="3"/>
  <c r="AJ77" i="3" s="1"/>
  <c r="AI78" i="3"/>
  <c r="AL78" i="3" s="1"/>
  <c r="AM78" i="3" s="1"/>
  <c r="AI79" i="3"/>
  <c r="AL79" i="3" s="1"/>
  <c r="AM79" i="3" s="1"/>
  <c r="AI80" i="3"/>
  <c r="AJ80" i="3" s="1"/>
  <c r="AI81" i="3"/>
  <c r="AJ81" i="3" s="1"/>
  <c r="AI82" i="3"/>
  <c r="AK82" i="3" s="1"/>
  <c r="AI83" i="3"/>
  <c r="AJ83" i="3" s="1"/>
  <c r="AI84" i="3"/>
  <c r="AJ84" i="3" s="1"/>
  <c r="AI85" i="3"/>
  <c r="AJ85" i="3" s="1"/>
  <c r="AI86" i="3"/>
  <c r="AK86" i="3" s="1"/>
  <c r="AI87" i="3"/>
  <c r="AL87" i="3" s="1"/>
  <c r="AM87" i="3" s="1"/>
  <c r="AI88" i="3"/>
  <c r="AK88" i="3" s="1"/>
  <c r="AI89" i="3"/>
  <c r="AJ89" i="3" s="1"/>
  <c r="AI90" i="3"/>
  <c r="AJ90" i="3" s="1"/>
  <c r="AI91" i="3"/>
  <c r="AL91" i="3" s="1"/>
  <c r="AM91" i="3" s="1"/>
  <c r="AI92" i="3"/>
  <c r="AJ92" i="3" s="1"/>
  <c r="AI93" i="3"/>
  <c r="AK93" i="3" s="1"/>
  <c r="AI94" i="3"/>
  <c r="AL94" i="3" s="1"/>
  <c r="AM94" i="3" s="1"/>
  <c r="AI95" i="3"/>
  <c r="AJ95" i="3" s="1"/>
  <c r="AI96" i="3"/>
  <c r="AJ96" i="3" s="1"/>
  <c r="AI97" i="3"/>
  <c r="AJ97" i="3" s="1"/>
  <c r="AI98" i="3"/>
  <c r="AJ98" i="3" s="1"/>
  <c r="AI99" i="3"/>
  <c r="AL99" i="3" s="1"/>
  <c r="AM99" i="3" s="1"/>
  <c r="AI100" i="3"/>
  <c r="AJ100" i="3" s="1"/>
  <c r="AI101" i="3"/>
  <c r="AJ101" i="3" s="1"/>
  <c r="AI102" i="3"/>
  <c r="AK102" i="3" s="1"/>
  <c r="AI103" i="3"/>
  <c r="AL103" i="3" s="1"/>
  <c r="AM103" i="3" s="1"/>
  <c r="AI104" i="3"/>
  <c r="AL104" i="3" s="1"/>
  <c r="AM104" i="3" s="1"/>
  <c r="AI105" i="3"/>
  <c r="AJ105" i="3" s="1"/>
  <c r="AI106" i="3"/>
  <c r="AJ106" i="3" s="1"/>
  <c r="AI107" i="3"/>
  <c r="AK107" i="3" s="1"/>
  <c r="AI108" i="3"/>
  <c r="AK108" i="3" s="1"/>
  <c r="AI109" i="3"/>
  <c r="AJ109" i="3" s="1"/>
  <c r="AI110" i="3"/>
  <c r="AJ110" i="3" s="1"/>
  <c r="AI111" i="3"/>
  <c r="AJ111" i="3" s="1"/>
  <c r="AI112" i="3"/>
  <c r="AK112" i="3" s="1"/>
  <c r="AI113" i="3"/>
  <c r="AJ113" i="3" s="1"/>
  <c r="AI114" i="3"/>
  <c r="AJ114" i="3" s="1"/>
  <c r="AI115" i="3"/>
  <c r="AL115" i="3" s="1"/>
  <c r="AM115" i="3" s="1"/>
  <c r="AI116" i="3"/>
  <c r="AJ116" i="3" s="1"/>
  <c r="AI117" i="3"/>
  <c r="AK117" i="3" s="1"/>
  <c r="AI118" i="3"/>
  <c r="AJ118" i="3" s="1"/>
  <c r="AI119" i="3"/>
  <c r="AJ119" i="3" s="1"/>
  <c r="AI120" i="3"/>
  <c r="AL120" i="3" s="1"/>
  <c r="AM120" i="3" s="1"/>
  <c r="AI121" i="3"/>
  <c r="AJ121" i="3" s="1"/>
  <c r="AI122" i="3"/>
  <c r="AJ122" i="3" s="1"/>
  <c r="AI123" i="3"/>
  <c r="AJ123" i="3" s="1"/>
  <c r="AI124" i="3"/>
  <c r="AJ124" i="3" s="1"/>
  <c r="AI125" i="3"/>
  <c r="AK125" i="3" s="1"/>
  <c r="AI126" i="3"/>
  <c r="AJ126" i="3" s="1"/>
  <c r="AI127" i="3"/>
  <c r="AL127" i="3" s="1"/>
  <c r="AM127" i="3" s="1"/>
  <c r="AI128" i="3"/>
  <c r="AJ128" i="3" s="1"/>
  <c r="AI129" i="3"/>
  <c r="AJ129" i="3" s="1"/>
  <c r="AI130" i="3"/>
  <c r="AL130" i="3" s="1"/>
  <c r="AM130" i="3" s="1"/>
  <c r="AI131" i="3"/>
  <c r="AJ131" i="3" s="1"/>
  <c r="AI132" i="3"/>
  <c r="AJ132" i="3" s="1"/>
  <c r="AI133" i="3"/>
  <c r="AK133" i="3" s="1"/>
  <c r="AI134" i="3"/>
  <c r="AK134" i="3" s="1"/>
  <c r="AI135" i="3"/>
  <c r="AK135" i="3" s="1"/>
  <c r="AI136" i="3"/>
  <c r="AK136" i="3" s="1"/>
  <c r="AI137" i="3"/>
  <c r="AJ137" i="3" s="1"/>
  <c r="AI138" i="3"/>
  <c r="AJ138" i="3" s="1"/>
  <c r="AI139" i="3"/>
  <c r="AL139" i="3" s="1"/>
  <c r="AM139" i="3" s="1"/>
  <c r="AI140" i="3"/>
  <c r="AK140" i="3" s="1"/>
  <c r="AI141" i="3"/>
  <c r="AK141" i="3" s="1"/>
  <c r="AI142" i="3"/>
  <c r="AJ142" i="3" s="1"/>
  <c r="AI143" i="3"/>
  <c r="AJ143" i="3" s="1"/>
  <c r="AI144" i="3"/>
  <c r="AJ144" i="3" s="1"/>
  <c r="AI145" i="3"/>
  <c r="AJ145" i="3" s="1"/>
  <c r="AI146" i="3"/>
  <c r="AJ146" i="3" s="1"/>
  <c r="AI147" i="3"/>
  <c r="AL147" i="3" s="1"/>
  <c r="AM147" i="3" s="1"/>
  <c r="AI148" i="3"/>
  <c r="AL148" i="3" s="1"/>
  <c r="AM148" i="3" s="1"/>
  <c r="AI149" i="3"/>
  <c r="AJ149" i="3" s="1"/>
  <c r="AI150" i="3"/>
  <c r="AJ150" i="3" s="1"/>
  <c r="AI151" i="3"/>
  <c r="AL151" i="3" s="1"/>
  <c r="AM151" i="3" s="1"/>
  <c r="AI152" i="3"/>
  <c r="AK152" i="3" s="1"/>
  <c r="AI153" i="3"/>
  <c r="AJ153" i="3" s="1"/>
  <c r="AI154" i="3"/>
  <c r="AK154" i="3" s="1"/>
  <c r="AI155" i="3"/>
  <c r="AJ155" i="3" s="1"/>
  <c r="AI156" i="3"/>
  <c r="AJ156" i="3" s="1"/>
  <c r="AI157" i="3"/>
  <c r="AJ157" i="3" s="1"/>
  <c r="AI158" i="3"/>
  <c r="AJ158" i="3" s="1"/>
  <c r="AI159" i="3"/>
  <c r="AL159" i="3" s="1"/>
  <c r="AM159" i="3" s="1"/>
  <c r="AI160" i="3"/>
  <c r="AJ160" i="3" s="1"/>
  <c r="AI161" i="3"/>
  <c r="AJ161" i="3" s="1"/>
  <c r="AI162" i="3"/>
  <c r="AJ162" i="3" s="1"/>
  <c r="AI163" i="3"/>
  <c r="AL163" i="3" s="1"/>
  <c r="AM163" i="3" s="1"/>
  <c r="AI164" i="3"/>
  <c r="AK164" i="3" s="1"/>
  <c r="AI165" i="3"/>
  <c r="AK165" i="3" s="1"/>
  <c r="AI166" i="3"/>
  <c r="AJ166" i="3" s="1"/>
  <c r="AI167" i="3"/>
  <c r="AJ167" i="3" s="1"/>
  <c r="AI168" i="3"/>
  <c r="AJ168" i="3" s="1"/>
  <c r="AI169" i="3"/>
  <c r="AJ169" i="3" s="1"/>
  <c r="AI170" i="3"/>
  <c r="AJ170" i="3" s="1"/>
  <c r="AI171" i="3"/>
  <c r="AK171" i="3" s="1"/>
  <c r="AI172" i="3"/>
  <c r="AJ172" i="3" s="1"/>
  <c r="AI173" i="3"/>
  <c r="AJ173" i="3" s="1"/>
  <c r="AI174" i="3"/>
  <c r="AJ174" i="3" s="1"/>
  <c r="AI175" i="3"/>
  <c r="AL175" i="3" s="1"/>
  <c r="AM175" i="3" s="1"/>
  <c r="AI176" i="3"/>
  <c r="AL176" i="3" s="1"/>
  <c r="AM176" i="3" s="1"/>
  <c r="AI177" i="3"/>
  <c r="AL177" i="3" s="1"/>
  <c r="AM177" i="3" s="1"/>
  <c r="AI178" i="3"/>
  <c r="AL178" i="3" s="1"/>
  <c r="AM178" i="3" s="1"/>
  <c r="AI179" i="3"/>
  <c r="AJ179" i="3" s="1"/>
  <c r="AI180" i="3"/>
  <c r="AJ180" i="3" s="1"/>
  <c r="AI181" i="3"/>
  <c r="AJ181" i="3" s="1"/>
  <c r="AI182" i="3"/>
  <c r="AK182" i="3" s="1"/>
  <c r="AI183" i="3"/>
  <c r="AJ183" i="3" s="1"/>
  <c r="AI184" i="3"/>
  <c r="AK184" i="3" s="1"/>
  <c r="AI185" i="3"/>
  <c r="AJ185" i="3" s="1"/>
  <c r="AI186" i="3"/>
  <c r="AK186" i="3" s="1"/>
  <c r="AI187" i="3"/>
  <c r="AL187" i="3" s="1"/>
  <c r="AM187" i="3" s="1"/>
  <c r="AI188" i="3"/>
  <c r="AL188" i="3" s="1"/>
  <c r="AM188" i="3" s="1"/>
  <c r="AI189" i="3"/>
  <c r="AK189" i="3" s="1"/>
  <c r="AI190" i="3"/>
  <c r="AJ190" i="3" s="1"/>
  <c r="AI191" i="3"/>
  <c r="AJ191" i="3" s="1"/>
  <c r="AI192" i="3"/>
  <c r="AJ192" i="3" s="1"/>
  <c r="AI193" i="3"/>
  <c r="AJ193" i="3" s="1"/>
  <c r="AI194" i="3"/>
  <c r="AJ194" i="3" s="1"/>
  <c r="AI195" i="3"/>
  <c r="AL195" i="3" s="1"/>
  <c r="AM195" i="3" s="1"/>
  <c r="AI196" i="3"/>
  <c r="AJ196" i="3" s="1"/>
  <c r="AI197" i="3"/>
  <c r="AK197" i="3" s="1"/>
  <c r="AI198" i="3"/>
  <c r="AK198" i="3" s="1"/>
  <c r="AI199" i="3"/>
  <c r="AL199" i="3" s="1"/>
  <c r="AM199" i="3" s="1"/>
  <c r="AI200" i="3"/>
  <c r="AK200" i="3" s="1"/>
  <c r="AI201" i="3"/>
  <c r="AJ201" i="3" s="1"/>
  <c r="AI202" i="3"/>
  <c r="AK202" i="3" s="1"/>
  <c r="AI203" i="3"/>
  <c r="AJ203" i="3" s="1"/>
  <c r="AI204" i="3"/>
  <c r="AJ204" i="3" s="1"/>
  <c r="AI205" i="3"/>
  <c r="AJ205" i="3" s="1"/>
  <c r="AI206" i="3"/>
  <c r="AJ206" i="3" s="1"/>
  <c r="AI207" i="3"/>
  <c r="AJ207" i="3" s="1"/>
  <c r="AI208" i="3"/>
  <c r="AK208" i="3" s="1"/>
  <c r="AI209" i="3"/>
  <c r="AK209" i="3" s="1"/>
  <c r="AI210" i="3"/>
  <c r="AK210" i="3" s="1"/>
  <c r="AI211" i="3"/>
  <c r="AL211" i="3" s="1"/>
  <c r="AM211" i="3" s="1"/>
  <c r="AI212" i="3"/>
  <c r="AJ212" i="3" s="1"/>
  <c r="AI213" i="3"/>
  <c r="AK213" i="3" s="1"/>
  <c r="AI214" i="3"/>
  <c r="AJ214" i="3" s="1"/>
  <c r="AI215" i="3"/>
  <c r="AJ215" i="3" s="1"/>
  <c r="AI216" i="3"/>
  <c r="AJ216" i="3" s="1"/>
  <c r="AI217" i="3"/>
  <c r="AJ217" i="3" s="1"/>
  <c r="AI218" i="3"/>
  <c r="AJ218" i="3" s="1"/>
  <c r="AI219" i="3"/>
  <c r="AK219" i="3" s="1"/>
  <c r="AI220" i="3"/>
  <c r="AJ220" i="3" s="1"/>
  <c r="AI221" i="3"/>
  <c r="AJ221" i="3" s="1"/>
  <c r="AI222" i="3"/>
  <c r="AJ222" i="3" s="1"/>
  <c r="AI223" i="3"/>
  <c r="AL223" i="3" s="1"/>
  <c r="AM223" i="3" s="1"/>
  <c r="AI224" i="3"/>
  <c r="AL224" i="3" s="1"/>
  <c r="AM224" i="3" s="1"/>
  <c r="AI225" i="3"/>
  <c r="AK225" i="3" s="1"/>
  <c r="AI226" i="3"/>
  <c r="AJ226" i="3" s="1"/>
  <c r="AI227" i="3"/>
  <c r="AJ227" i="3" s="1"/>
  <c r="AI228" i="3"/>
  <c r="AJ228" i="3" s="1"/>
  <c r="AI229" i="3"/>
  <c r="AL229" i="3" s="1"/>
  <c r="AM229" i="3" s="1"/>
  <c r="AI230" i="3"/>
  <c r="AL230" i="3" s="1"/>
  <c r="AM230" i="3" s="1"/>
  <c r="AI231" i="3"/>
  <c r="AK231" i="3" s="1"/>
  <c r="AI232" i="3"/>
  <c r="AJ232" i="3" s="1"/>
  <c r="AI233" i="3"/>
  <c r="AJ233" i="3" s="1"/>
  <c r="AI234" i="3"/>
  <c r="AJ234" i="3" s="1"/>
  <c r="AI235" i="3"/>
  <c r="AL235" i="3" s="1"/>
  <c r="AM235" i="3" s="1"/>
  <c r="AI236" i="3"/>
  <c r="AJ236" i="3" s="1"/>
  <c r="AI237" i="3"/>
  <c r="AJ237" i="3" s="1"/>
  <c r="AI238" i="3"/>
  <c r="AK238" i="3" s="1"/>
  <c r="AI239" i="3"/>
  <c r="AJ239" i="3" s="1"/>
  <c r="AI240" i="3"/>
  <c r="AJ240" i="3" s="1"/>
  <c r="AI241" i="3"/>
  <c r="AJ241" i="3" s="1"/>
  <c r="AI242" i="3"/>
  <c r="AL242" i="3" s="1"/>
  <c r="AM242" i="3" s="1"/>
  <c r="AI243" i="3"/>
  <c r="AJ243" i="3" s="1"/>
  <c r="AI244" i="3"/>
  <c r="AJ244" i="3" s="1"/>
  <c r="AI245" i="3"/>
  <c r="AJ245" i="3" s="1"/>
  <c r="AI246" i="3"/>
  <c r="AJ246" i="3" s="1"/>
  <c r="AI247" i="3"/>
  <c r="AL247" i="3" s="1"/>
  <c r="AM247" i="3" s="1"/>
  <c r="AI248" i="3"/>
  <c r="AJ248" i="3" s="1"/>
  <c r="AI249" i="3"/>
  <c r="AJ249" i="3" s="1"/>
  <c r="AI250" i="3"/>
  <c r="AJ250" i="3" s="1"/>
  <c r="AI251" i="3"/>
  <c r="AK251" i="3" s="1"/>
  <c r="AI252" i="3"/>
  <c r="AL252" i="3" s="1"/>
  <c r="AM252" i="3" s="1"/>
  <c r="AI253" i="3"/>
  <c r="AJ253" i="3" s="1"/>
  <c r="AI254" i="3"/>
  <c r="AJ254" i="3" s="1"/>
  <c r="AI255" i="3"/>
  <c r="AJ255" i="3" s="1"/>
  <c r="AI256" i="3"/>
  <c r="AL256" i="3" s="1"/>
  <c r="AM256" i="3" s="1"/>
  <c r="AI257" i="3"/>
  <c r="AJ257" i="3" s="1"/>
  <c r="AI258" i="3"/>
  <c r="AJ258" i="3" s="1"/>
  <c r="AI259" i="3"/>
  <c r="AL259" i="3" s="1"/>
  <c r="AM259" i="3" s="1"/>
  <c r="AI260" i="3"/>
  <c r="AJ260" i="3" s="1"/>
  <c r="AI261" i="3"/>
  <c r="AJ261" i="3" s="1"/>
  <c r="AI262" i="3"/>
  <c r="AK262" i="3" s="1"/>
  <c r="AI263" i="3"/>
  <c r="AL263" i="3" s="1"/>
  <c r="AM263" i="3" s="1"/>
  <c r="AI264" i="3"/>
  <c r="AJ264" i="3" s="1"/>
  <c r="AI265" i="3"/>
  <c r="AK265" i="3" s="1"/>
  <c r="AI266" i="3"/>
  <c r="AJ266" i="3" s="1"/>
  <c r="AI267" i="3"/>
  <c r="AL267" i="3" s="1"/>
  <c r="AM267" i="3" s="1"/>
  <c r="AI268" i="3"/>
  <c r="AJ268" i="3" s="1"/>
  <c r="AI269" i="3"/>
  <c r="AK269" i="3" s="1"/>
  <c r="AI270" i="3"/>
  <c r="AK270" i="3" s="1"/>
  <c r="AI271" i="3"/>
  <c r="AL271" i="3" s="1"/>
  <c r="AM271" i="3" s="1"/>
  <c r="AI272" i="3"/>
  <c r="AK272" i="3" s="1"/>
  <c r="AI273" i="3"/>
  <c r="AJ273" i="3" s="1"/>
  <c r="AI274" i="3"/>
  <c r="AJ274" i="3" s="1"/>
  <c r="AI275" i="3"/>
  <c r="AK275" i="3" s="1"/>
  <c r="AI276" i="3"/>
  <c r="AL276" i="3" s="1"/>
  <c r="AM276" i="3" s="1"/>
  <c r="AI277" i="3"/>
  <c r="AJ277" i="3" s="1"/>
  <c r="AI278" i="3"/>
  <c r="AJ278" i="3" s="1"/>
  <c r="AI279" i="3"/>
  <c r="AJ279" i="3" s="1"/>
  <c r="AI280" i="3"/>
  <c r="AJ280" i="3" s="1"/>
  <c r="AI281" i="3"/>
  <c r="AJ281" i="3" s="1"/>
  <c r="AI282" i="3"/>
  <c r="AJ282" i="3" s="1"/>
  <c r="AI283" i="3"/>
  <c r="AL283" i="3" s="1"/>
  <c r="AM283" i="3" s="1"/>
  <c r="AI284" i="3"/>
  <c r="AJ284" i="3" s="1"/>
  <c r="AI285" i="3"/>
  <c r="AL285" i="3" s="1"/>
  <c r="AM285" i="3" s="1"/>
  <c r="AI286" i="3"/>
  <c r="AJ286" i="3" s="1"/>
  <c r="AI287" i="3"/>
  <c r="AJ287" i="3" s="1"/>
  <c r="AI288" i="3"/>
  <c r="AK288" i="3" s="1"/>
  <c r="AI289" i="3"/>
  <c r="AJ289" i="3" s="1"/>
  <c r="AI290" i="3"/>
  <c r="AJ290" i="3" s="1"/>
  <c r="AI291" i="3"/>
  <c r="AJ291" i="3" s="1"/>
  <c r="AI292" i="3"/>
  <c r="AL292" i="3" s="1"/>
  <c r="AM292" i="3" s="1"/>
  <c r="AI293" i="3"/>
  <c r="AJ293" i="3" s="1"/>
  <c r="AI294" i="3"/>
  <c r="AJ294" i="3" s="1"/>
  <c r="AI295" i="3"/>
  <c r="AL295" i="3" s="1"/>
  <c r="AM295" i="3" s="1"/>
  <c r="AI296" i="3"/>
  <c r="AJ296" i="3" s="1"/>
  <c r="AI297" i="3"/>
  <c r="AJ297" i="3" s="1"/>
  <c r="AI298" i="3"/>
  <c r="AL298" i="3" s="1"/>
  <c r="AM298" i="3" s="1"/>
  <c r="AI299" i="3"/>
  <c r="AJ299" i="3" s="1"/>
  <c r="AI300" i="3"/>
  <c r="AK300" i="3" s="1"/>
  <c r="AI301" i="3"/>
  <c r="AK301" i="3" s="1"/>
  <c r="AI302" i="3"/>
  <c r="AJ302" i="3" s="1"/>
  <c r="AI303" i="3"/>
  <c r="AK303" i="3" s="1"/>
  <c r="AI304" i="3"/>
  <c r="AJ304" i="3" s="1"/>
  <c r="AI305" i="3"/>
  <c r="AJ305" i="3" s="1"/>
  <c r="AI306" i="3"/>
  <c r="AJ306" i="3" s="1"/>
  <c r="AI307" i="3"/>
  <c r="AL307" i="3" s="1"/>
  <c r="AM307" i="3" s="1"/>
  <c r="AI308" i="3"/>
  <c r="AJ308" i="3" s="1"/>
  <c r="AI309" i="3"/>
  <c r="AJ309" i="3" s="1"/>
  <c r="AI310" i="3"/>
  <c r="AJ310" i="3" s="1"/>
  <c r="AI311" i="3"/>
  <c r="AJ311" i="3" s="1"/>
  <c r="AI312" i="3"/>
  <c r="AJ312" i="3" s="1"/>
  <c r="AI313" i="3"/>
  <c r="AJ313" i="3" s="1"/>
  <c r="AI314" i="3"/>
  <c r="AL314" i="3" s="1"/>
  <c r="AM314" i="3" s="1"/>
  <c r="AI315" i="3"/>
  <c r="AJ315" i="3" s="1"/>
  <c r="AI316" i="3"/>
  <c r="AJ316" i="3" s="1"/>
  <c r="AI317" i="3"/>
  <c r="AK317" i="3" s="1"/>
  <c r="AI318" i="3"/>
  <c r="AL318" i="3" s="1"/>
  <c r="AM318" i="3" s="1"/>
  <c r="AI319" i="3"/>
  <c r="AL319" i="3" s="1"/>
  <c r="AM319" i="3" s="1"/>
  <c r="AI320" i="3"/>
  <c r="AJ320" i="3" s="1"/>
  <c r="AI321" i="3"/>
  <c r="AJ321" i="3" s="1"/>
  <c r="AI322" i="3"/>
  <c r="AK322" i="3" s="1"/>
  <c r="AI323" i="3"/>
  <c r="AJ323" i="3" s="1"/>
  <c r="AI324" i="3"/>
  <c r="AJ324" i="3" s="1"/>
  <c r="AI325" i="3"/>
  <c r="AK325" i="3" s="1"/>
  <c r="AI326" i="3"/>
  <c r="AK326" i="3" s="1"/>
  <c r="AI327" i="3"/>
  <c r="AK327" i="3" s="1"/>
  <c r="AI328" i="3"/>
  <c r="AJ328" i="3" s="1"/>
  <c r="AI2" i="3"/>
  <c r="AJ2" i="3" s="1"/>
  <c r="X79" i="3" l="1"/>
  <c r="U82" i="12" s="1"/>
  <c r="X59" i="3"/>
  <c r="U62" i="12" s="1"/>
  <c r="X78" i="3"/>
  <c r="U81" i="12" s="1"/>
  <c r="X17" i="3"/>
  <c r="U20" i="12" s="1"/>
  <c r="X57" i="3"/>
  <c r="U60" i="12" s="1"/>
  <c r="X29" i="3"/>
  <c r="U32" i="12" s="1"/>
  <c r="X41" i="3"/>
  <c r="U44" i="12" s="1"/>
  <c r="X81" i="3"/>
  <c r="U84" i="12" s="1"/>
  <c r="X19" i="3"/>
  <c r="U22" i="12" s="1"/>
  <c r="X58" i="3"/>
  <c r="U61" i="12" s="1"/>
  <c r="X21" i="3"/>
  <c r="U24" i="12" s="1"/>
  <c r="X8" i="3"/>
  <c r="U11" i="12" s="1"/>
  <c r="X80" i="3"/>
  <c r="U83" i="12" s="1"/>
  <c r="X60" i="3"/>
  <c r="U63" i="12" s="1"/>
  <c r="X20" i="3"/>
  <c r="U23" i="12" s="1"/>
  <c r="X56" i="3"/>
  <c r="U59" i="12" s="1"/>
  <c r="X36" i="3"/>
  <c r="U39" i="12" s="1"/>
  <c r="X30" i="3"/>
  <c r="U33" i="12" s="1"/>
  <c r="X10" i="3"/>
  <c r="U13" i="12" s="1"/>
  <c r="X9" i="3"/>
  <c r="U12" i="12" s="1"/>
  <c r="X7" i="3"/>
  <c r="U10" i="12" s="1"/>
  <c r="X5" i="3"/>
  <c r="U8" i="12" s="1"/>
  <c r="X24" i="3"/>
  <c r="U27" i="12" s="1"/>
  <c r="X23" i="3"/>
  <c r="U26" i="12" s="1"/>
  <c r="X120" i="3"/>
  <c r="U123" i="12" s="1"/>
  <c r="X119" i="3"/>
  <c r="U122" i="12" s="1"/>
  <c r="X118" i="3"/>
  <c r="U121" i="12" s="1"/>
  <c r="X42" i="3"/>
  <c r="U45" i="12" s="1"/>
  <c r="X116" i="3"/>
  <c r="U119" i="12" s="1"/>
  <c r="AL150" i="3"/>
  <c r="AM150" i="3" s="1"/>
  <c r="X239" i="3"/>
  <c r="U242" i="12" s="1"/>
  <c r="X43" i="3"/>
  <c r="U46" i="12" s="1"/>
  <c r="X321" i="3"/>
  <c r="U324" i="12" s="1"/>
  <c r="X310" i="3"/>
  <c r="U313" i="12" s="1"/>
  <c r="X22" i="3"/>
  <c r="U25" i="12" s="1"/>
  <c r="X260" i="3"/>
  <c r="U263" i="12" s="1"/>
  <c r="X241" i="3"/>
  <c r="U244" i="12" s="1"/>
  <c r="X240" i="3"/>
  <c r="U243" i="12" s="1"/>
  <c r="X233" i="3"/>
  <c r="U236" i="12" s="1"/>
  <c r="X18" i="3"/>
  <c r="U21" i="12" s="1"/>
  <c r="X12" i="3"/>
  <c r="U15" i="12" s="1"/>
  <c r="X2" i="3"/>
  <c r="U5" i="12" s="1"/>
  <c r="X6" i="3"/>
  <c r="U9" i="12" s="1"/>
  <c r="X238" i="3"/>
  <c r="U241" i="12" s="1"/>
  <c r="X115" i="3"/>
  <c r="U118" i="12" s="1"/>
  <c r="X55" i="3"/>
  <c r="U58" i="12" s="1"/>
  <c r="X35" i="3"/>
  <c r="U38" i="12" s="1"/>
  <c r="X242" i="3"/>
  <c r="U245" i="12" s="1"/>
  <c r="X114" i="3"/>
  <c r="U117" i="12" s="1"/>
  <c r="X54" i="3"/>
  <c r="U57" i="12" s="1"/>
  <c r="X34" i="3"/>
  <c r="U37" i="12" s="1"/>
  <c r="X53" i="3"/>
  <c r="U56" i="12" s="1"/>
  <c r="X33" i="3"/>
  <c r="U36" i="12" s="1"/>
  <c r="X132" i="3"/>
  <c r="U135" i="12" s="1"/>
  <c r="X72" i="3"/>
  <c r="U75" i="12" s="1"/>
  <c r="X32" i="3"/>
  <c r="U35" i="12" s="1"/>
  <c r="X131" i="3"/>
  <c r="U134" i="12" s="1"/>
  <c r="X71" i="3"/>
  <c r="U74" i="12" s="1"/>
  <c r="X31" i="3"/>
  <c r="U34" i="12" s="1"/>
  <c r="X11" i="3"/>
  <c r="U14" i="12" s="1"/>
  <c r="X130" i="3"/>
  <c r="U133" i="12" s="1"/>
  <c r="X70" i="3"/>
  <c r="U73" i="12" s="1"/>
  <c r="X129" i="3"/>
  <c r="U132" i="12" s="1"/>
  <c r="X69" i="3"/>
  <c r="U72" i="12" s="1"/>
  <c r="X128" i="3"/>
  <c r="U131" i="12" s="1"/>
  <c r="X68" i="3"/>
  <c r="U71" i="12" s="1"/>
  <c r="X48" i="3"/>
  <c r="U51" i="12" s="1"/>
  <c r="X127" i="3"/>
  <c r="U130" i="12" s="1"/>
  <c r="X67" i="3"/>
  <c r="U70" i="12" s="1"/>
  <c r="X47" i="3"/>
  <c r="U50" i="12" s="1"/>
  <c r="X126" i="3"/>
  <c r="U129" i="12" s="1"/>
  <c r="X66" i="3"/>
  <c r="U69" i="12" s="1"/>
  <c r="X46" i="3"/>
  <c r="U49" i="12" s="1"/>
  <c r="X65" i="3"/>
  <c r="U68" i="12" s="1"/>
  <c r="X45" i="3"/>
  <c r="U48" i="12" s="1"/>
  <c r="X44" i="3"/>
  <c r="U47" i="12" s="1"/>
  <c r="X237" i="3"/>
  <c r="U240" i="12" s="1"/>
  <c r="X236" i="3"/>
  <c r="U239" i="12" s="1"/>
  <c r="X235" i="3"/>
  <c r="U238" i="12" s="1"/>
  <c r="X234" i="3"/>
  <c r="U237" i="12" s="1"/>
  <c r="X300" i="3"/>
  <c r="U303" i="12" s="1"/>
  <c r="X299" i="3"/>
  <c r="U302" i="12" s="1"/>
  <c r="X298" i="3"/>
  <c r="U301" i="12" s="1"/>
  <c r="X297" i="3"/>
  <c r="U300" i="12" s="1"/>
  <c r="X296" i="3"/>
  <c r="U299" i="12" s="1"/>
  <c r="X302" i="3"/>
  <c r="U305" i="12" s="1"/>
  <c r="X295" i="3"/>
  <c r="U298" i="12" s="1"/>
  <c r="X301" i="3"/>
  <c r="U304" i="12" s="1"/>
  <c r="X294" i="3"/>
  <c r="U297" i="12" s="1"/>
  <c r="X210" i="3"/>
  <c r="U213" i="12" s="1"/>
  <c r="X190" i="3"/>
  <c r="U193" i="12" s="1"/>
  <c r="X150" i="3"/>
  <c r="U153" i="12" s="1"/>
  <c r="X90" i="3"/>
  <c r="U93" i="12" s="1"/>
  <c r="X276" i="3"/>
  <c r="U279" i="12" s="1"/>
  <c r="X209" i="3"/>
  <c r="U212" i="12" s="1"/>
  <c r="X189" i="3"/>
  <c r="U192" i="12" s="1"/>
  <c r="X149" i="3"/>
  <c r="U152" i="12" s="1"/>
  <c r="X89" i="3"/>
  <c r="U92" i="12" s="1"/>
  <c r="X275" i="3"/>
  <c r="U278" i="12" s="1"/>
  <c r="X228" i="3"/>
  <c r="U231" i="12" s="1"/>
  <c r="X188" i="3"/>
  <c r="U191" i="12" s="1"/>
  <c r="X168" i="3"/>
  <c r="U171" i="12" s="1"/>
  <c r="X108" i="3"/>
  <c r="U111" i="12" s="1"/>
  <c r="X274" i="3"/>
  <c r="U277" i="12" s="1"/>
  <c r="X227" i="3"/>
  <c r="U230" i="12" s="1"/>
  <c r="X187" i="3"/>
  <c r="U190" i="12" s="1"/>
  <c r="X167" i="3"/>
  <c r="U170" i="12" s="1"/>
  <c r="X107" i="3"/>
  <c r="U110" i="12" s="1"/>
  <c r="X273" i="3"/>
  <c r="U276" i="12" s="1"/>
  <c r="X226" i="3"/>
  <c r="U229" i="12" s="1"/>
  <c r="X186" i="3"/>
  <c r="U189" i="12" s="1"/>
  <c r="X166" i="3"/>
  <c r="U169" i="12" s="1"/>
  <c r="X106" i="3"/>
  <c r="U109" i="12" s="1"/>
  <c r="X272" i="3"/>
  <c r="U275" i="12" s="1"/>
  <c r="X225" i="3"/>
  <c r="U228" i="12" s="1"/>
  <c r="X185" i="3"/>
  <c r="U188" i="12" s="1"/>
  <c r="X165" i="3"/>
  <c r="U168" i="12" s="1"/>
  <c r="X125" i="3"/>
  <c r="U128" i="12" s="1"/>
  <c r="X105" i="3"/>
  <c r="U108" i="12" s="1"/>
  <c r="X271" i="3"/>
  <c r="U274" i="12" s="1"/>
  <c r="X224" i="3"/>
  <c r="U227" i="12" s="1"/>
  <c r="X204" i="3"/>
  <c r="U207" i="12" s="1"/>
  <c r="X164" i="3"/>
  <c r="U167" i="12" s="1"/>
  <c r="X144" i="3"/>
  <c r="U147" i="12" s="1"/>
  <c r="X104" i="3"/>
  <c r="U107" i="12" s="1"/>
  <c r="X84" i="3"/>
  <c r="U87" i="12" s="1"/>
  <c r="X270" i="3"/>
  <c r="U273" i="12" s="1"/>
  <c r="X223" i="3"/>
  <c r="U226" i="12" s="1"/>
  <c r="X203" i="3"/>
  <c r="U206" i="12" s="1"/>
  <c r="X163" i="3"/>
  <c r="U166" i="12" s="1"/>
  <c r="X143" i="3"/>
  <c r="U146" i="12" s="1"/>
  <c r="X103" i="3"/>
  <c r="U106" i="12" s="1"/>
  <c r="X83" i="3"/>
  <c r="U86" i="12" s="1"/>
  <c r="X262" i="3"/>
  <c r="U265" i="12" s="1"/>
  <c r="X322" i="3"/>
  <c r="U325" i="12" s="1"/>
  <c r="X261" i="3"/>
  <c r="U264" i="12" s="1"/>
  <c r="X320" i="3"/>
  <c r="U323" i="12" s="1"/>
  <c r="X293" i="3"/>
  <c r="U296" i="12" s="1"/>
  <c r="X259" i="3"/>
  <c r="U262" i="12" s="1"/>
  <c r="X243" i="3"/>
  <c r="U246" i="12" s="1"/>
  <c r="X319" i="3"/>
  <c r="U322" i="12" s="1"/>
  <c r="X292" i="3"/>
  <c r="U295" i="12" s="1"/>
  <c r="X258" i="3"/>
  <c r="U261" i="12" s="1"/>
  <c r="X318" i="3"/>
  <c r="U321" i="12" s="1"/>
  <c r="X291" i="3"/>
  <c r="U294" i="12" s="1"/>
  <c r="X257" i="3"/>
  <c r="U260" i="12" s="1"/>
  <c r="X317" i="3"/>
  <c r="U320" i="12" s="1"/>
  <c r="X290" i="3"/>
  <c r="U293" i="12" s="1"/>
  <c r="X256" i="3"/>
  <c r="U259" i="12" s="1"/>
  <c r="X316" i="3"/>
  <c r="U319" i="12" s="1"/>
  <c r="X282" i="3"/>
  <c r="U285" i="12" s="1"/>
  <c r="X255" i="3"/>
  <c r="U258" i="12" s="1"/>
  <c r="X215" i="3"/>
  <c r="U218" i="12" s="1"/>
  <c r="X175" i="3"/>
  <c r="U178" i="12" s="1"/>
  <c r="X155" i="3"/>
  <c r="U158" i="12" s="1"/>
  <c r="X95" i="3"/>
  <c r="U98" i="12" s="1"/>
  <c r="X315" i="3"/>
  <c r="U318" i="12" s="1"/>
  <c r="X281" i="3"/>
  <c r="U284" i="12" s="1"/>
  <c r="X254" i="3"/>
  <c r="U257" i="12" s="1"/>
  <c r="X214" i="3"/>
  <c r="U217" i="12" s="1"/>
  <c r="X174" i="3"/>
  <c r="U177" i="12" s="1"/>
  <c r="X154" i="3"/>
  <c r="U157" i="12" s="1"/>
  <c r="X94" i="3"/>
  <c r="U97" i="12" s="1"/>
  <c r="X314" i="3"/>
  <c r="U317" i="12" s="1"/>
  <c r="X280" i="3"/>
  <c r="U283" i="12" s="1"/>
  <c r="X253" i="3"/>
  <c r="U256" i="12" s="1"/>
  <c r="X213" i="3"/>
  <c r="U216" i="12" s="1"/>
  <c r="X173" i="3"/>
  <c r="U176" i="12" s="1"/>
  <c r="X153" i="3"/>
  <c r="U156" i="12" s="1"/>
  <c r="X113" i="3"/>
  <c r="U116" i="12" s="1"/>
  <c r="X93" i="3"/>
  <c r="U96" i="12" s="1"/>
  <c r="X313" i="3"/>
  <c r="U316" i="12" s="1"/>
  <c r="X279" i="3"/>
  <c r="U282" i="12" s="1"/>
  <c r="X252" i="3"/>
  <c r="U255" i="12" s="1"/>
  <c r="X212" i="3"/>
  <c r="U215" i="12" s="1"/>
  <c r="X192" i="3"/>
  <c r="U195" i="12" s="1"/>
  <c r="X152" i="3"/>
  <c r="U155" i="12" s="1"/>
  <c r="X92" i="3"/>
  <c r="U95" i="12" s="1"/>
  <c r="X312" i="3"/>
  <c r="U315" i="12" s="1"/>
  <c r="X278" i="3"/>
  <c r="U281" i="12" s="1"/>
  <c r="X250" i="3"/>
  <c r="U253" i="12" s="1"/>
  <c r="X211" i="3"/>
  <c r="U214" i="12" s="1"/>
  <c r="X191" i="3"/>
  <c r="U194" i="12" s="1"/>
  <c r="X151" i="3"/>
  <c r="U154" i="12" s="1"/>
  <c r="X91" i="3"/>
  <c r="U94" i="12" s="1"/>
  <c r="X311" i="3"/>
  <c r="U314" i="12" s="1"/>
  <c r="X277" i="3"/>
  <c r="U280" i="12" s="1"/>
  <c r="X232" i="3"/>
  <c r="U235" i="12" s="1"/>
  <c r="X251" i="3"/>
  <c r="U254" i="12" s="1"/>
  <c r="X202" i="3"/>
  <c r="U205" i="12" s="1"/>
  <c r="X162" i="3"/>
  <c r="U165" i="12" s="1"/>
  <c r="X82" i="3"/>
  <c r="U85" i="12" s="1"/>
  <c r="X309" i="3"/>
  <c r="U312" i="12" s="1"/>
  <c r="X289" i="3"/>
  <c r="U292" i="12" s="1"/>
  <c r="X249" i="3"/>
  <c r="U252" i="12" s="1"/>
  <c r="X201" i="3"/>
  <c r="U204" i="12" s="1"/>
  <c r="X141" i="3"/>
  <c r="U144" i="12" s="1"/>
  <c r="X308" i="3"/>
  <c r="U311" i="12" s="1"/>
  <c r="X200" i="3"/>
  <c r="U203" i="12" s="1"/>
  <c r="X180" i="3"/>
  <c r="U183" i="12" s="1"/>
  <c r="X140" i="3"/>
  <c r="U143" i="12" s="1"/>
  <c r="X307" i="3"/>
  <c r="U310" i="12" s="1"/>
  <c r="X287" i="3"/>
  <c r="U290" i="12" s="1"/>
  <c r="X247" i="3"/>
  <c r="U250" i="12" s="1"/>
  <c r="X199" i="3"/>
  <c r="U202" i="12" s="1"/>
  <c r="X326" i="3"/>
  <c r="U329" i="12" s="1"/>
  <c r="X198" i="3"/>
  <c r="U201" i="12" s="1"/>
  <c r="X138" i="3"/>
  <c r="U141" i="12" s="1"/>
  <c r="X197" i="3"/>
  <c r="U200" i="12" s="1"/>
  <c r="X137" i="3"/>
  <c r="U140" i="12" s="1"/>
  <c r="X117" i="3"/>
  <c r="U120" i="12" s="1"/>
  <c r="X77" i="3"/>
  <c r="U80" i="12" s="1"/>
  <c r="X324" i="3"/>
  <c r="U327" i="12" s="1"/>
  <c r="X304" i="3"/>
  <c r="U307" i="12" s="1"/>
  <c r="X284" i="3"/>
  <c r="U287" i="12" s="1"/>
  <c r="X264" i="3"/>
  <c r="U267" i="12" s="1"/>
  <c r="X244" i="3"/>
  <c r="U247" i="12" s="1"/>
  <c r="X222" i="3"/>
  <c r="U225" i="12" s="1"/>
  <c r="X142" i="3"/>
  <c r="U145" i="12" s="1"/>
  <c r="X102" i="3"/>
  <c r="U105" i="12" s="1"/>
  <c r="X329" i="3"/>
  <c r="U332" i="12" s="1"/>
  <c r="X269" i="3"/>
  <c r="U272" i="12" s="1"/>
  <c r="X221" i="3"/>
  <c r="U224" i="12" s="1"/>
  <c r="X161" i="3"/>
  <c r="U164" i="12" s="1"/>
  <c r="X101" i="3"/>
  <c r="U104" i="12" s="1"/>
  <c r="X328" i="3"/>
  <c r="U331" i="12" s="1"/>
  <c r="X288" i="3"/>
  <c r="U291" i="12" s="1"/>
  <c r="X268" i="3"/>
  <c r="U271" i="12" s="1"/>
  <c r="X248" i="3"/>
  <c r="U251" i="12" s="1"/>
  <c r="X327" i="3"/>
  <c r="U330" i="12" s="1"/>
  <c r="X267" i="3"/>
  <c r="U270" i="12" s="1"/>
  <c r="X179" i="3"/>
  <c r="U182" i="12" s="1"/>
  <c r="X139" i="3"/>
  <c r="U142" i="12" s="1"/>
  <c r="X306" i="3"/>
  <c r="U309" i="12" s="1"/>
  <c r="X286" i="3"/>
  <c r="U289" i="12" s="1"/>
  <c r="X266" i="3"/>
  <c r="U269" i="12" s="1"/>
  <c r="X246" i="3"/>
  <c r="U249" i="12" s="1"/>
  <c r="X178" i="3"/>
  <c r="U181" i="12" s="1"/>
  <c r="X325" i="3"/>
  <c r="U328" i="12" s="1"/>
  <c r="X305" i="3"/>
  <c r="U308" i="12" s="1"/>
  <c r="X285" i="3"/>
  <c r="U288" i="12" s="1"/>
  <c r="X265" i="3"/>
  <c r="U268" i="12" s="1"/>
  <c r="X245" i="3"/>
  <c r="U248" i="12" s="1"/>
  <c r="X177" i="3"/>
  <c r="U180" i="12" s="1"/>
  <c r="X216" i="3"/>
  <c r="U219" i="12" s="1"/>
  <c r="X176" i="3"/>
  <c r="U179" i="12" s="1"/>
  <c r="X156" i="3"/>
  <c r="U159" i="12" s="1"/>
  <c r="X96" i="3"/>
  <c r="U99" i="12" s="1"/>
  <c r="X323" i="3"/>
  <c r="U326" i="12" s="1"/>
  <c r="X303" i="3"/>
  <c r="U306" i="12" s="1"/>
  <c r="X283" i="3"/>
  <c r="U286" i="12" s="1"/>
  <c r="X263" i="3"/>
  <c r="U266" i="12" s="1"/>
  <c r="W228" i="3"/>
  <c r="M231" i="12" s="1"/>
  <c r="W108" i="3"/>
  <c r="M111" i="12" s="1"/>
  <c r="X112" i="3"/>
  <c r="U115" i="12" s="1"/>
  <c r="W216" i="3"/>
  <c r="M219" i="12" s="1"/>
  <c r="X220" i="3"/>
  <c r="U223" i="12" s="1"/>
  <c r="W204" i="3"/>
  <c r="M207" i="12" s="1"/>
  <c r="X208" i="3"/>
  <c r="U211" i="12" s="1"/>
  <c r="W192" i="3"/>
  <c r="M195" i="12" s="1"/>
  <c r="X196" i="3"/>
  <c r="U199" i="12" s="1"/>
  <c r="W180" i="3"/>
  <c r="M183" i="12" s="1"/>
  <c r="X184" i="3"/>
  <c r="U187" i="12" s="1"/>
  <c r="W168" i="3"/>
  <c r="M171" i="12" s="1"/>
  <c r="X172" i="3"/>
  <c r="U175" i="12" s="1"/>
  <c r="W156" i="3"/>
  <c r="M159" i="12" s="1"/>
  <c r="X160" i="3"/>
  <c r="U163" i="12" s="1"/>
  <c r="W144" i="3"/>
  <c r="M147" i="12" s="1"/>
  <c r="X148" i="3"/>
  <c r="U151" i="12" s="1"/>
  <c r="W132" i="3"/>
  <c r="M135" i="12" s="1"/>
  <c r="X136" i="3"/>
  <c r="U139" i="12" s="1"/>
  <c r="W120" i="3"/>
  <c r="M123" i="12" s="1"/>
  <c r="X124" i="3"/>
  <c r="U127" i="12" s="1"/>
  <c r="X64" i="3"/>
  <c r="U67" i="12" s="1"/>
  <c r="W96" i="3"/>
  <c r="M99" i="12" s="1"/>
  <c r="X52" i="3"/>
  <c r="U55" i="12" s="1"/>
  <c r="W84" i="3"/>
  <c r="M87" i="12" s="1"/>
  <c r="X40" i="3"/>
  <c r="U43" i="12" s="1"/>
  <c r="W72" i="3"/>
  <c r="M75" i="12" s="1"/>
  <c r="X28" i="3"/>
  <c r="U31" i="12" s="1"/>
  <c r="W60" i="3"/>
  <c r="M63" i="12" s="1"/>
  <c r="X16" i="3"/>
  <c r="U19" i="12" s="1"/>
  <c r="W48" i="3"/>
  <c r="M51" i="12" s="1"/>
  <c r="X4" i="3"/>
  <c r="U7" i="12" s="1"/>
  <c r="W36" i="3"/>
  <c r="M39" i="12" s="1"/>
  <c r="W24" i="3"/>
  <c r="M27" i="12" s="1"/>
  <c r="W12" i="3"/>
  <c r="M15" i="12" s="1"/>
  <c r="X100" i="3"/>
  <c r="U103" i="12" s="1"/>
  <c r="X88" i="3"/>
  <c r="U91" i="12" s="1"/>
  <c r="X76" i="3"/>
  <c r="U79" i="12" s="1"/>
  <c r="W229" i="3"/>
  <c r="M232" i="12" s="1"/>
  <c r="X229" i="3"/>
  <c r="U232" i="12" s="1"/>
  <c r="W217" i="3"/>
  <c r="M220" i="12" s="1"/>
  <c r="X217" i="3"/>
  <c r="U220" i="12" s="1"/>
  <c r="W205" i="3"/>
  <c r="M208" i="12" s="1"/>
  <c r="X205" i="3"/>
  <c r="U208" i="12" s="1"/>
  <c r="W193" i="3"/>
  <c r="M196" i="12" s="1"/>
  <c r="X193" i="3"/>
  <c r="U196" i="12" s="1"/>
  <c r="W181" i="3"/>
  <c r="M184" i="12" s="1"/>
  <c r="X181" i="3"/>
  <c r="U184" i="12" s="1"/>
  <c r="W169" i="3"/>
  <c r="M172" i="12" s="1"/>
  <c r="X169" i="3"/>
  <c r="U172" i="12" s="1"/>
  <c r="W157" i="3"/>
  <c r="M160" i="12" s="1"/>
  <c r="X157" i="3"/>
  <c r="U160" i="12" s="1"/>
  <c r="W145" i="3"/>
  <c r="M148" i="12" s="1"/>
  <c r="X145" i="3"/>
  <c r="U148" i="12" s="1"/>
  <c r="W133" i="3"/>
  <c r="M136" i="12" s="1"/>
  <c r="X133" i="3"/>
  <c r="U136" i="12" s="1"/>
  <c r="W121" i="3"/>
  <c r="M124" i="12" s="1"/>
  <c r="X121" i="3"/>
  <c r="U124" i="12" s="1"/>
  <c r="W109" i="3"/>
  <c r="M112" i="12" s="1"/>
  <c r="X109" i="3"/>
  <c r="U112" i="12" s="1"/>
  <c r="W97" i="3"/>
  <c r="M100" i="12" s="1"/>
  <c r="X97" i="3"/>
  <c r="U100" i="12" s="1"/>
  <c r="W85" i="3"/>
  <c r="M88" i="12" s="1"/>
  <c r="X85" i="3"/>
  <c r="U88" i="12" s="1"/>
  <c r="W73" i="3"/>
  <c r="M76" i="12" s="1"/>
  <c r="X73" i="3"/>
  <c r="U76" i="12" s="1"/>
  <c r="W61" i="3"/>
  <c r="M64" i="12" s="1"/>
  <c r="X61" i="3"/>
  <c r="U64" i="12" s="1"/>
  <c r="W49" i="3"/>
  <c r="M52" i="12" s="1"/>
  <c r="X49" i="3"/>
  <c r="U52" i="12" s="1"/>
  <c r="W37" i="3"/>
  <c r="M40" i="12" s="1"/>
  <c r="X37" i="3"/>
  <c r="U40" i="12" s="1"/>
  <c r="W25" i="3"/>
  <c r="M28" i="12" s="1"/>
  <c r="X25" i="3"/>
  <c r="U28" i="12" s="1"/>
  <c r="W13" i="3"/>
  <c r="M16" i="12" s="1"/>
  <c r="X13" i="3"/>
  <c r="U16" i="12" s="1"/>
  <c r="W227" i="3"/>
  <c r="M230" i="12" s="1"/>
  <c r="W215" i="3"/>
  <c r="M218" i="12" s="1"/>
  <c r="W203" i="3"/>
  <c r="M206" i="12" s="1"/>
  <c r="W191" i="3"/>
  <c r="M194" i="12" s="1"/>
  <c r="W179" i="3"/>
  <c r="M182" i="12" s="1"/>
  <c r="W167" i="3"/>
  <c r="M170" i="12" s="1"/>
  <c r="W155" i="3"/>
  <c r="M158" i="12" s="1"/>
  <c r="W143" i="3"/>
  <c r="M146" i="12" s="1"/>
  <c r="W131" i="3"/>
  <c r="M134" i="12" s="1"/>
  <c r="W119" i="3"/>
  <c r="M122" i="12" s="1"/>
  <c r="W107" i="3"/>
  <c r="M110" i="12" s="1"/>
  <c r="W95" i="3"/>
  <c r="M98" i="12" s="1"/>
  <c r="W83" i="3"/>
  <c r="M86" i="12" s="1"/>
  <c r="W71" i="3"/>
  <c r="M74" i="12" s="1"/>
  <c r="W59" i="3"/>
  <c r="M62" i="12" s="1"/>
  <c r="W47" i="3"/>
  <c r="M50" i="12" s="1"/>
  <c r="W35" i="3"/>
  <c r="M38" i="12" s="1"/>
  <c r="W23" i="3"/>
  <c r="M26" i="12" s="1"/>
  <c r="W11" i="3"/>
  <c r="M14" i="12" s="1"/>
  <c r="X231" i="3"/>
  <c r="U234" i="12" s="1"/>
  <c r="X219" i="3"/>
  <c r="U222" i="12" s="1"/>
  <c r="X207" i="3"/>
  <c r="U210" i="12" s="1"/>
  <c r="X195" i="3"/>
  <c r="U198" i="12" s="1"/>
  <c r="X183" i="3"/>
  <c r="U186" i="12" s="1"/>
  <c r="X171" i="3"/>
  <c r="U174" i="12" s="1"/>
  <c r="X159" i="3"/>
  <c r="U162" i="12" s="1"/>
  <c r="X147" i="3"/>
  <c r="U150" i="12" s="1"/>
  <c r="X135" i="3"/>
  <c r="U138" i="12" s="1"/>
  <c r="X123" i="3"/>
  <c r="U126" i="12" s="1"/>
  <c r="X111" i="3"/>
  <c r="U114" i="12" s="1"/>
  <c r="X99" i="3"/>
  <c r="U102" i="12" s="1"/>
  <c r="X87" i="3"/>
  <c r="U90" i="12" s="1"/>
  <c r="X75" i="3"/>
  <c r="U78" i="12" s="1"/>
  <c r="X63" i="3"/>
  <c r="U66" i="12" s="1"/>
  <c r="X51" i="3"/>
  <c r="U54" i="12" s="1"/>
  <c r="X39" i="3"/>
  <c r="U42" i="12" s="1"/>
  <c r="X27" i="3"/>
  <c r="U30" i="12" s="1"/>
  <c r="X15" i="3"/>
  <c r="U18" i="12" s="1"/>
  <c r="X3" i="3"/>
  <c r="U6" i="12" s="1"/>
  <c r="W226" i="3"/>
  <c r="M229" i="12" s="1"/>
  <c r="W214" i="3"/>
  <c r="M217" i="12" s="1"/>
  <c r="W202" i="3"/>
  <c r="M205" i="12" s="1"/>
  <c r="W190" i="3"/>
  <c r="M193" i="12" s="1"/>
  <c r="W178" i="3"/>
  <c r="M181" i="12" s="1"/>
  <c r="W166" i="3"/>
  <c r="M169" i="12" s="1"/>
  <c r="W154" i="3"/>
  <c r="M157" i="12" s="1"/>
  <c r="W142" i="3"/>
  <c r="M145" i="12" s="1"/>
  <c r="W130" i="3"/>
  <c r="M133" i="12" s="1"/>
  <c r="W118" i="3"/>
  <c r="M121" i="12" s="1"/>
  <c r="W106" i="3"/>
  <c r="M109" i="12" s="1"/>
  <c r="W94" i="3"/>
  <c r="M97" i="12" s="1"/>
  <c r="W82" i="3"/>
  <c r="M85" i="12" s="1"/>
  <c r="W70" i="3"/>
  <c r="M73" i="12" s="1"/>
  <c r="W58" i="3"/>
  <c r="M61" i="12" s="1"/>
  <c r="W46" i="3"/>
  <c r="M49" i="12" s="1"/>
  <c r="W34" i="3"/>
  <c r="M37" i="12" s="1"/>
  <c r="W22" i="3"/>
  <c r="M25" i="12" s="1"/>
  <c r="W10" i="3"/>
  <c r="M13" i="12" s="1"/>
  <c r="X230" i="3"/>
  <c r="U233" i="12" s="1"/>
  <c r="X218" i="3"/>
  <c r="U221" i="12" s="1"/>
  <c r="X206" i="3"/>
  <c r="U209" i="12" s="1"/>
  <c r="X194" i="3"/>
  <c r="U197" i="12" s="1"/>
  <c r="X182" i="3"/>
  <c r="U185" i="12" s="1"/>
  <c r="X170" i="3"/>
  <c r="U173" i="12" s="1"/>
  <c r="X158" i="3"/>
  <c r="U161" i="12" s="1"/>
  <c r="X146" i="3"/>
  <c r="U149" i="12" s="1"/>
  <c r="X134" i="3"/>
  <c r="U137" i="12" s="1"/>
  <c r="X122" i="3"/>
  <c r="U125" i="12" s="1"/>
  <c r="X110" i="3"/>
  <c r="U113" i="12" s="1"/>
  <c r="X98" i="3"/>
  <c r="U101" i="12" s="1"/>
  <c r="X86" i="3"/>
  <c r="U89" i="12" s="1"/>
  <c r="X74" i="3"/>
  <c r="U77" i="12" s="1"/>
  <c r="X62" i="3"/>
  <c r="U65" i="12" s="1"/>
  <c r="X50" i="3"/>
  <c r="U53" i="12" s="1"/>
  <c r="X38" i="3"/>
  <c r="U41" i="12" s="1"/>
  <c r="X26" i="3"/>
  <c r="U29" i="12" s="1"/>
  <c r="X14" i="3"/>
  <c r="U17" i="12" s="1"/>
  <c r="W225" i="3"/>
  <c r="M228" i="12" s="1"/>
  <c r="W213" i="3"/>
  <c r="M216" i="12" s="1"/>
  <c r="W201" i="3"/>
  <c r="M204" i="12" s="1"/>
  <c r="W189" i="3"/>
  <c r="M192" i="12" s="1"/>
  <c r="W177" i="3"/>
  <c r="M180" i="12" s="1"/>
  <c r="W165" i="3"/>
  <c r="M168" i="12" s="1"/>
  <c r="W153" i="3"/>
  <c r="M156" i="12" s="1"/>
  <c r="W141" i="3"/>
  <c r="M144" i="12" s="1"/>
  <c r="W129" i="3"/>
  <c r="M132" i="12" s="1"/>
  <c r="W117" i="3"/>
  <c r="M120" i="12" s="1"/>
  <c r="W105" i="3"/>
  <c r="M108" i="12" s="1"/>
  <c r="W93" i="3"/>
  <c r="M96" i="12" s="1"/>
  <c r="W81" i="3"/>
  <c r="M84" i="12" s="1"/>
  <c r="W69" i="3"/>
  <c r="M72" i="12" s="1"/>
  <c r="W57" i="3"/>
  <c r="M60" i="12" s="1"/>
  <c r="W45" i="3"/>
  <c r="M48" i="12" s="1"/>
  <c r="W33" i="3"/>
  <c r="M36" i="12" s="1"/>
  <c r="W21" i="3"/>
  <c r="M24" i="12" s="1"/>
  <c r="W9" i="3"/>
  <c r="M12" i="12" s="1"/>
  <c r="W224" i="3"/>
  <c r="M227" i="12" s="1"/>
  <c r="W212" i="3"/>
  <c r="M215" i="12" s="1"/>
  <c r="W200" i="3"/>
  <c r="M203" i="12" s="1"/>
  <c r="W188" i="3"/>
  <c r="M191" i="12" s="1"/>
  <c r="W176" i="3"/>
  <c r="M179" i="12" s="1"/>
  <c r="W164" i="3"/>
  <c r="M167" i="12" s="1"/>
  <c r="W152" i="3"/>
  <c r="M155" i="12" s="1"/>
  <c r="W140" i="3"/>
  <c r="M143" i="12" s="1"/>
  <c r="W128" i="3"/>
  <c r="M131" i="12" s="1"/>
  <c r="W116" i="3"/>
  <c r="M119" i="12" s="1"/>
  <c r="W104" i="3"/>
  <c r="M107" i="12" s="1"/>
  <c r="W92" i="3"/>
  <c r="M95" i="12" s="1"/>
  <c r="W80" i="3"/>
  <c r="M83" i="12" s="1"/>
  <c r="W68" i="3"/>
  <c r="M71" i="12" s="1"/>
  <c r="W56" i="3"/>
  <c r="M59" i="12" s="1"/>
  <c r="W44" i="3"/>
  <c r="M47" i="12" s="1"/>
  <c r="W32" i="3"/>
  <c r="M35" i="12" s="1"/>
  <c r="W20" i="3"/>
  <c r="M23" i="12" s="1"/>
  <c r="W8" i="3"/>
  <c r="M11" i="12" s="1"/>
  <c r="W223" i="3"/>
  <c r="M226" i="12" s="1"/>
  <c r="W211" i="3"/>
  <c r="M214" i="12" s="1"/>
  <c r="W199" i="3"/>
  <c r="M202" i="12" s="1"/>
  <c r="W187" i="3"/>
  <c r="M190" i="12" s="1"/>
  <c r="W175" i="3"/>
  <c r="M178" i="12" s="1"/>
  <c r="W163" i="3"/>
  <c r="M166" i="12" s="1"/>
  <c r="W151" i="3"/>
  <c r="M154" i="12" s="1"/>
  <c r="W139" i="3"/>
  <c r="M142" i="12" s="1"/>
  <c r="W127" i="3"/>
  <c r="M130" i="12" s="1"/>
  <c r="W115" i="3"/>
  <c r="M118" i="12" s="1"/>
  <c r="W103" i="3"/>
  <c r="M106" i="12" s="1"/>
  <c r="W91" i="3"/>
  <c r="M94" i="12" s="1"/>
  <c r="W79" i="3"/>
  <c r="M82" i="12" s="1"/>
  <c r="W67" i="3"/>
  <c r="M70" i="12" s="1"/>
  <c r="W55" i="3"/>
  <c r="M58" i="12" s="1"/>
  <c r="W43" i="3"/>
  <c r="M46" i="12" s="1"/>
  <c r="W31" i="3"/>
  <c r="M34" i="12" s="1"/>
  <c r="W19" i="3"/>
  <c r="M22" i="12" s="1"/>
  <c r="W7" i="3"/>
  <c r="M10" i="12" s="1"/>
  <c r="W2" i="3"/>
  <c r="M5" i="12" s="1"/>
  <c r="W222" i="3"/>
  <c r="M225" i="12" s="1"/>
  <c r="W210" i="3"/>
  <c r="M213" i="12" s="1"/>
  <c r="W198" i="3"/>
  <c r="M201" i="12" s="1"/>
  <c r="W186" i="3"/>
  <c r="M189" i="12" s="1"/>
  <c r="W174" i="3"/>
  <c r="M177" i="12" s="1"/>
  <c r="W162" i="3"/>
  <c r="M165" i="12" s="1"/>
  <c r="W150" i="3"/>
  <c r="M153" i="12" s="1"/>
  <c r="W138" i="3"/>
  <c r="M141" i="12" s="1"/>
  <c r="W126" i="3"/>
  <c r="M129" i="12" s="1"/>
  <c r="W114" i="3"/>
  <c r="M117" i="12" s="1"/>
  <c r="W102" i="3"/>
  <c r="M105" i="12" s="1"/>
  <c r="W90" i="3"/>
  <c r="M93" i="12" s="1"/>
  <c r="W78" i="3"/>
  <c r="M81" i="12" s="1"/>
  <c r="W66" i="3"/>
  <c r="M69" i="12" s="1"/>
  <c r="W54" i="3"/>
  <c r="M57" i="12" s="1"/>
  <c r="W42" i="3"/>
  <c r="M45" i="12" s="1"/>
  <c r="W30" i="3"/>
  <c r="M33" i="12" s="1"/>
  <c r="W18" i="3"/>
  <c r="M21" i="12" s="1"/>
  <c r="W6" i="3"/>
  <c r="M9" i="12" s="1"/>
  <c r="W221" i="3"/>
  <c r="M224" i="12" s="1"/>
  <c r="W209" i="3"/>
  <c r="M212" i="12" s="1"/>
  <c r="W197" i="3"/>
  <c r="M200" i="12" s="1"/>
  <c r="W185" i="3"/>
  <c r="M188" i="12" s="1"/>
  <c r="W173" i="3"/>
  <c r="M176" i="12" s="1"/>
  <c r="W161" i="3"/>
  <c r="M164" i="12" s="1"/>
  <c r="W149" i="3"/>
  <c r="M152" i="12" s="1"/>
  <c r="W137" i="3"/>
  <c r="M140" i="12" s="1"/>
  <c r="W125" i="3"/>
  <c r="M128" i="12" s="1"/>
  <c r="W113" i="3"/>
  <c r="M116" i="12" s="1"/>
  <c r="W101" i="3"/>
  <c r="M104" i="12" s="1"/>
  <c r="W89" i="3"/>
  <c r="M92" i="12" s="1"/>
  <c r="W77" i="3"/>
  <c r="M80" i="12" s="1"/>
  <c r="W65" i="3"/>
  <c r="M68" i="12" s="1"/>
  <c r="W53" i="3"/>
  <c r="M56" i="12" s="1"/>
  <c r="W41" i="3"/>
  <c r="M44" i="12" s="1"/>
  <c r="W29" i="3"/>
  <c r="M32" i="12" s="1"/>
  <c r="W17" i="3"/>
  <c r="M20" i="12" s="1"/>
  <c r="W5" i="3"/>
  <c r="M8" i="12" s="1"/>
  <c r="M3" i="3"/>
  <c r="M70" i="3"/>
  <c r="M26" i="3"/>
  <c r="M61" i="3"/>
  <c r="M49" i="3"/>
  <c r="M37" i="3"/>
  <c r="M25" i="3"/>
  <c r="M13" i="3"/>
  <c r="M50" i="3"/>
  <c r="M38" i="3"/>
  <c r="M60" i="3"/>
  <c r="M48" i="3"/>
  <c r="M36" i="3"/>
  <c r="M24" i="3"/>
  <c r="M12" i="3"/>
  <c r="M62" i="3"/>
  <c r="M14" i="3"/>
  <c r="M2" i="3"/>
  <c r="M59" i="3"/>
  <c r="M47" i="3"/>
  <c r="M35" i="3"/>
  <c r="M23" i="3"/>
  <c r="M11" i="3"/>
  <c r="M10" i="3"/>
  <c r="M69" i="3"/>
  <c r="M57" i="3"/>
  <c r="M45" i="3"/>
  <c r="M33" i="3"/>
  <c r="M21" i="3"/>
  <c r="M9" i="3"/>
  <c r="M58" i="3"/>
  <c r="M68" i="3"/>
  <c r="M56" i="3"/>
  <c r="M44" i="3"/>
  <c r="M32" i="3"/>
  <c r="M20" i="3"/>
  <c r="M8" i="3"/>
  <c r="M46" i="3"/>
  <c r="M67" i="3"/>
  <c r="M55" i="3"/>
  <c r="M43" i="3"/>
  <c r="M31" i="3"/>
  <c r="M19" i="3"/>
  <c r="M7" i="3"/>
  <c r="M22" i="3"/>
  <c r="M66" i="3"/>
  <c r="M54" i="3"/>
  <c r="M42" i="3"/>
  <c r="M30" i="3"/>
  <c r="M18" i="3"/>
  <c r="M6" i="3"/>
  <c r="M34" i="3"/>
  <c r="M65" i="3"/>
  <c r="M53" i="3"/>
  <c r="M41" i="3"/>
  <c r="M29" i="3"/>
  <c r="M17" i="3"/>
  <c r="M5" i="3"/>
  <c r="M64" i="3"/>
  <c r="M52" i="3"/>
  <c r="M40" i="3"/>
  <c r="M28" i="3"/>
  <c r="M16" i="3"/>
  <c r="M4" i="3"/>
  <c r="M63" i="3"/>
  <c r="M51" i="3"/>
  <c r="M39" i="3"/>
  <c r="M27" i="3"/>
  <c r="M15" i="3"/>
  <c r="AL174" i="3"/>
  <c r="AM174" i="3" s="1"/>
  <c r="AL270" i="3"/>
  <c r="AM270" i="3" s="1"/>
  <c r="AK258" i="3"/>
  <c r="AL246" i="3"/>
  <c r="AM246" i="3" s="1"/>
  <c r="AL210" i="3"/>
  <c r="AM210" i="3" s="1"/>
  <c r="AJ198" i="3"/>
  <c r="S2" i="3"/>
  <c r="S12" i="3"/>
  <c r="AK246" i="3"/>
  <c r="AN246" i="3" s="1"/>
  <c r="AK174" i="3"/>
  <c r="S3" i="3"/>
  <c r="AL234" i="3"/>
  <c r="AM234" i="3" s="1"/>
  <c r="AN234" i="3" s="1"/>
  <c r="S49" i="3"/>
  <c r="AL294" i="3"/>
  <c r="AM294" i="3" s="1"/>
  <c r="AL222" i="3"/>
  <c r="AM222" i="3" s="1"/>
  <c r="AL162" i="3"/>
  <c r="AM162" i="3" s="1"/>
  <c r="AK294" i="3"/>
  <c r="S47" i="3"/>
  <c r="AK222" i="3"/>
  <c r="AK162" i="3"/>
  <c r="AL282" i="3"/>
  <c r="AM282" i="3" s="1"/>
  <c r="S13" i="3"/>
  <c r="S61" i="3"/>
  <c r="S60" i="3"/>
  <c r="S48" i="3"/>
  <c r="AJ270" i="3"/>
  <c r="AJ210" i="3"/>
  <c r="S36" i="3"/>
  <c r="AL258" i="3"/>
  <c r="AM258" i="3" s="1"/>
  <c r="AL198" i="3"/>
  <c r="AM198" i="3" s="1"/>
  <c r="S24" i="3"/>
  <c r="AJ186" i="3"/>
  <c r="S14" i="3"/>
  <c r="S62" i="3"/>
  <c r="S50" i="3"/>
  <c r="S38" i="3"/>
  <c r="S26" i="3"/>
  <c r="S37" i="3"/>
  <c r="S25" i="3"/>
  <c r="S11" i="3"/>
  <c r="S70" i="3"/>
  <c r="S58" i="3"/>
  <c r="S46" i="3"/>
  <c r="S34" i="3"/>
  <c r="S22" i="3"/>
  <c r="S10" i="3"/>
  <c r="S59" i="3"/>
  <c r="S69" i="3"/>
  <c r="S57" i="3"/>
  <c r="S45" i="3"/>
  <c r="S33" i="3"/>
  <c r="S21" i="3"/>
  <c r="S9" i="3"/>
  <c r="S68" i="3"/>
  <c r="S56" i="3"/>
  <c r="S44" i="3"/>
  <c r="S32" i="3"/>
  <c r="S20" i="3"/>
  <c r="S8" i="3"/>
  <c r="S23" i="3"/>
  <c r="S67" i="3"/>
  <c r="S55" i="3"/>
  <c r="S43" i="3"/>
  <c r="S31" i="3"/>
  <c r="S19" i="3"/>
  <c r="S7" i="3"/>
  <c r="S35" i="3"/>
  <c r="S66" i="3"/>
  <c r="S54" i="3"/>
  <c r="S42" i="3"/>
  <c r="S30" i="3"/>
  <c r="S18" i="3"/>
  <c r="S6" i="3"/>
  <c r="S65" i="3"/>
  <c r="S53" i="3"/>
  <c r="S41" i="3"/>
  <c r="S29" i="3"/>
  <c r="S17" i="3"/>
  <c r="S5" i="3"/>
  <c r="S64" i="3"/>
  <c r="S52" i="3"/>
  <c r="S40" i="3"/>
  <c r="S28" i="3"/>
  <c r="S16" i="3"/>
  <c r="S4" i="3"/>
  <c r="S63" i="3"/>
  <c r="S51" i="3"/>
  <c r="S39" i="3"/>
  <c r="S27" i="3"/>
  <c r="S15" i="3"/>
  <c r="AK318" i="3"/>
  <c r="AJ318" i="3"/>
  <c r="AL306" i="3"/>
  <c r="AM306" i="3" s="1"/>
  <c r="AK306" i="3"/>
  <c r="AK220" i="3"/>
  <c r="AL308" i="3"/>
  <c r="AM308" i="3" s="1"/>
  <c r="AL186" i="3"/>
  <c r="AM186" i="3" s="1"/>
  <c r="AK282" i="3"/>
  <c r="AN282" i="3" s="1"/>
  <c r="X285" i="12" s="1"/>
  <c r="AK234" i="3"/>
  <c r="AL269" i="3"/>
  <c r="AM269" i="3" s="1"/>
  <c r="AK173" i="3"/>
  <c r="AK252" i="3"/>
  <c r="AJ252" i="3"/>
  <c r="AK217" i="3"/>
  <c r="AL284" i="3"/>
  <c r="AM284" i="3" s="1"/>
  <c r="AK312" i="3"/>
  <c r="AJ292" i="3"/>
  <c r="AL181" i="3"/>
  <c r="AM181" i="3" s="1"/>
  <c r="AL217" i="3"/>
  <c r="AM217" i="3" s="1"/>
  <c r="AK308" i="3"/>
  <c r="AL172" i="3"/>
  <c r="AM172" i="3" s="1"/>
  <c r="AJ269" i="3"/>
  <c r="AJ325" i="3"/>
  <c r="AL312" i="3"/>
  <c r="AM312" i="3" s="1"/>
  <c r="AL288" i="3"/>
  <c r="AM288" i="3" s="1"/>
  <c r="AJ288" i="3"/>
  <c r="AL264" i="3"/>
  <c r="AM264" i="3" s="1"/>
  <c r="AK264" i="3"/>
  <c r="AL324" i="3"/>
  <c r="AM324" i="3" s="1"/>
  <c r="AL228" i="3"/>
  <c r="AM228" i="3" s="1"/>
  <c r="AK324" i="3"/>
  <c r="AK305" i="3"/>
  <c r="AL300" i="3"/>
  <c r="AM300" i="3" s="1"/>
  <c r="AK276" i="3"/>
  <c r="AJ300" i="3"/>
  <c r="AJ276" i="3"/>
  <c r="AJ285" i="3"/>
  <c r="AJ327" i="3"/>
  <c r="AJ326" i="3"/>
  <c r="AJ303" i="3"/>
  <c r="AJ317" i="3"/>
  <c r="AK314" i="3"/>
  <c r="AJ231" i="3"/>
  <c r="AK230" i="3"/>
  <c r="AL255" i="3"/>
  <c r="AM255" i="3" s="1"/>
  <c r="AJ195" i="3"/>
  <c r="AL317" i="3"/>
  <c r="AM317" i="3" s="1"/>
  <c r="AK304" i="3"/>
  <c r="AL303" i="3"/>
  <c r="AM303" i="3" s="1"/>
  <c r="AL327" i="3"/>
  <c r="AM327" i="3" s="1"/>
  <c r="AK315" i="3"/>
  <c r="AJ267" i="3"/>
  <c r="AJ182" i="3"/>
  <c r="AJ230" i="3"/>
  <c r="AL313" i="3"/>
  <c r="AM313" i="3" s="1"/>
  <c r="AK242" i="3"/>
  <c r="AK229" i="3"/>
  <c r="AK181" i="3"/>
  <c r="AR281" i="3"/>
  <c r="AL302" i="3"/>
  <c r="AM302" i="3" s="1"/>
  <c r="AL290" i="3"/>
  <c r="AM290" i="3" s="1"/>
  <c r="AL278" i="3"/>
  <c r="AM278" i="3" s="1"/>
  <c r="AJ242" i="3"/>
  <c r="AJ229" i="3"/>
  <c r="AL194" i="3"/>
  <c r="AM194" i="3" s="1"/>
  <c r="AL158" i="3"/>
  <c r="AM158" i="3" s="1"/>
  <c r="AK302" i="3"/>
  <c r="AK290" i="3"/>
  <c r="AK278" i="3"/>
  <c r="AL254" i="3"/>
  <c r="AM254" i="3" s="1"/>
  <c r="AL241" i="3"/>
  <c r="AM241" i="3" s="1"/>
  <c r="AK194" i="3"/>
  <c r="AK158" i="3"/>
  <c r="AL266" i="3"/>
  <c r="AM266" i="3" s="1"/>
  <c r="AK254" i="3"/>
  <c r="AK241" i="3"/>
  <c r="AL206" i="3"/>
  <c r="AM206" i="3" s="1"/>
  <c r="AL301" i="3"/>
  <c r="AM301" i="3" s="1"/>
  <c r="AL277" i="3"/>
  <c r="AM277" i="3" s="1"/>
  <c r="AK266" i="3"/>
  <c r="AK206" i="3"/>
  <c r="AL193" i="3"/>
  <c r="AM193" i="3" s="1"/>
  <c r="AL157" i="3"/>
  <c r="AM157" i="3" s="1"/>
  <c r="AJ301" i="3"/>
  <c r="AK277" i="3"/>
  <c r="AK157" i="3"/>
  <c r="AL265" i="3"/>
  <c r="AM265" i="3" s="1"/>
  <c r="AL205" i="3"/>
  <c r="AM205" i="3" s="1"/>
  <c r="AL170" i="3"/>
  <c r="AM170" i="3" s="1"/>
  <c r="AJ314" i="3"/>
  <c r="AL218" i="3"/>
  <c r="AM218" i="3" s="1"/>
  <c r="AK205" i="3"/>
  <c r="AK170" i="3"/>
  <c r="AL326" i="3"/>
  <c r="AM326" i="3" s="1"/>
  <c r="AK218" i="3"/>
  <c r="AL182" i="3"/>
  <c r="AM182" i="3" s="1"/>
  <c r="AK169" i="3"/>
  <c r="AR254" i="3"/>
  <c r="AS253" i="3"/>
  <c r="AT253" i="3" s="1"/>
  <c r="AJ251" i="3"/>
  <c r="AQ310" i="3"/>
  <c r="AR324" i="3"/>
  <c r="AK328" i="3"/>
  <c r="AL268" i="3"/>
  <c r="AM268" i="3" s="1"/>
  <c r="AL249" i="3"/>
  <c r="AM249" i="3" s="1"/>
  <c r="AL184" i="3"/>
  <c r="AM184" i="3" s="1"/>
  <c r="AS309" i="3"/>
  <c r="AT309" i="3" s="1"/>
  <c r="AS252" i="3"/>
  <c r="AT252" i="3" s="1"/>
  <c r="AL322" i="3"/>
  <c r="AM322" i="3" s="1"/>
  <c r="AK257" i="3"/>
  <c r="AK249" i="3"/>
  <c r="AL196" i="3"/>
  <c r="AM196" i="3" s="1"/>
  <c r="AR297" i="3"/>
  <c r="AQ252" i="3"/>
  <c r="AL293" i="3"/>
  <c r="AM293" i="3" s="1"/>
  <c r="AK256" i="3"/>
  <c r="AL208" i="3"/>
  <c r="AM208" i="3" s="1"/>
  <c r="AK196" i="3"/>
  <c r="AL169" i="3"/>
  <c r="AM169" i="3" s="1"/>
  <c r="AS295" i="3"/>
  <c r="AT295" i="3" s="1"/>
  <c r="AS165" i="3"/>
  <c r="AT165" i="3" s="1"/>
  <c r="AK292" i="3"/>
  <c r="AJ256" i="3"/>
  <c r="AL220" i="3"/>
  <c r="AM220" i="3" s="1"/>
  <c r="AJ208" i="3"/>
  <c r="AR293" i="3"/>
  <c r="AQ156" i="3"/>
  <c r="AL316" i="3"/>
  <c r="AM316" i="3" s="1"/>
  <c r="AL280" i="3"/>
  <c r="AM280" i="3" s="1"/>
  <c r="AJ272" i="3"/>
  <c r="AL244" i="3"/>
  <c r="AM244" i="3" s="1"/>
  <c r="AS279" i="3"/>
  <c r="AT279" i="3" s="1"/>
  <c r="AK316" i="3"/>
  <c r="AK280" i="3"/>
  <c r="AJ265" i="3"/>
  <c r="AK244" i="3"/>
  <c r="AQ278" i="3"/>
  <c r="AK161" i="3"/>
  <c r="AR269" i="3"/>
  <c r="AL160" i="3"/>
  <c r="AM160" i="3" s="1"/>
  <c r="AQ326" i="3"/>
  <c r="AQ266" i="3"/>
  <c r="AR325" i="3"/>
  <c r="AS265" i="3"/>
  <c r="AT265" i="3" s="1"/>
  <c r="AQ322" i="3"/>
  <c r="AR309" i="3"/>
  <c r="AR265" i="3"/>
  <c r="AK313" i="3"/>
  <c r="AL304" i="3"/>
  <c r="AM304" i="3" s="1"/>
  <c r="AK268" i="3"/>
  <c r="AL238" i="3"/>
  <c r="AM238" i="3" s="1"/>
  <c r="AK193" i="3"/>
  <c r="AS321" i="3"/>
  <c r="AT321" i="3" s="1"/>
  <c r="AS307" i="3"/>
  <c r="AT307" i="3" s="1"/>
  <c r="AS291" i="3"/>
  <c r="AT291" i="3" s="1"/>
  <c r="AS277" i="3"/>
  <c r="AT277" i="3" s="1"/>
  <c r="AR264" i="3"/>
  <c r="AR250" i="3"/>
  <c r="AK263" i="3"/>
  <c r="AL154" i="3"/>
  <c r="AM154" i="3" s="1"/>
  <c r="AR321" i="3"/>
  <c r="AR305" i="3"/>
  <c r="AQ290" i="3"/>
  <c r="AR277" i="3"/>
  <c r="AQ262" i="3"/>
  <c r="AQ250" i="3"/>
  <c r="AL289" i="3"/>
  <c r="AM289" i="3" s="1"/>
  <c r="AK267" i="3"/>
  <c r="AL262" i="3"/>
  <c r="AM262" i="3" s="1"/>
  <c r="AS319" i="3"/>
  <c r="AT319" i="3" s="1"/>
  <c r="AS303" i="3"/>
  <c r="AT303" i="3" s="1"/>
  <c r="AS289" i="3"/>
  <c r="AT289" i="3" s="1"/>
  <c r="AR276" i="3"/>
  <c r="AS261" i="3"/>
  <c r="AT261" i="3" s="1"/>
  <c r="AS249" i="3"/>
  <c r="AT249" i="3" s="1"/>
  <c r="AL325" i="3"/>
  <c r="AM325" i="3" s="1"/>
  <c r="AK289" i="3"/>
  <c r="AJ275" i="3"/>
  <c r="AL253" i="3"/>
  <c r="AM253" i="3" s="1"/>
  <c r="AR317" i="3"/>
  <c r="AQ302" i="3"/>
  <c r="AR289" i="3"/>
  <c r="AQ274" i="3"/>
  <c r="AR261" i="3"/>
  <c r="AQ248" i="3"/>
  <c r="AK253" i="3"/>
  <c r="AS315" i="3"/>
  <c r="AT315" i="3" s="1"/>
  <c r="AS301" i="3"/>
  <c r="AT301" i="3" s="1"/>
  <c r="AR288" i="3"/>
  <c r="AS273" i="3"/>
  <c r="AT273" i="3" s="1"/>
  <c r="AS259" i="3"/>
  <c r="AT259" i="3" s="1"/>
  <c r="AS245" i="3"/>
  <c r="AT245" i="3" s="1"/>
  <c r="AQ314" i="3"/>
  <c r="AR301" i="3"/>
  <c r="AQ286" i="3"/>
  <c r="AR273" i="3"/>
  <c r="AR257" i="3"/>
  <c r="AR242" i="3"/>
  <c r="AL328" i="3"/>
  <c r="AM328" i="3" s="1"/>
  <c r="AL257" i="3"/>
  <c r="AM257" i="3" s="1"/>
  <c r="AJ219" i="3"/>
  <c r="AK195" i="3"/>
  <c r="AJ184" i="3"/>
  <c r="AK172" i="3"/>
  <c r="AK160" i="3"/>
  <c r="AS327" i="3"/>
  <c r="AT327" i="3" s="1"/>
  <c r="AS313" i="3"/>
  <c r="AT313" i="3" s="1"/>
  <c r="AR300" i="3"/>
  <c r="AS285" i="3"/>
  <c r="AT285" i="3" s="1"/>
  <c r="AS271" i="3"/>
  <c r="AT271" i="3" s="1"/>
  <c r="AS255" i="3"/>
  <c r="AT255" i="3" s="1"/>
  <c r="AQ242" i="3"/>
  <c r="AR313" i="3"/>
  <c r="AQ298" i="3"/>
  <c r="AR285" i="3"/>
  <c r="AS241" i="3"/>
  <c r="AT241" i="3" s="1"/>
  <c r="AK285" i="3"/>
  <c r="AS325" i="3"/>
  <c r="AT325" i="3" s="1"/>
  <c r="AR312" i="3"/>
  <c r="AS297" i="3"/>
  <c r="AT297" i="3" s="1"/>
  <c r="AS283" i="3"/>
  <c r="AT283" i="3" s="1"/>
  <c r="AS267" i="3"/>
  <c r="AT267" i="3" s="1"/>
  <c r="AQ254" i="3"/>
  <c r="AQ167" i="3"/>
  <c r="AK178" i="3"/>
  <c r="AL321" i="3"/>
  <c r="AM321" i="3" s="1"/>
  <c r="AJ298" i="3"/>
  <c r="AK293" i="3"/>
  <c r="AK284" i="3"/>
  <c r="AL279" i="3"/>
  <c r="AM279" i="3" s="1"/>
  <c r="AL261" i="3"/>
  <c r="AM261" i="3" s="1"/>
  <c r="AL248" i="3"/>
  <c r="AM248" i="3" s="1"/>
  <c r="AL243" i="3"/>
  <c r="AM243" i="3" s="1"/>
  <c r="AJ209" i="3"/>
  <c r="AJ202" i="3"/>
  <c r="AK185" i="3"/>
  <c r="AJ178" i="3"/>
  <c r="AQ317" i="3"/>
  <c r="AQ305" i="3"/>
  <c r="AQ293" i="3"/>
  <c r="AQ281" i="3"/>
  <c r="AQ269" i="3"/>
  <c r="AQ257" i="3"/>
  <c r="AR253" i="3"/>
  <c r="AR249" i="3"/>
  <c r="AR245" i="3"/>
  <c r="AR241" i="3"/>
  <c r="AS155" i="3"/>
  <c r="AT155" i="3" s="1"/>
  <c r="AK321" i="3"/>
  <c r="AL297" i="3"/>
  <c r="AM297" i="3" s="1"/>
  <c r="AK279" i="3"/>
  <c r="AL274" i="3"/>
  <c r="AM274" i="3" s="1"/>
  <c r="AK261" i="3"/>
  <c r="AK248" i="3"/>
  <c r="AK243" i="3"/>
  <c r="AL226" i="3"/>
  <c r="AM226" i="3" s="1"/>
  <c r="AJ200" i="3"/>
  <c r="AK159" i="3"/>
  <c r="AK130" i="3"/>
  <c r="AS328" i="3"/>
  <c r="AT328" i="3" s="1"/>
  <c r="AS324" i="3"/>
  <c r="AT324" i="3" s="1"/>
  <c r="AS320" i="3"/>
  <c r="AT320" i="3" s="1"/>
  <c r="AS316" i="3"/>
  <c r="AT316" i="3" s="1"/>
  <c r="AS312" i="3"/>
  <c r="AT312" i="3" s="1"/>
  <c r="AS308" i="3"/>
  <c r="AT308" i="3" s="1"/>
  <c r="AS304" i="3"/>
  <c r="AT304" i="3" s="1"/>
  <c r="AS300" i="3"/>
  <c r="AT300" i="3" s="1"/>
  <c r="AS296" i="3"/>
  <c r="AT296" i="3" s="1"/>
  <c r="AS292" i="3"/>
  <c r="AT292" i="3" s="1"/>
  <c r="AS288" i="3"/>
  <c r="AT288" i="3" s="1"/>
  <c r="AS284" i="3"/>
  <c r="AT284" i="3" s="1"/>
  <c r="AS280" i="3"/>
  <c r="AT280" i="3" s="1"/>
  <c r="AS276" i="3"/>
  <c r="AT276" i="3" s="1"/>
  <c r="AS272" i="3"/>
  <c r="AT272" i="3" s="1"/>
  <c r="AS268" i="3"/>
  <c r="AT268" i="3" s="1"/>
  <c r="AS264" i="3"/>
  <c r="AT264" i="3" s="1"/>
  <c r="AS260" i="3"/>
  <c r="AT260" i="3" s="1"/>
  <c r="AS256" i="3"/>
  <c r="AT256" i="3" s="1"/>
  <c r="AK297" i="3"/>
  <c r="AK274" i="3"/>
  <c r="AK226" i="3"/>
  <c r="AL166" i="3"/>
  <c r="AM166" i="3" s="1"/>
  <c r="AJ159" i="3"/>
  <c r="AR328" i="3"/>
  <c r="AR320" i="3"/>
  <c r="AR316" i="3"/>
  <c r="AR308" i="3"/>
  <c r="AR304" i="3"/>
  <c r="AR296" i="3"/>
  <c r="AR292" i="3"/>
  <c r="AR284" i="3"/>
  <c r="AR280" i="3"/>
  <c r="AR272" i="3"/>
  <c r="AR268" i="3"/>
  <c r="AR260" i="3"/>
  <c r="AR256" i="3"/>
  <c r="AS248" i="3"/>
  <c r="AT248" i="3" s="1"/>
  <c r="AS244" i="3"/>
  <c r="AT244" i="3" s="1"/>
  <c r="AS239" i="3"/>
  <c r="AT239" i="3" s="1"/>
  <c r="AL320" i="3"/>
  <c r="AM320" i="3" s="1"/>
  <c r="AL315" i="3"/>
  <c r="AM315" i="3" s="1"/>
  <c r="AL310" i="3"/>
  <c r="AM310" i="3" s="1"/>
  <c r="AL305" i="3"/>
  <c r="AM305" i="3" s="1"/>
  <c r="AL233" i="3"/>
  <c r="AM233" i="3" s="1"/>
  <c r="AK207" i="3"/>
  <c r="AK183" i="3"/>
  <c r="AK166" i="3"/>
  <c r="AR244" i="3"/>
  <c r="AQ239" i="3"/>
  <c r="AK320" i="3"/>
  <c r="AK310" i="3"/>
  <c r="AL296" i="3"/>
  <c r="AM296" i="3" s="1"/>
  <c r="AL273" i="3"/>
  <c r="AM273" i="3" s="1"/>
  <c r="AL260" i="3"/>
  <c r="AM260" i="3" s="1"/>
  <c r="AQ227" i="3"/>
  <c r="AR227" i="3"/>
  <c r="AS323" i="3"/>
  <c r="AT323" i="3" s="1"/>
  <c r="AS311" i="3"/>
  <c r="AT311" i="3" s="1"/>
  <c r="AS299" i="3"/>
  <c r="AT299" i="3" s="1"/>
  <c r="AS287" i="3"/>
  <c r="AT287" i="3" s="1"/>
  <c r="AS275" i="3"/>
  <c r="AT275" i="3" s="1"/>
  <c r="AS263" i="3"/>
  <c r="AT263" i="3" s="1"/>
  <c r="AS215" i="3"/>
  <c r="AT215" i="3" s="1"/>
  <c r="AJ322" i="3"/>
  <c r="AK296" i="3"/>
  <c r="AL291" i="3"/>
  <c r="AM291" i="3" s="1"/>
  <c r="AL286" i="3"/>
  <c r="AM286" i="3" s="1"/>
  <c r="AK273" i="3"/>
  <c r="AK260" i="3"/>
  <c r="AK255" i="3"/>
  <c r="AL197" i="3"/>
  <c r="AM197" i="3" s="1"/>
  <c r="AJ165" i="3"/>
  <c r="AR327" i="3"/>
  <c r="AR323" i="3"/>
  <c r="AR319" i="3"/>
  <c r="AR315" i="3"/>
  <c r="AR311" i="3"/>
  <c r="AR307" i="3"/>
  <c r="AR303" i="3"/>
  <c r="AR299" i="3"/>
  <c r="AR295" i="3"/>
  <c r="AR291" i="3"/>
  <c r="AR287" i="3"/>
  <c r="AR283" i="3"/>
  <c r="AR279" i="3"/>
  <c r="AR275" i="3"/>
  <c r="AR271" i="3"/>
  <c r="AR267" i="3"/>
  <c r="AR263" i="3"/>
  <c r="AR259" i="3"/>
  <c r="AR255" i="3"/>
  <c r="AS251" i="3"/>
  <c r="AT251" i="3" s="1"/>
  <c r="AS247" i="3"/>
  <c r="AT247" i="3" s="1"/>
  <c r="AS243" i="3"/>
  <c r="AT243" i="3" s="1"/>
  <c r="AR206" i="3"/>
  <c r="AL202" i="3"/>
  <c r="AM202" i="3" s="1"/>
  <c r="AJ262" i="3"/>
  <c r="AJ238" i="3"/>
  <c r="AJ154" i="3"/>
  <c r="AL309" i="3"/>
  <c r="AM309" i="3" s="1"/>
  <c r="AK291" i="3"/>
  <c r="AK286" i="3"/>
  <c r="AL281" i="3"/>
  <c r="AM281" i="3" s="1"/>
  <c r="AL250" i="3"/>
  <c r="AM250" i="3" s="1"/>
  <c r="AL245" i="3"/>
  <c r="AM245" i="3" s="1"/>
  <c r="AL214" i="3"/>
  <c r="AM214" i="3" s="1"/>
  <c r="AJ197" i="3"/>
  <c r="AL190" i="3"/>
  <c r="AM190" i="3" s="1"/>
  <c r="AL164" i="3"/>
  <c r="AM164" i="3" s="1"/>
  <c r="AR251" i="3"/>
  <c r="AR247" i="3"/>
  <c r="AR243" i="3"/>
  <c r="AS191" i="3"/>
  <c r="AT191" i="3" s="1"/>
  <c r="AK309" i="3"/>
  <c r="AK281" i="3"/>
  <c r="AL272" i="3"/>
  <c r="AM272" i="3" s="1"/>
  <c r="AK250" i="3"/>
  <c r="AK245" i="3"/>
  <c r="AK221" i="3"/>
  <c r="AK214" i="3"/>
  <c r="AK190" i="3"/>
  <c r="AJ171" i="3"/>
  <c r="AS326" i="3"/>
  <c r="AT326" i="3" s="1"/>
  <c r="AS322" i="3"/>
  <c r="AT322" i="3" s="1"/>
  <c r="AS318" i="3"/>
  <c r="AT318" i="3" s="1"/>
  <c r="AS314" i="3"/>
  <c r="AT314" i="3" s="1"/>
  <c r="AS310" i="3"/>
  <c r="AT310" i="3" s="1"/>
  <c r="AS306" i="3"/>
  <c r="AT306" i="3" s="1"/>
  <c r="AS302" i="3"/>
  <c r="AT302" i="3" s="1"/>
  <c r="AS298" i="3"/>
  <c r="AT298" i="3" s="1"/>
  <c r="AS294" i="3"/>
  <c r="AT294" i="3" s="1"/>
  <c r="AS290" i="3"/>
  <c r="AT290" i="3" s="1"/>
  <c r="AS286" i="3"/>
  <c r="AT286" i="3" s="1"/>
  <c r="AS282" i="3"/>
  <c r="AT282" i="3" s="1"/>
  <c r="AS278" i="3"/>
  <c r="AT278" i="3" s="1"/>
  <c r="AS274" i="3"/>
  <c r="AT274" i="3" s="1"/>
  <c r="AS270" i="3"/>
  <c r="AT270" i="3" s="1"/>
  <c r="AS266" i="3"/>
  <c r="AT266" i="3" s="1"/>
  <c r="AS262" i="3"/>
  <c r="AT262" i="3" s="1"/>
  <c r="AS258" i="3"/>
  <c r="AT258" i="3" s="1"/>
  <c r="AQ179" i="3"/>
  <c r="AK298" i="3"/>
  <c r="AR318" i="3"/>
  <c r="AR306" i="3"/>
  <c r="AR294" i="3"/>
  <c r="AR282" i="3"/>
  <c r="AR270" i="3"/>
  <c r="AR258" i="3"/>
  <c r="AS246" i="3"/>
  <c r="AT246" i="3" s="1"/>
  <c r="AS177" i="3"/>
  <c r="AT177" i="3" s="1"/>
  <c r="AR246" i="3"/>
  <c r="AL74" i="3"/>
  <c r="AM74" i="3" s="1"/>
  <c r="AL98" i="3"/>
  <c r="AM98" i="3" s="1"/>
  <c r="AK98" i="3"/>
  <c r="AJ74" i="3"/>
  <c r="AK50" i="3"/>
  <c r="AL26" i="3"/>
  <c r="AM26" i="3" s="1"/>
  <c r="AK123" i="3"/>
  <c r="AK110" i="3"/>
  <c r="AK99" i="3"/>
  <c r="AJ86" i="3"/>
  <c r="AL63" i="3"/>
  <c r="AM63" i="3" s="1"/>
  <c r="AL38" i="3"/>
  <c r="AM38" i="3" s="1"/>
  <c r="AL123" i="3"/>
  <c r="AM123" i="3" s="1"/>
  <c r="AJ38" i="3"/>
  <c r="AL232" i="3"/>
  <c r="AM232" i="3" s="1"/>
  <c r="AJ213" i="3"/>
  <c r="AJ164" i="3"/>
  <c r="AS237" i="3"/>
  <c r="AT237" i="3" s="1"/>
  <c r="AS225" i="3"/>
  <c r="AT225" i="3" s="1"/>
  <c r="AQ215" i="3"/>
  <c r="AR203" i="3"/>
  <c r="AS190" i="3"/>
  <c r="AT190" i="3" s="1"/>
  <c r="AQ177" i="3"/>
  <c r="AQ165" i="3"/>
  <c r="AQ155" i="3"/>
  <c r="AR229" i="3"/>
  <c r="AR205" i="3"/>
  <c r="AK232" i="3"/>
  <c r="AL212" i="3"/>
  <c r="AM212" i="3" s="1"/>
  <c r="AR237" i="3"/>
  <c r="AR225" i="3"/>
  <c r="AQ214" i="3"/>
  <c r="AR202" i="3"/>
  <c r="AS189" i="3"/>
  <c r="AT189" i="3" s="1"/>
  <c r="AR176" i="3"/>
  <c r="AS164" i="3"/>
  <c r="AT164" i="3" s="1"/>
  <c r="AS153" i="3"/>
  <c r="AT153" i="3" s="1"/>
  <c r="AL213" i="3"/>
  <c r="AM213" i="3" s="1"/>
  <c r="AJ225" i="3"/>
  <c r="AK212" i="3"/>
  <c r="AK177" i="3"/>
  <c r="AS224" i="3"/>
  <c r="AT224" i="3" s="1"/>
  <c r="AS213" i="3"/>
  <c r="AT213" i="3" s="1"/>
  <c r="AR201" i="3"/>
  <c r="AR189" i="3"/>
  <c r="AR175" i="3"/>
  <c r="AS163" i="3"/>
  <c r="AT163" i="3" s="1"/>
  <c r="AR153" i="3"/>
  <c r="AQ193" i="3"/>
  <c r="AS236" i="3"/>
  <c r="AT236" i="3" s="1"/>
  <c r="AQ224" i="3"/>
  <c r="AQ213" i="3"/>
  <c r="AQ201" i="3"/>
  <c r="AQ175" i="3"/>
  <c r="AR163" i="3"/>
  <c r="AK237" i="3"/>
  <c r="AK224" i="3"/>
  <c r="AK176" i="3"/>
  <c r="AQ236" i="3"/>
  <c r="AS221" i="3"/>
  <c r="AT221" i="3" s="1"/>
  <c r="AR212" i="3"/>
  <c r="AS199" i="3"/>
  <c r="AT199" i="3" s="1"/>
  <c r="AS187" i="3"/>
  <c r="AT187" i="3" s="1"/>
  <c r="AS173" i="3"/>
  <c r="AT173" i="3" s="1"/>
  <c r="AS161" i="3"/>
  <c r="AT161" i="3" s="1"/>
  <c r="AQ152" i="3"/>
  <c r="AQ217" i="3"/>
  <c r="AL236" i="3"/>
  <c r="AM236" i="3" s="1"/>
  <c r="AJ224" i="3"/>
  <c r="AJ176" i="3"/>
  <c r="AS233" i="3"/>
  <c r="AT233" i="3" s="1"/>
  <c r="AR221" i="3"/>
  <c r="AQ211" i="3"/>
  <c r="AS198" i="3"/>
  <c r="AT198" i="3" s="1"/>
  <c r="AS186" i="3"/>
  <c r="AT186" i="3" s="1"/>
  <c r="AQ173" i="3"/>
  <c r="AR161" i="3"/>
  <c r="AS151" i="3"/>
  <c r="AT151" i="3" s="1"/>
  <c r="AK236" i="3"/>
  <c r="AL189" i="3"/>
  <c r="AM189" i="3" s="1"/>
  <c r="AR233" i="3"/>
  <c r="AS220" i="3"/>
  <c r="AT220" i="3" s="1"/>
  <c r="AQ210" i="3"/>
  <c r="AS197" i="3"/>
  <c r="AT197" i="3" s="1"/>
  <c r="AS185" i="3"/>
  <c r="AT185" i="3" s="1"/>
  <c r="AR172" i="3"/>
  <c r="AQ151" i="3"/>
  <c r="AJ177" i="3"/>
  <c r="AK201" i="3"/>
  <c r="AJ189" i="3"/>
  <c r="AK153" i="3"/>
  <c r="AS232" i="3"/>
  <c r="AT232" i="3" s="1"/>
  <c r="AQ220" i="3"/>
  <c r="AS209" i="3"/>
  <c r="AT209" i="3" s="1"/>
  <c r="AQ197" i="3"/>
  <c r="AQ185" i="3"/>
  <c r="AS169" i="3"/>
  <c r="AT169" i="3" s="1"/>
  <c r="AQ160" i="3"/>
  <c r="AL237" i="3"/>
  <c r="AM237" i="3" s="1"/>
  <c r="AL200" i="3"/>
  <c r="AM200" i="3" s="1"/>
  <c r="AK188" i="3"/>
  <c r="AL152" i="3"/>
  <c r="AM152" i="3" s="1"/>
  <c r="AQ232" i="3"/>
  <c r="AQ218" i="3"/>
  <c r="AQ209" i="3"/>
  <c r="AS194" i="3"/>
  <c r="AT194" i="3" s="1"/>
  <c r="AR181" i="3"/>
  <c r="AQ169" i="3"/>
  <c r="AS157" i="3"/>
  <c r="AT157" i="3" s="1"/>
  <c r="AJ188" i="3"/>
  <c r="AJ152" i="3"/>
  <c r="AS229" i="3"/>
  <c r="AT229" i="3" s="1"/>
  <c r="AS217" i="3"/>
  <c r="AT217" i="3" s="1"/>
  <c r="AR208" i="3"/>
  <c r="AS193" i="3"/>
  <c r="AT193" i="3" s="1"/>
  <c r="AR179" i="3"/>
  <c r="AR167" i="3"/>
  <c r="AQ157" i="3"/>
  <c r="AR171" i="3"/>
  <c r="AL204" i="3"/>
  <c r="AM204" i="3" s="1"/>
  <c r="AL168" i="3"/>
  <c r="AM168" i="3" s="1"/>
  <c r="AQ206" i="3"/>
  <c r="AQ202" i="3"/>
  <c r="AR198" i="3"/>
  <c r="AR194" i="3"/>
  <c r="AR190" i="3"/>
  <c r="AR186" i="3"/>
  <c r="AS182" i="3"/>
  <c r="AT182" i="3" s="1"/>
  <c r="AQ171" i="3"/>
  <c r="AS159" i="3"/>
  <c r="AT159" i="3" s="1"/>
  <c r="AK228" i="3"/>
  <c r="AK204" i="3"/>
  <c r="AL185" i="3"/>
  <c r="AM185" i="3" s="1"/>
  <c r="AK168" i="3"/>
  <c r="AL153" i="3"/>
  <c r="AM153" i="3" s="1"/>
  <c r="AL111" i="3"/>
  <c r="AM111" i="3" s="1"/>
  <c r="AK63" i="3"/>
  <c r="AS240" i="3"/>
  <c r="AT240" i="3" s="1"/>
  <c r="AS205" i="3"/>
  <c r="AT205" i="3" s="1"/>
  <c r="AR182" i="3"/>
  <c r="AS178" i="3"/>
  <c r="AT178" i="3" s="1"/>
  <c r="AS174" i="3"/>
  <c r="AT174" i="3" s="1"/>
  <c r="AS170" i="3"/>
  <c r="AT170" i="3" s="1"/>
  <c r="AS166" i="3"/>
  <c r="AT166" i="3" s="1"/>
  <c r="AR159" i="3"/>
  <c r="AL231" i="3"/>
  <c r="AM231" i="3" s="1"/>
  <c r="AL171" i="3"/>
  <c r="AM171" i="3" s="1"/>
  <c r="AR240" i="3"/>
  <c r="AS228" i="3"/>
  <c r="AT228" i="3" s="1"/>
  <c r="AR178" i="3"/>
  <c r="AR174" i="3"/>
  <c r="AR170" i="3"/>
  <c r="AR166" i="3"/>
  <c r="AS162" i="3"/>
  <c r="AT162" i="3" s="1"/>
  <c r="AL221" i="3"/>
  <c r="AM221" i="3" s="1"/>
  <c r="AL207" i="3"/>
  <c r="AM207" i="3" s="1"/>
  <c r="AL161" i="3"/>
  <c r="AM161" i="3" s="1"/>
  <c r="AK101" i="3"/>
  <c r="AR228" i="3"/>
  <c r="AS216" i="3"/>
  <c r="AT216" i="3" s="1"/>
  <c r="AS212" i="3"/>
  <c r="AT212" i="3" s="1"/>
  <c r="AS208" i="3"/>
  <c r="AT208" i="3" s="1"/>
  <c r="AS181" i="3"/>
  <c r="AT181" i="3" s="1"/>
  <c r="AR162" i="3"/>
  <c r="AS158" i="3"/>
  <c r="AT158" i="3" s="1"/>
  <c r="AS154" i="3"/>
  <c r="AT154" i="3" s="1"/>
  <c r="AL180" i="3"/>
  <c r="AM180" i="3" s="1"/>
  <c r="AR216" i="3"/>
  <c r="AS204" i="3"/>
  <c r="AT204" i="3" s="1"/>
  <c r="AR158" i="3"/>
  <c r="AR154" i="3"/>
  <c r="AL240" i="3"/>
  <c r="AM240" i="3" s="1"/>
  <c r="AK240" i="3"/>
  <c r="AK180" i="3"/>
  <c r="AS235" i="3"/>
  <c r="AT235" i="3" s="1"/>
  <c r="AS231" i="3"/>
  <c r="AT231" i="3" s="1"/>
  <c r="AS227" i="3"/>
  <c r="AT227" i="3" s="1"/>
  <c r="AS223" i="3"/>
  <c r="AT223" i="3" s="1"/>
  <c r="AS219" i="3"/>
  <c r="AT219" i="3" s="1"/>
  <c r="AR204" i="3"/>
  <c r="AS200" i="3"/>
  <c r="AT200" i="3" s="1"/>
  <c r="AS196" i="3"/>
  <c r="AT196" i="3" s="1"/>
  <c r="AS192" i="3"/>
  <c r="AT192" i="3" s="1"/>
  <c r="AS188" i="3"/>
  <c r="AT188" i="3" s="1"/>
  <c r="AS184" i="3"/>
  <c r="AT184" i="3" s="1"/>
  <c r="AL225" i="3"/>
  <c r="AM225" i="3" s="1"/>
  <c r="AL216" i="3"/>
  <c r="AM216" i="3" s="1"/>
  <c r="AL165" i="3"/>
  <c r="AM165" i="3" s="1"/>
  <c r="AR235" i="3"/>
  <c r="AR231" i="3"/>
  <c r="AR223" i="3"/>
  <c r="AR219" i="3"/>
  <c r="AS211" i="3"/>
  <c r="AT211" i="3" s="1"/>
  <c r="AS207" i="3"/>
  <c r="AT207" i="3" s="1"/>
  <c r="AR200" i="3"/>
  <c r="AR196" i="3"/>
  <c r="AR192" i="3"/>
  <c r="AR188" i="3"/>
  <c r="AR184" i="3"/>
  <c r="AS180" i="3"/>
  <c r="AT180" i="3" s="1"/>
  <c r="AK216" i="3"/>
  <c r="AL201" i="3"/>
  <c r="AM201" i="3" s="1"/>
  <c r="AL192" i="3"/>
  <c r="AM192" i="3" s="1"/>
  <c r="AL183" i="3"/>
  <c r="AM183" i="3" s="1"/>
  <c r="AL173" i="3"/>
  <c r="AM173" i="3" s="1"/>
  <c r="AL156" i="3"/>
  <c r="AM156" i="3" s="1"/>
  <c r="AK87" i="3"/>
  <c r="AS238" i="3"/>
  <c r="AT238" i="3" s="1"/>
  <c r="AR207" i="3"/>
  <c r="AS203" i="3"/>
  <c r="AT203" i="3" s="1"/>
  <c r="AR180" i="3"/>
  <c r="AS176" i="3"/>
  <c r="AT176" i="3" s="1"/>
  <c r="AS172" i="3"/>
  <c r="AT172" i="3" s="1"/>
  <c r="AS168" i="3"/>
  <c r="AT168" i="3" s="1"/>
  <c r="AK192" i="3"/>
  <c r="AK156" i="3"/>
  <c r="AK147" i="3"/>
  <c r="AR238" i="3"/>
  <c r="AS234" i="3"/>
  <c r="AT234" i="3" s="1"/>
  <c r="AS230" i="3"/>
  <c r="AT230" i="3" s="1"/>
  <c r="AS226" i="3"/>
  <c r="AT226" i="3" s="1"/>
  <c r="AS222" i="3"/>
  <c r="AT222" i="3" s="1"/>
  <c r="AS195" i="3"/>
  <c r="AT195" i="3" s="1"/>
  <c r="AS183" i="3"/>
  <c r="AT183" i="3" s="1"/>
  <c r="AR168" i="3"/>
  <c r="AK233" i="3"/>
  <c r="AL219" i="3"/>
  <c r="AM219" i="3" s="1"/>
  <c r="AL209" i="3"/>
  <c r="AM209" i="3" s="1"/>
  <c r="AJ147" i="3"/>
  <c r="AK84" i="3"/>
  <c r="AR234" i="3"/>
  <c r="AR230" i="3"/>
  <c r="AR226" i="3"/>
  <c r="AR222" i="3"/>
  <c r="AS218" i="3"/>
  <c r="AT218" i="3" s="1"/>
  <c r="AS214" i="3"/>
  <c r="AT214" i="3" s="1"/>
  <c r="AS210" i="3"/>
  <c r="AT210" i="3" s="1"/>
  <c r="AR199" i="3"/>
  <c r="AR195" i="3"/>
  <c r="AR191" i="3"/>
  <c r="AR187" i="3"/>
  <c r="AR183" i="3"/>
  <c r="AR164" i="3"/>
  <c r="AS160" i="3"/>
  <c r="AT160" i="3" s="1"/>
  <c r="AS156" i="3"/>
  <c r="AT156" i="3" s="1"/>
  <c r="AS152" i="3"/>
  <c r="AT152" i="3" s="1"/>
  <c r="AJ26" i="3"/>
  <c r="AL112" i="3"/>
  <c r="AM112" i="3" s="1"/>
  <c r="AL62" i="3"/>
  <c r="AM62" i="3" s="1"/>
  <c r="AL14" i="3"/>
  <c r="AM14" i="3" s="1"/>
  <c r="AL86" i="3"/>
  <c r="AM86" i="3" s="1"/>
  <c r="AK62" i="3"/>
  <c r="AK14" i="3"/>
  <c r="AL110" i="3"/>
  <c r="AM110" i="3" s="1"/>
  <c r="AK12" i="3"/>
  <c r="AK60" i="3"/>
  <c r="AJ4" i="3"/>
  <c r="AL84" i="3"/>
  <c r="AM84" i="3" s="1"/>
  <c r="AL50" i="3"/>
  <c r="AM50" i="3" s="1"/>
  <c r="AJ108" i="3"/>
  <c r="AK100" i="3"/>
  <c r="AL134" i="3"/>
  <c r="AM134" i="3" s="1"/>
  <c r="AS123" i="3"/>
  <c r="AT123" i="3" s="1"/>
  <c r="AR108" i="3"/>
  <c r="AJ82" i="3"/>
  <c r="AK142" i="3"/>
  <c r="AJ112" i="3"/>
  <c r="AL75" i="3"/>
  <c r="AM75" i="3" s="1"/>
  <c r="AJ130" i="3"/>
  <c r="AL140" i="3"/>
  <c r="AM140" i="3" s="1"/>
  <c r="AK94" i="3"/>
  <c r="AJ140" i="3"/>
  <c r="AL92" i="3"/>
  <c r="AM92" i="3" s="1"/>
  <c r="AJ135" i="3"/>
  <c r="AK92" i="3"/>
  <c r="AL70" i="3"/>
  <c r="AM70" i="3" s="1"/>
  <c r="AJ133" i="3"/>
  <c r="AJ68" i="3"/>
  <c r="AL106" i="3"/>
  <c r="AM106" i="3" s="1"/>
  <c r="AL135" i="3"/>
  <c r="AM135" i="3" s="1"/>
  <c r="AK120" i="3"/>
  <c r="AK106" i="3"/>
  <c r="AL80" i="3"/>
  <c r="AM80" i="3" s="1"/>
  <c r="AK48" i="3"/>
  <c r="AL10" i="3"/>
  <c r="AM10" i="3" s="1"/>
  <c r="AL118" i="3"/>
  <c r="AM118" i="3" s="1"/>
  <c r="AJ88" i="3"/>
  <c r="AL77" i="3"/>
  <c r="AM77" i="3" s="1"/>
  <c r="AJ48" i="3"/>
  <c r="AJ87" i="3"/>
  <c r="AK75" i="3"/>
  <c r="AL81" i="3"/>
  <c r="AM81" i="3" s="1"/>
  <c r="AK148" i="3"/>
  <c r="AL132" i="3"/>
  <c r="AM132" i="3" s="1"/>
  <c r="AK111" i="3"/>
  <c r="AJ99" i="3"/>
  <c r="AJ60" i="3"/>
  <c r="AL32" i="3"/>
  <c r="AM32" i="3" s="1"/>
  <c r="AK132" i="3"/>
  <c r="AJ58" i="3"/>
  <c r="AK32" i="3"/>
  <c r="AK56" i="3"/>
  <c r="AL68" i="3"/>
  <c r="AM68" i="3" s="1"/>
  <c r="AJ56" i="3"/>
  <c r="AQ142" i="3"/>
  <c r="AQ138" i="3"/>
  <c r="AQ11" i="3"/>
  <c r="AJ141" i="3"/>
  <c r="AL121" i="3"/>
  <c r="AM121" i="3" s="1"/>
  <c r="AL13" i="3"/>
  <c r="AM13" i="3" s="1"/>
  <c r="AL73" i="3"/>
  <c r="AM73" i="3" s="1"/>
  <c r="AK13" i="3"/>
  <c r="AK121" i="3"/>
  <c r="AL97" i="3"/>
  <c r="AM97" i="3" s="1"/>
  <c r="AK73" i="3"/>
  <c r="AL12" i="3"/>
  <c r="AM12" i="3" s="1"/>
  <c r="AR111" i="3"/>
  <c r="AK97" i="3"/>
  <c r="AL145" i="3"/>
  <c r="AM145" i="3" s="1"/>
  <c r="AJ120" i="3"/>
  <c r="AK105" i="3"/>
  <c r="AL72" i="3"/>
  <c r="AM72" i="3" s="1"/>
  <c r="AL37" i="3"/>
  <c r="AM37" i="3" s="1"/>
  <c r="AJ25" i="3"/>
  <c r="AR97" i="3"/>
  <c r="AK145" i="3"/>
  <c r="AK104" i="3"/>
  <c r="AL96" i="3"/>
  <c r="AM96" i="3" s="1"/>
  <c r="AK80" i="3"/>
  <c r="AK72" i="3"/>
  <c r="AK37" i="3"/>
  <c r="AK24" i="3"/>
  <c r="AJ8" i="3"/>
  <c r="AQ97" i="3"/>
  <c r="AL129" i="3"/>
  <c r="AM129" i="3" s="1"/>
  <c r="AL117" i="3"/>
  <c r="AM117" i="3" s="1"/>
  <c r="AJ104" i="3"/>
  <c r="AK96" i="3"/>
  <c r="AJ24" i="3"/>
  <c r="AS96" i="3"/>
  <c r="AT96" i="3" s="1"/>
  <c r="AL144" i="3"/>
  <c r="AM144" i="3" s="1"/>
  <c r="AL128" i="3"/>
  <c r="AM128" i="3" s="1"/>
  <c r="AJ117" i="3"/>
  <c r="AL109" i="3"/>
  <c r="AM109" i="3" s="1"/>
  <c r="AL61" i="3"/>
  <c r="AM61" i="3" s="1"/>
  <c r="AL36" i="3"/>
  <c r="AM36" i="3" s="1"/>
  <c r="AK21" i="3"/>
  <c r="AS73" i="3"/>
  <c r="AT73" i="3" s="1"/>
  <c r="AK144" i="3"/>
  <c r="AJ134" i="3"/>
  <c r="AK128" i="3"/>
  <c r="AL116" i="3"/>
  <c r="AM116" i="3" s="1"/>
  <c r="AK109" i="3"/>
  <c r="AJ94" i="3"/>
  <c r="AL85" i="3"/>
  <c r="AM85" i="3" s="1"/>
  <c r="AL69" i="3"/>
  <c r="AM69" i="3" s="1"/>
  <c r="AK61" i="3"/>
  <c r="AL49" i="3"/>
  <c r="AM49" i="3" s="1"/>
  <c r="AJ36" i="3"/>
  <c r="AJ21" i="3"/>
  <c r="AR59" i="3"/>
  <c r="AK25" i="3"/>
  <c r="AL133" i="3"/>
  <c r="AM133" i="3" s="1"/>
  <c r="AJ125" i="3"/>
  <c r="AK116" i="3"/>
  <c r="AL93" i="3"/>
  <c r="AM93" i="3" s="1"/>
  <c r="AK85" i="3"/>
  <c r="AK69" i="3"/>
  <c r="AK49" i="3"/>
  <c r="AK33" i="3"/>
  <c r="AL20" i="3"/>
  <c r="AM20" i="3" s="1"/>
  <c r="AS58" i="3"/>
  <c r="AT58" i="3" s="1"/>
  <c r="AL142" i="3"/>
  <c r="AM142" i="3" s="1"/>
  <c r="AL108" i="3"/>
  <c r="AM108" i="3" s="1"/>
  <c r="AJ93" i="3"/>
  <c r="AJ33" i="3"/>
  <c r="AR58" i="3"/>
  <c r="AR74" i="3"/>
  <c r="AJ148" i="3"/>
  <c r="AK129" i="3"/>
  <c r="AL100" i="3"/>
  <c r="AM100" i="3" s="1"/>
  <c r="AL82" i="3"/>
  <c r="AM82" i="3" s="1"/>
  <c r="AK70" i="3"/>
  <c r="AR141" i="3"/>
  <c r="AQ123" i="3"/>
  <c r="AQ109" i="3"/>
  <c r="AQ74" i="3"/>
  <c r="AS122" i="3"/>
  <c r="AT122" i="3" s="1"/>
  <c r="AL54" i="3"/>
  <c r="AM54" i="3" s="1"/>
  <c r="AR134" i="3"/>
  <c r="AQ120" i="3"/>
  <c r="AQ108" i="3"/>
  <c r="AR93" i="3"/>
  <c r="AQ71" i="3"/>
  <c r="AL119" i="3"/>
  <c r="AM119" i="3" s="1"/>
  <c r="AK54" i="3"/>
  <c r="AL40" i="3"/>
  <c r="AM40" i="3" s="1"/>
  <c r="AQ134" i="3"/>
  <c r="AS119" i="3"/>
  <c r="AT119" i="3" s="1"/>
  <c r="AS107" i="3"/>
  <c r="AT107" i="3" s="1"/>
  <c r="AS89" i="3"/>
  <c r="AT89" i="3" s="1"/>
  <c r="AR70" i="3"/>
  <c r="AR54" i="3"/>
  <c r="AL124" i="3"/>
  <c r="AM124" i="3" s="1"/>
  <c r="AK40" i="3"/>
  <c r="AR149" i="3"/>
  <c r="AS133" i="3"/>
  <c r="AT133" i="3" s="1"/>
  <c r="AR119" i="3"/>
  <c r="AS104" i="3"/>
  <c r="AT104" i="3" s="1"/>
  <c r="AR86" i="3"/>
  <c r="AQ70" i="3"/>
  <c r="AQ49" i="3"/>
  <c r="AL138" i="3"/>
  <c r="AM138" i="3" s="1"/>
  <c r="AK124" i="3"/>
  <c r="AJ52" i="3"/>
  <c r="AS148" i="3"/>
  <c r="AT148" i="3" s="1"/>
  <c r="AQ131" i="3"/>
  <c r="AR104" i="3"/>
  <c r="AS85" i="3"/>
  <c r="AT85" i="3" s="1"/>
  <c r="AS69" i="3"/>
  <c r="AT69" i="3" s="1"/>
  <c r="AR48" i="3"/>
  <c r="AK138" i="3"/>
  <c r="AK78" i="3"/>
  <c r="AR146" i="3"/>
  <c r="AR130" i="3"/>
  <c r="AS116" i="3"/>
  <c r="AT116" i="3" s="1"/>
  <c r="AR85" i="3"/>
  <c r="AR66" i="3"/>
  <c r="AR26" i="3"/>
  <c r="AJ78" i="3"/>
  <c r="AL64" i="3"/>
  <c r="AM64" i="3" s="1"/>
  <c r="AS145" i="3"/>
  <c r="AT145" i="3" s="1"/>
  <c r="AQ130" i="3"/>
  <c r="AQ116" i="3"/>
  <c r="AQ101" i="3"/>
  <c r="AR63" i="3"/>
  <c r="AQ26" i="3"/>
  <c r="AJ136" i="3"/>
  <c r="AK90" i="3"/>
  <c r="AK64" i="3"/>
  <c r="AR145" i="3"/>
  <c r="AS129" i="3"/>
  <c r="AT129" i="3" s="1"/>
  <c r="AS112" i="3"/>
  <c r="AT112" i="3" s="1"/>
  <c r="AS100" i="3"/>
  <c r="AT100" i="3" s="1"/>
  <c r="AQ82" i="3"/>
  <c r="AS62" i="3"/>
  <c r="AT62" i="3" s="1"/>
  <c r="AS22" i="3"/>
  <c r="AT22" i="3" s="1"/>
  <c r="AL102" i="3"/>
  <c r="AM102" i="3" s="1"/>
  <c r="AL88" i="3"/>
  <c r="AM88" i="3" s="1"/>
  <c r="AL76" i="3"/>
  <c r="AM76" i="3" s="1"/>
  <c r="AS126" i="3"/>
  <c r="AT126" i="3" s="1"/>
  <c r="AQ112" i="3"/>
  <c r="AR100" i="3"/>
  <c r="AR81" i="3"/>
  <c r="AR62" i="3"/>
  <c r="AS14" i="3"/>
  <c r="AT14" i="3" s="1"/>
  <c r="AL114" i="3"/>
  <c r="AM114" i="3" s="1"/>
  <c r="AJ102" i="3"/>
  <c r="AS142" i="3"/>
  <c r="AT142" i="3" s="1"/>
  <c r="AQ126" i="3"/>
  <c r="AS111" i="3"/>
  <c r="AT111" i="3" s="1"/>
  <c r="AQ98" i="3"/>
  <c r="AQ78" i="3"/>
  <c r="AR11" i="3"/>
  <c r="AQ55" i="3"/>
  <c r="AL101" i="3"/>
  <c r="AM101" i="3" s="1"/>
  <c r="AQ149" i="3"/>
  <c r="AS141" i="3"/>
  <c r="AT141" i="3" s="1"/>
  <c r="AS137" i="3"/>
  <c r="AT137" i="3" s="1"/>
  <c r="AS115" i="3"/>
  <c r="AT115" i="3" s="1"/>
  <c r="AQ93" i="3"/>
  <c r="AR89" i="3"/>
  <c r="AS81" i="3"/>
  <c r="AT81" i="3" s="1"/>
  <c r="AS77" i="3"/>
  <c r="AT77" i="3" s="1"/>
  <c r="AQ66" i="3"/>
  <c r="AS54" i="3"/>
  <c r="AT54" i="3" s="1"/>
  <c r="AS41" i="3"/>
  <c r="AT41" i="3" s="1"/>
  <c r="AR137" i="3"/>
  <c r="AR115" i="3"/>
  <c r="AR77" i="3"/>
  <c r="AR41" i="3"/>
  <c r="AS7" i="3"/>
  <c r="AT7" i="3" s="1"/>
  <c r="AL137" i="3"/>
  <c r="AM137" i="3" s="1"/>
  <c r="AK114" i="3"/>
  <c r="AK77" i="3"/>
  <c r="AL58" i="3"/>
  <c r="AM58" i="3" s="1"/>
  <c r="AL53" i="3"/>
  <c r="AM53" i="3" s="1"/>
  <c r="AL18" i="3"/>
  <c r="AM18" i="3" s="1"/>
  <c r="AR148" i="3"/>
  <c r="AS144" i="3"/>
  <c r="AT144" i="3" s="1"/>
  <c r="AR133" i="3"/>
  <c r="AR129" i="3"/>
  <c r="AR122" i="3"/>
  <c r="AS118" i="3"/>
  <c r="AT118" i="3" s="1"/>
  <c r="AR107" i="3"/>
  <c r="AS103" i="3"/>
  <c r="AT103" i="3" s="1"/>
  <c r="AR96" i="3"/>
  <c r="AS92" i="3"/>
  <c r="AT92" i="3" s="1"/>
  <c r="AS88" i="3"/>
  <c r="AT88" i="3" s="1"/>
  <c r="AS84" i="3"/>
  <c r="AT84" i="3" s="1"/>
  <c r="AR73" i="3"/>
  <c r="AR69" i="3"/>
  <c r="AS65" i="3"/>
  <c r="AT65" i="3" s="1"/>
  <c r="AS61" i="3"/>
  <c r="AT61" i="3" s="1"/>
  <c r="AS57" i="3"/>
  <c r="AT57" i="3" s="1"/>
  <c r="AR22" i="3"/>
  <c r="AR7" i="3"/>
  <c r="AK137" i="3"/>
  <c r="AL105" i="3"/>
  <c r="AM105" i="3" s="1"/>
  <c r="AL90" i="3"/>
  <c r="AM90" i="3" s="1"/>
  <c r="AK53" i="3"/>
  <c r="AL30" i="3"/>
  <c r="AM30" i="3" s="1"/>
  <c r="AR144" i="3"/>
  <c r="AS140" i="3"/>
  <c r="AT140" i="3" s="1"/>
  <c r="AS136" i="3"/>
  <c r="AT136" i="3" s="1"/>
  <c r="AS125" i="3"/>
  <c r="AT125" i="3" s="1"/>
  <c r="AR118" i="3"/>
  <c r="AS114" i="3"/>
  <c r="AT114" i="3" s="1"/>
  <c r="AR103" i="3"/>
  <c r="AS99" i="3"/>
  <c r="AT99" i="3" s="1"/>
  <c r="AR92" i="3"/>
  <c r="AR88" i="3"/>
  <c r="AR84" i="3"/>
  <c r="AS80" i="3"/>
  <c r="AT80" i="3" s="1"/>
  <c r="AS76" i="3"/>
  <c r="AT76" i="3" s="1"/>
  <c r="AR65" i="3"/>
  <c r="AR61" i="3"/>
  <c r="AR57" i="3"/>
  <c r="AS53" i="3"/>
  <c r="AT53" i="3" s="1"/>
  <c r="AQ38" i="3"/>
  <c r="AS3" i="3"/>
  <c r="AT3" i="3" s="1"/>
  <c r="AS147" i="3"/>
  <c r="AT147" i="3" s="1"/>
  <c r="AR140" i="3"/>
  <c r="AR136" i="3"/>
  <c r="AS132" i="3"/>
  <c r="AT132" i="3" s="1"/>
  <c r="AR125" i="3"/>
  <c r="AS121" i="3"/>
  <c r="AT121" i="3" s="1"/>
  <c r="AR114" i="3"/>
  <c r="AS110" i="3"/>
  <c r="AT110" i="3" s="1"/>
  <c r="AS106" i="3"/>
  <c r="AT106" i="3" s="1"/>
  <c r="AR99" i="3"/>
  <c r="AS95" i="3"/>
  <c r="AT95" i="3" s="1"/>
  <c r="AR80" i="3"/>
  <c r="AR76" i="3"/>
  <c r="AS72" i="3"/>
  <c r="AT72" i="3" s="1"/>
  <c r="AS68" i="3"/>
  <c r="AT68" i="3" s="1"/>
  <c r="AR53" i="3"/>
  <c r="AS37" i="3"/>
  <c r="AT37" i="3" s="1"/>
  <c r="AQ19" i="3"/>
  <c r="AR3" i="3"/>
  <c r="AK150" i="3"/>
  <c r="AN150" i="3" s="1"/>
  <c r="AL146" i="3"/>
  <c r="AM146" i="3" s="1"/>
  <c r="AL141" i="3"/>
  <c r="AM141" i="3" s="1"/>
  <c r="AL136" i="3"/>
  <c r="AM136" i="3" s="1"/>
  <c r="AK118" i="3"/>
  <c r="AK113" i="3"/>
  <c r="AK81" i="3"/>
  <c r="AK76" i="3"/>
  <c r="AL66" i="3"/>
  <c r="AM66" i="3" s="1"/>
  <c r="AL57" i="3"/>
  <c r="AM57" i="3" s="1"/>
  <c r="AL52" i="3"/>
  <c r="AM52" i="3" s="1"/>
  <c r="AL46" i="3"/>
  <c r="AM46" i="3" s="1"/>
  <c r="AR147" i="3"/>
  <c r="AR132" i="3"/>
  <c r="AS128" i="3"/>
  <c r="AT128" i="3" s="1"/>
  <c r="AR121" i="3"/>
  <c r="AS117" i="3"/>
  <c r="AT117" i="3" s="1"/>
  <c r="AR110" i="3"/>
  <c r="AR106" i="3"/>
  <c r="AS102" i="3"/>
  <c r="AT102" i="3" s="1"/>
  <c r="AR95" i="3"/>
  <c r="AS91" i="3"/>
  <c r="AT91" i="3" s="1"/>
  <c r="AS87" i="3"/>
  <c r="AT87" i="3" s="1"/>
  <c r="AR72" i="3"/>
  <c r="AR68" i="3"/>
  <c r="AS64" i="3"/>
  <c r="AT64" i="3" s="1"/>
  <c r="AS60" i="3"/>
  <c r="AT60" i="3" s="1"/>
  <c r="AR37" i="3"/>
  <c r="AS18" i="3"/>
  <c r="AT18" i="3" s="1"/>
  <c r="AL113" i="3"/>
  <c r="AM113" i="3" s="1"/>
  <c r="AK146" i="3"/>
  <c r="AL126" i="3"/>
  <c r="AM126" i="3" s="1"/>
  <c r="AL122" i="3"/>
  <c r="AM122" i="3" s="1"/>
  <c r="AL89" i="3"/>
  <c r="AM89" i="3" s="1"/>
  <c r="AK66" i="3"/>
  <c r="AK57" i="3"/>
  <c r="AJ46" i="3"/>
  <c r="AS143" i="3"/>
  <c r="AT143" i="3" s="1"/>
  <c r="AS139" i="3"/>
  <c r="AT139" i="3" s="1"/>
  <c r="AS135" i="3"/>
  <c r="AT135" i="3" s="1"/>
  <c r="AR128" i="3"/>
  <c r="AS124" i="3"/>
  <c r="AT124" i="3" s="1"/>
  <c r="AR117" i="3"/>
  <c r="AS113" i="3"/>
  <c r="AT113" i="3" s="1"/>
  <c r="AR102" i="3"/>
  <c r="AR91" i="3"/>
  <c r="AR87" i="3"/>
  <c r="AS83" i="3"/>
  <c r="AT83" i="3" s="1"/>
  <c r="AS79" i="3"/>
  <c r="AT79" i="3" s="1"/>
  <c r="AS75" i="3"/>
  <c r="AT75" i="3" s="1"/>
  <c r="AR64" i="3"/>
  <c r="AR60" i="3"/>
  <c r="AS56" i="3"/>
  <c r="AT56" i="3" s="1"/>
  <c r="AS52" i="3"/>
  <c r="AT52" i="3" s="1"/>
  <c r="AQ34" i="3"/>
  <c r="AR18" i="3"/>
  <c r="AL149" i="3"/>
  <c r="AM149" i="3" s="1"/>
  <c r="AK126" i="3"/>
  <c r="AK122" i="3"/>
  <c r="AK89" i="3"/>
  <c r="AL45" i="3"/>
  <c r="AM45" i="3" s="1"/>
  <c r="AS150" i="3"/>
  <c r="AT150" i="3" s="1"/>
  <c r="AR143" i="3"/>
  <c r="AR139" i="3"/>
  <c r="AR135" i="3"/>
  <c r="AS131" i="3"/>
  <c r="AT131" i="3" s="1"/>
  <c r="AR124" i="3"/>
  <c r="AS120" i="3"/>
  <c r="AT120" i="3" s="1"/>
  <c r="AR113" i="3"/>
  <c r="AS109" i="3"/>
  <c r="AT109" i="3" s="1"/>
  <c r="AS105" i="3"/>
  <c r="AT105" i="3" s="1"/>
  <c r="AS98" i="3"/>
  <c r="AT98" i="3" s="1"/>
  <c r="AS94" i="3"/>
  <c r="AT94" i="3" s="1"/>
  <c r="AR83" i="3"/>
  <c r="AR79" i="3"/>
  <c r="AR75" i="3"/>
  <c r="AS71" i="3"/>
  <c r="AT71" i="3" s="1"/>
  <c r="AS67" i="3"/>
  <c r="AT67" i="3" s="1"/>
  <c r="AR56" i="3"/>
  <c r="AR52" i="3"/>
  <c r="AQ30" i="3"/>
  <c r="AQ15" i="3"/>
  <c r="AK149" i="3"/>
  <c r="AL65" i="3"/>
  <c r="AM65" i="3" s="1"/>
  <c r="AK45" i="3"/>
  <c r="AR150" i="3"/>
  <c r="AS146" i="3"/>
  <c r="AT146" i="3" s="1"/>
  <c r="AS127" i="3"/>
  <c r="AT127" i="3" s="1"/>
  <c r="AR105" i="3"/>
  <c r="AR94" i="3"/>
  <c r="AS90" i="3"/>
  <c r="AT90" i="3" s="1"/>
  <c r="AS86" i="3"/>
  <c r="AT86" i="3" s="1"/>
  <c r="AR67" i="3"/>
  <c r="AS63" i="3"/>
  <c r="AT63" i="3" s="1"/>
  <c r="AS59" i="3"/>
  <c r="AT59" i="3" s="1"/>
  <c r="AL125" i="3"/>
  <c r="AM125" i="3" s="1"/>
  <c r="AK65" i="3"/>
  <c r="AJ41" i="3"/>
  <c r="AS138" i="3"/>
  <c r="AT138" i="3" s="1"/>
  <c r="AR127" i="3"/>
  <c r="AS101" i="3"/>
  <c r="AT101" i="3" s="1"/>
  <c r="AR90" i="3"/>
  <c r="AS82" i="3"/>
  <c r="AT82" i="3" s="1"/>
  <c r="AS78" i="3"/>
  <c r="AT78" i="3" s="1"/>
  <c r="AS55" i="3"/>
  <c r="AT55" i="3" s="1"/>
  <c r="AS29" i="3"/>
  <c r="AT29" i="3" s="1"/>
  <c r="AJ107" i="3"/>
  <c r="AL34" i="3"/>
  <c r="AM34" i="3" s="1"/>
  <c r="AK10" i="3"/>
  <c r="AS48" i="3"/>
  <c r="AT48" i="3" s="1"/>
  <c r="AK30" i="3"/>
  <c r="AK18" i="3"/>
  <c r="AQ45" i="3"/>
  <c r="AS33" i="3"/>
  <c r="AT33" i="3" s="1"/>
  <c r="AR33" i="3"/>
  <c r="AK34" i="3"/>
  <c r="AL29" i="3"/>
  <c r="AM29" i="3" s="1"/>
  <c r="AK23" i="3"/>
  <c r="AK17" i="3"/>
  <c r="AS44" i="3"/>
  <c r="AT44" i="3" s="1"/>
  <c r="AS40" i="3"/>
  <c r="AT40" i="3" s="1"/>
  <c r="AR29" i="3"/>
  <c r="AS25" i="3"/>
  <c r="AT25" i="3" s="1"/>
  <c r="AS21" i="3"/>
  <c r="AT21" i="3" s="1"/>
  <c r="AR14" i="3"/>
  <c r="AS10" i="3"/>
  <c r="AT10" i="3" s="1"/>
  <c r="AS6" i="3"/>
  <c r="AT6" i="3" s="1"/>
  <c r="AL44" i="3"/>
  <c r="AM44" i="3" s="1"/>
  <c r="AK29" i="3"/>
  <c r="AL22" i="3"/>
  <c r="AM22" i="3" s="1"/>
  <c r="AL16" i="3"/>
  <c r="AM16" i="3" s="1"/>
  <c r="AL9" i="3"/>
  <c r="AM9" i="3" s="1"/>
  <c r="AS51" i="3"/>
  <c r="AT51" i="3" s="1"/>
  <c r="AR44" i="3"/>
  <c r="AR40" i="3"/>
  <c r="AS36" i="3"/>
  <c r="AT36" i="3" s="1"/>
  <c r="AS32" i="3"/>
  <c r="AT32" i="3" s="1"/>
  <c r="AR25" i="3"/>
  <c r="AR21" i="3"/>
  <c r="AS17" i="3"/>
  <c r="AT17" i="3" s="1"/>
  <c r="AR10" i="3"/>
  <c r="AR6" i="3"/>
  <c r="AK44" i="3"/>
  <c r="AK22" i="3"/>
  <c r="AK16" i="3"/>
  <c r="AL8" i="3"/>
  <c r="AM8" i="3" s="1"/>
  <c r="AR51" i="3"/>
  <c r="AS47" i="3"/>
  <c r="AT47" i="3" s="1"/>
  <c r="AR36" i="3"/>
  <c r="AR32" i="3"/>
  <c r="AS28" i="3"/>
  <c r="AT28" i="3" s="1"/>
  <c r="AR17" i="3"/>
  <c r="AS13" i="3"/>
  <c r="AT13" i="3" s="1"/>
  <c r="AL28" i="3"/>
  <c r="AM28" i="3" s="1"/>
  <c r="AR47" i="3"/>
  <c r="AS43" i="3"/>
  <c r="AT43" i="3" s="1"/>
  <c r="AS39" i="3"/>
  <c r="AT39" i="3" s="1"/>
  <c r="AR28" i="3"/>
  <c r="AS24" i="3"/>
  <c r="AT24" i="3" s="1"/>
  <c r="AR13" i="3"/>
  <c r="AS9" i="3"/>
  <c r="AT9" i="3" s="1"/>
  <c r="AS5" i="3"/>
  <c r="AT5" i="3" s="1"/>
  <c r="AL42" i="3"/>
  <c r="AM42" i="3" s="1"/>
  <c r="AK28" i="3"/>
  <c r="AQ2" i="3"/>
  <c r="AS50" i="3"/>
  <c r="AT50" i="3" s="1"/>
  <c r="AR43" i="3"/>
  <c r="AR39" i="3"/>
  <c r="AS35" i="3"/>
  <c r="AT35" i="3" s="1"/>
  <c r="AS31" i="3"/>
  <c r="AT31" i="3" s="1"/>
  <c r="AR24" i="3"/>
  <c r="AS20" i="3"/>
  <c r="AT20" i="3" s="1"/>
  <c r="AS16" i="3"/>
  <c r="AT16" i="3" s="1"/>
  <c r="AR9" i="3"/>
  <c r="AR5" i="3"/>
  <c r="AK42" i="3"/>
  <c r="AL6" i="3"/>
  <c r="AM6" i="3" s="1"/>
  <c r="AR2" i="3"/>
  <c r="AR50" i="3"/>
  <c r="AS46" i="3"/>
  <c r="AT46" i="3" s="1"/>
  <c r="AR35" i="3"/>
  <c r="AR31" i="3"/>
  <c r="AS27" i="3"/>
  <c r="AT27" i="3" s="1"/>
  <c r="AR20" i="3"/>
  <c r="AR16" i="3"/>
  <c r="AS12" i="3"/>
  <c r="AT12" i="3" s="1"/>
  <c r="AR45" i="3"/>
  <c r="AK6" i="3"/>
  <c r="AR46" i="3"/>
  <c r="AS42" i="3"/>
  <c r="AT42" i="3" s="1"/>
  <c r="AR27" i="3"/>
  <c r="AS23" i="3"/>
  <c r="AT23" i="3" s="1"/>
  <c r="AR12" i="3"/>
  <c r="AS8" i="3"/>
  <c r="AT8" i="3" s="1"/>
  <c r="AS4" i="3"/>
  <c r="AT4" i="3" s="1"/>
  <c r="AL41" i="3"/>
  <c r="AM41" i="3" s="1"/>
  <c r="AL4" i="3"/>
  <c r="AM4" i="3" s="1"/>
  <c r="AS49" i="3"/>
  <c r="AT49" i="3" s="1"/>
  <c r="AR42" i="3"/>
  <c r="AS38" i="3"/>
  <c r="AT38" i="3" s="1"/>
  <c r="AS34" i="3"/>
  <c r="AT34" i="3" s="1"/>
  <c r="AS30" i="3"/>
  <c r="AT30" i="3" s="1"/>
  <c r="AR23" i="3"/>
  <c r="AS19" i="3"/>
  <c r="AT19" i="3" s="1"/>
  <c r="AS15" i="3"/>
  <c r="AT15" i="3" s="1"/>
  <c r="AR8" i="3"/>
  <c r="AR4" i="3"/>
  <c r="AK20" i="3"/>
  <c r="AJ17" i="3"/>
  <c r="AK2" i="3"/>
  <c r="AK5" i="3"/>
  <c r="AL2" i="3"/>
  <c r="AM2" i="3" s="1"/>
  <c r="AJ5" i="3"/>
  <c r="AK9" i="3"/>
  <c r="AK27" i="3"/>
  <c r="AJ27" i="3"/>
  <c r="AL39" i="3"/>
  <c r="AM39" i="3" s="1"/>
  <c r="AK39" i="3"/>
  <c r="AK3" i="3"/>
  <c r="AL51" i="3"/>
  <c r="AM51" i="3" s="1"/>
  <c r="AL15" i="3"/>
  <c r="AM15" i="3" s="1"/>
  <c r="AK51" i="3"/>
  <c r="AK15" i="3"/>
  <c r="AJ263" i="3"/>
  <c r="AL191" i="3"/>
  <c r="AM191" i="3" s="1"/>
  <c r="AL131" i="3"/>
  <c r="AM131" i="3" s="1"/>
  <c r="AK119" i="3"/>
  <c r="AJ23" i="3"/>
  <c r="AL11" i="3"/>
  <c r="AM11" i="3" s="1"/>
  <c r="AN270" i="3"/>
  <c r="AK191" i="3"/>
  <c r="AL179" i="3"/>
  <c r="AM179" i="3" s="1"/>
  <c r="AL167" i="3"/>
  <c r="AM167" i="3" s="1"/>
  <c r="AL155" i="3"/>
  <c r="AM155" i="3" s="1"/>
  <c r="AL143" i="3"/>
  <c r="AM143" i="3" s="1"/>
  <c r="AK131" i="3"/>
  <c r="AK11" i="3"/>
  <c r="AL203" i="3"/>
  <c r="AM203" i="3" s="1"/>
  <c r="AK179" i="3"/>
  <c r="AK167" i="3"/>
  <c r="AK155" i="3"/>
  <c r="AK143" i="3"/>
  <c r="AK203" i="3"/>
  <c r="AL215" i="3"/>
  <c r="AM215" i="3" s="1"/>
  <c r="AK215" i="3"/>
  <c r="AL323" i="3"/>
  <c r="AM323" i="3" s="1"/>
  <c r="AL299" i="3"/>
  <c r="AM299" i="3" s="1"/>
  <c r="AL227" i="3"/>
  <c r="AM227" i="3" s="1"/>
  <c r="AL83" i="3"/>
  <c r="AM83" i="3" s="1"/>
  <c r="AL71" i="3"/>
  <c r="AM71" i="3" s="1"/>
  <c r="AK323" i="3"/>
  <c r="AL311" i="3"/>
  <c r="AM311" i="3" s="1"/>
  <c r="AK299" i="3"/>
  <c r="AN294" i="3"/>
  <c r="AL287" i="3"/>
  <c r="AM287" i="3" s="1"/>
  <c r="AK227" i="3"/>
  <c r="AL95" i="3"/>
  <c r="AM95" i="3" s="1"/>
  <c r="AK83" i="3"/>
  <c r="AK71" i="3"/>
  <c r="AL59" i="3"/>
  <c r="AM59" i="3" s="1"/>
  <c r="AL47" i="3"/>
  <c r="AM47" i="3" s="1"/>
  <c r="AK311" i="3"/>
  <c r="AK287" i="3"/>
  <c r="AL239" i="3"/>
  <c r="AM239" i="3" s="1"/>
  <c r="AK95" i="3"/>
  <c r="AK59" i="3"/>
  <c r="AK47" i="3"/>
  <c r="AL35" i="3"/>
  <c r="AM35" i="3" s="1"/>
  <c r="AL275" i="3"/>
  <c r="AM275" i="3" s="1"/>
  <c r="AL251" i="3"/>
  <c r="AM251" i="3" s="1"/>
  <c r="AK239" i="3"/>
  <c r="AL107" i="3"/>
  <c r="AM107" i="3" s="1"/>
  <c r="AK35" i="3"/>
  <c r="AK319" i="3"/>
  <c r="AK307" i="3"/>
  <c r="AK295" i="3"/>
  <c r="AK283" i="3"/>
  <c r="AK271" i="3"/>
  <c r="AK259" i="3"/>
  <c r="AK247" i="3"/>
  <c r="AK235" i="3"/>
  <c r="AK223" i="3"/>
  <c r="AK211" i="3"/>
  <c r="AK199" i="3"/>
  <c r="AK187" i="3"/>
  <c r="AK175" i="3"/>
  <c r="AK163" i="3"/>
  <c r="AK151" i="3"/>
  <c r="AK139" i="3"/>
  <c r="AK127" i="3"/>
  <c r="AK115" i="3"/>
  <c r="AK103" i="3"/>
  <c r="AK91" i="3"/>
  <c r="AK79" i="3"/>
  <c r="AK67" i="3"/>
  <c r="AK55" i="3"/>
  <c r="AK43" i="3"/>
  <c r="AK31" i="3"/>
  <c r="AK19" i="3"/>
  <c r="AK7" i="3"/>
  <c r="AJ319" i="3"/>
  <c r="AJ307" i="3"/>
  <c r="AJ295" i="3"/>
  <c r="AJ283" i="3"/>
  <c r="AJ271" i="3"/>
  <c r="AJ259" i="3"/>
  <c r="AJ247" i="3"/>
  <c r="AJ235" i="3"/>
  <c r="AJ223" i="3"/>
  <c r="AJ211" i="3"/>
  <c r="AJ199" i="3"/>
  <c r="AJ187" i="3"/>
  <c r="AJ175" i="3"/>
  <c r="AJ163" i="3"/>
  <c r="AJ151" i="3"/>
  <c r="AJ139" i="3"/>
  <c r="AJ127" i="3"/>
  <c r="AJ115" i="3"/>
  <c r="AJ103" i="3"/>
  <c r="AJ91" i="3"/>
  <c r="AJ79" i="3"/>
  <c r="AJ67" i="3"/>
  <c r="AJ55" i="3"/>
  <c r="AJ43" i="3"/>
  <c r="AJ31" i="3"/>
  <c r="AJ19" i="3"/>
  <c r="AJ7" i="3"/>
  <c r="AL3" i="3"/>
  <c r="AM3" i="3" s="1"/>
  <c r="AN258" i="3" l="1"/>
  <c r="AN147" i="3"/>
  <c r="X150" i="12" s="1"/>
  <c r="AU91" i="3"/>
  <c r="B94" i="12" s="1"/>
  <c r="AN76" i="3"/>
  <c r="X79" i="12" s="1"/>
  <c r="AN198" i="3"/>
  <c r="X201" i="12" s="1"/>
  <c r="AN210" i="3"/>
  <c r="X213" i="12" s="1"/>
  <c r="AN173" i="3"/>
  <c r="X176" i="12" s="1"/>
  <c r="AN162" i="3"/>
  <c r="X165" i="12" s="1"/>
  <c r="AU150" i="3"/>
  <c r="B153" i="12" s="1"/>
  <c r="AN222" i="3"/>
  <c r="X225" i="12" s="1"/>
  <c r="AN186" i="3"/>
  <c r="X189" i="12" s="1"/>
  <c r="AN178" i="3"/>
  <c r="X181" i="12" s="1"/>
  <c r="AN174" i="3"/>
  <c r="X177" i="12" s="1"/>
  <c r="AN314" i="3"/>
  <c r="AN269" i="3"/>
  <c r="AN220" i="3"/>
  <c r="X223" i="12" s="1"/>
  <c r="AN45" i="3"/>
  <c r="X48" i="12" s="1"/>
  <c r="AN306" i="3"/>
  <c r="AU161" i="3"/>
  <c r="B164" i="12" s="1"/>
  <c r="AN252" i="3"/>
  <c r="X255" i="12" s="1"/>
  <c r="AN318" i="3"/>
  <c r="AN209" i="3"/>
  <c r="X212" i="12" s="1"/>
  <c r="AN228" i="3"/>
  <c r="X231" i="12" s="1"/>
  <c r="AU87" i="3"/>
  <c r="B90" i="12" s="1"/>
  <c r="AU225" i="3"/>
  <c r="B228" i="12" s="1"/>
  <c r="AN85" i="3"/>
  <c r="X88" i="12" s="1"/>
  <c r="AN308" i="3"/>
  <c r="X311" i="12" s="1"/>
  <c r="AU226" i="3"/>
  <c r="B229" i="12" s="1"/>
  <c r="AN185" i="3"/>
  <c r="X188" i="12" s="1"/>
  <c r="AN183" i="3"/>
  <c r="X186" i="12" s="1"/>
  <c r="AN165" i="3"/>
  <c r="X168" i="12" s="1"/>
  <c r="AN324" i="3"/>
  <c r="AN217" i="3"/>
  <c r="X220" i="12" s="1"/>
  <c r="AU156" i="3"/>
  <c r="B159" i="12" s="1"/>
  <c r="AN292" i="3"/>
  <c r="X295" i="12" s="1"/>
  <c r="AN69" i="3"/>
  <c r="X72" i="12" s="1"/>
  <c r="AN231" i="3"/>
  <c r="X234" i="12" s="1"/>
  <c r="AN328" i="3"/>
  <c r="X331" i="12" s="1"/>
  <c r="AU262" i="3"/>
  <c r="B265" i="12" s="1"/>
  <c r="AN305" i="3"/>
  <c r="X308" i="12" s="1"/>
  <c r="AN284" i="3"/>
  <c r="X287" i="12" s="1"/>
  <c r="AN312" i="3"/>
  <c r="X315" i="12" s="1"/>
  <c r="AN230" i="3"/>
  <c r="X233" i="12" s="1"/>
  <c r="AN192" i="3"/>
  <c r="X195" i="12" s="1"/>
  <c r="AN266" i="3"/>
  <c r="X269" i="12" s="1"/>
  <c r="AN248" i="3"/>
  <c r="X251" i="12" s="1"/>
  <c r="AU290" i="3"/>
  <c r="B293" i="12" s="1"/>
  <c r="AU265" i="3"/>
  <c r="B268" i="12" s="1"/>
  <c r="AN285" i="3"/>
  <c r="X288" i="12" s="1"/>
  <c r="AN172" i="3"/>
  <c r="X175" i="12" s="1"/>
  <c r="AN288" i="3"/>
  <c r="X291" i="12" s="1"/>
  <c r="AN325" i="3"/>
  <c r="X328" i="12" s="1"/>
  <c r="AN261" i="3"/>
  <c r="X264" i="12" s="1"/>
  <c r="AU73" i="3"/>
  <c r="B76" i="12" s="1"/>
  <c r="AN12" i="3"/>
  <c r="X15" i="12" s="1"/>
  <c r="AN200" i="3"/>
  <c r="X203" i="12" s="1"/>
  <c r="AN313" i="3"/>
  <c r="X316" i="12" s="1"/>
  <c r="AN277" i="3"/>
  <c r="X280" i="12" s="1"/>
  <c r="AN327" i="3"/>
  <c r="X330" i="12" s="1"/>
  <c r="AN293" i="3"/>
  <c r="X296" i="12" s="1"/>
  <c r="AU16" i="3"/>
  <c r="B19" i="12" s="1"/>
  <c r="AU234" i="3"/>
  <c r="B237" i="12" s="1"/>
  <c r="AN81" i="3"/>
  <c r="X84" i="12" s="1"/>
  <c r="AN242" i="3"/>
  <c r="X245" i="12" s="1"/>
  <c r="AN218" i="3"/>
  <c r="X221" i="12" s="1"/>
  <c r="AN264" i="3"/>
  <c r="X267" i="12" s="1"/>
  <c r="AN290" i="3"/>
  <c r="X293" i="12" s="1"/>
  <c r="AU191" i="3"/>
  <c r="AN317" i="3"/>
  <c r="AN300" i="3"/>
  <c r="X303" i="12" s="1"/>
  <c r="AN267" i="3"/>
  <c r="X270" i="12" s="1"/>
  <c r="AN181" i="3"/>
  <c r="X184" i="12" s="1"/>
  <c r="AN125" i="3"/>
  <c r="X128" i="12" s="1"/>
  <c r="AU230" i="3"/>
  <c r="B233" i="12" s="1"/>
  <c r="AN60" i="3"/>
  <c r="X63" i="12" s="1"/>
  <c r="AU237" i="3"/>
  <c r="AN26" i="3"/>
  <c r="AU227" i="3"/>
  <c r="B230" i="12" s="1"/>
  <c r="AU108" i="3"/>
  <c r="B111" i="12" s="1"/>
  <c r="AN226" i="3"/>
  <c r="X229" i="12" s="1"/>
  <c r="AN272" i="3"/>
  <c r="X275" i="12" s="1"/>
  <c r="AN326" i="3"/>
  <c r="X329" i="12" s="1"/>
  <c r="AN276" i="3"/>
  <c r="X279" i="12" s="1"/>
  <c r="AN265" i="3"/>
  <c r="X268" i="12" s="1"/>
  <c r="AU177" i="3"/>
  <c r="B180" i="12" s="1"/>
  <c r="AN214" i="3"/>
  <c r="X217" i="12" s="1"/>
  <c r="AU164" i="3"/>
  <c r="B167" i="12" s="1"/>
  <c r="AU199" i="3"/>
  <c r="AU322" i="3"/>
  <c r="B325" i="12" s="1"/>
  <c r="AU187" i="3"/>
  <c r="B190" i="12" s="1"/>
  <c r="AU269" i="3"/>
  <c r="B272" i="12" s="1"/>
  <c r="AU35" i="3"/>
  <c r="B38" i="12" s="1"/>
  <c r="AN184" i="3"/>
  <c r="X187" i="12" s="1"/>
  <c r="AN255" i="3"/>
  <c r="X258" i="12" s="1"/>
  <c r="AN193" i="3"/>
  <c r="X196" i="12" s="1"/>
  <c r="AU326" i="3"/>
  <c r="B329" i="12" s="1"/>
  <c r="AN249" i="3"/>
  <c r="X252" i="12" s="1"/>
  <c r="AU155" i="3"/>
  <c r="AN280" i="3"/>
  <c r="AN278" i="3"/>
  <c r="AN176" i="3"/>
  <c r="X179" i="12" s="1"/>
  <c r="AU120" i="3"/>
  <c r="B123" i="12" s="1"/>
  <c r="AU242" i="3"/>
  <c r="B245" i="12" s="1"/>
  <c r="AN275" i="3"/>
  <c r="AU267" i="3"/>
  <c r="B270" i="12" s="1"/>
  <c r="AU264" i="3"/>
  <c r="B267" i="12" s="1"/>
  <c r="AN219" i="3"/>
  <c r="X222" i="12" s="1"/>
  <c r="AU309" i="3"/>
  <c r="B312" i="12" s="1"/>
  <c r="AN224" i="3"/>
  <c r="X227" i="12" s="1"/>
  <c r="AN169" i="3"/>
  <c r="AN182" i="3"/>
  <c r="X185" i="12" s="1"/>
  <c r="AN302" i="3"/>
  <c r="AN99" i="3"/>
  <c r="AN124" i="3"/>
  <c r="X127" i="12" s="1"/>
  <c r="AU101" i="3"/>
  <c r="AU175" i="3"/>
  <c r="AN153" i="3"/>
  <c r="X156" i="12" s="1"/>
  <c r="AU217" i="3"/>
  <c r="B220" i="12" s="1"/>
  <c r="AU20" i="3"/>
  <c r="B23" i="12" s="1"/>
  <c r="AN141" i="3"/>
  <c r="X144" i="12" s="1"/>
  <c r="AN53" i="3"/>
  <c r="X56" i="12" s="1"/>
  <c r="AN98" i="3"/>
  <c r="AN86" i="3"/>
  <c r="AN303" i="3"/>
  <c r="AU317" i="3"/>
  <c r="B320" i="12" s="1"/>
  <c r="AN195" i="3"/>
  <c r="X198" i="12" s="1"/>
  <c r="AU250" i="3"/>
  <c r="B253" i="12" s="1"/>
  <c r="AN136" i="3"/>
  <c r="AN289" i="3"/>
  <c r="AU49" i="3"/>
  <c r="B52" i="12" s="1"/>
  <c r="AU266" i="3"/>
  <c r="B269" i="12" s="1"/>
  <c r="AN309" i="3"/>
  <c r="X312" i="12" s="1"/>
  <c r="AU303" i="3"/>
  <c r="B306" i="12" s="1"/>
  <c r="AU325" i="3"/>
  <c r="B328" i="12" s="1"/>
  <c r="AN74" i="3"/>
  <c r="X77" i="12" s="1"/>
  <c r="AN207" i="3"/>
  <c r="AN221" i="3"/>
  <c r="AN157" i="3"/>
  <c r="X160" i="12" s="1"/>
  <c r="AU280" i="3"/>
  <c r="B283" i="12" s="1"/>
  <c r="AU190" i="3"/>
  <c r="AU240" i="3"/>
  <c r="B243" i="12" s="1"/>
  <c r="AU295" i="3"/>
  <c r="AN197" i="3"/>
  <c r="X200" i="12" s="1"/>
  <c r="AU222" i="3"/>
  <c r="B225" i="12" s="1"/>
  <c r="AN320" i="3"/>
  <c r="X323" i="12" s="1"/>
  <c r="AU238" i="3"/>
  <c r="AN213" i="3"/>
  <c r="AU277" i="3"/>
  <c r="B280" i="12" s="1"/>
  <c r="AU215" i="3"/>
  <c r="AU206" i="3"/>
  <c r="B209" i="12" s="1"/>
  <c r="AN152" i="3"/>
  <c r="AU259" i="3"/>
  <c r="AU239" i="3"/>
  <c r="B242" i="12" s="1"/>
  <c r="AU252" i="3"/>
  <c r="B255" i="12" s="1"/>
  <c r="AN301" i="3"/>
  <c r="X304" i="12" s="1"/>
  <c r="AN158" i="3"/>
  <c r="X161" i="12" s="1"/>
  <c r="AU98" i="3"/>
  <c r="B101" i="12" s="1"/>
  <c r="AU248" i="3"/>
  <c r="AN233" i="3"/>
  <c r="X236" i="12" s="1"/>
  <c r="AN62" i="3"/>
  <c r="AN216" i="3"/>
  <c r="AU260" i="3"/>
  <c r="B263" i="12" s="1"/>
  <c r="AN262" i="3"/>
  <c r="AU279" i="3"/>
  <c r="AN304" i="3"/>
  <c r="X307" i="12" s="1"/>
  <c r="AN257" i="3"/>
  <c r="AN281" i="3"/>
  <c r="X284" i="12" s="1"/>
  <c r="AU254" i="3"/>
  <c r="B257" i="12" s="1"/>
  <c r="AN316" i="3"/>
  <c r="AN101" i="3"/>
  <c r="AU193" i="3"/>
  <c r="AU243" i="3"/>
  <c r="B246" i="12" s="1"/>
  <c r="AN286" i="3"/>
  <c r="AN315" i="3"/>
  <c r="X318" i="12" s="1"/>
  <c r="AN254" i="3"/>
  <c r="AU176" i="3"/>
  <c r="AU271" i="3"/>
  <c r="B274" i="12" s="1"/>
  <c r="AU249" i="3"/>
  <c r="B252" i="12" s="1"/>
  <c r="AU205" i="3"/>
  <c r="B208" i="12" s="1"/>
  <c r="AU167" i="3"/>
  <c r="B170" i="12" s="1"/>
  <c r="AU253" i="3"/>
  <c r="B256" i="12" s="1"/>
  <c r="AN225" i="3"/>
  <c r="X228" i="12" s="1"/>
  <c r="AU186" i="3"/>
  <c r="B189" i="12" s="1"/>
  <c r="AU179" i="3"/>
  <c r="AN237" i="3"/>
  <c r="AN245" i="3"/>
  <c r="X248" i="12" s="1"/>
  <c r="AN171" i="3"/>
  <c r="AN205" i="3"/>
  <c r="AU169" i="3"/>
  <c r="B172" i="12" s="1"/>
  <c r="AU185" i="3"/>
  <c r="AU153" i="3"/>
  <c r="B156" i="12" s="1"/>
  <c r="AU255" i="3"/>
  <c r="B258" i="12" s="1"/>
  <c r="AN260" i="3"/>
  <c r="AN310" i="3"/>
  <c r="AN274" i="3"/>
  <c r="AU288" i="3"/>
  <c r="B291" i="12" s="1"/>
  <c r="AN298" i="3"/>
  <c r="AU301" i="3"/>
  <c r="B304" i="12" s="1"/>
  <c r="AU321" i="3"/>
  <c r="B324" i="12" s="1"/>
  <c r="AN238" i="3"/>
  <c r="AN208" i="3"/>
  <c r="X211" i="12" s="1"/>
  <c r="AN170" i="3"/>
  <c r="X173" i="12" s="1"/>
  <c r="AN206" i="3"/>
  <c r="X209" i="12" s="1"/>
  <c r="AN194" i="3"/>
  <c r="X197" i="12" s="1"/>
  <c r="AN58" i="3"/>
  <c r="AN117" i="3"/>
  <c r="AN38" i="3"/>
  <c r="AU294" i="3"/>
  <c r="AN273" i="3"/>
  <c r="AN159" i="3"/>
  <c r="X162" i="12" s="1"/>
  <c r="AN244" i="3"/>
  <c r="AN196" i="3"/>
  <c r="AN241" i="3"/>
  <c r="X244" i="12" s="1"/>
  <c r="AN229" i="3"/>
  <c r="X232" i="12" s="1"/>
  <c r="AU152" i="3"/>
  <c r="B155" i="12" s="1"/>
  <c r="AU208" i="3"/>
  <c r="B211" i="12" s="1"/>
  <c r="AU90" i="3"/>
  <c r="AU212" i="3"/>
  <c r="AU220" i="3"/>
  <c r="AU189" i="3"/>
  <c r="AN190" i="3"/>
  <c r="AU315" i="3"/>
  <c r="B318" i="12" s="1"/>
  <c r="AU241" i="3"/>
  <c r="B244" i="12" s="1"/>
  <c r="AU232" i="3"/>
  <c r="AN189" i="3"/>
  <c r="X192" i="12" s="1"/>
  <c r="AN236" i="3"/>
  <c r="AN161" i="3"/>
  <c r="X164" i="12" s="1"/>
  <c r="AN64" i="3"/>
  <c r="X67" i="12" s="1"/>
  <c r="AN70" i="3"/>
  <c r="AN21" i="3"/>
  <c r="AN129" i="3"/>
  <c r="AN132" i="3"/>
  <c r="AN180" i="3"/>
  <c r="AU291" i="3"/>
  <c r="B294" i="12" s="1"/>
  <c r="AN166" i="3"/>
  <c r="AU276" i="3"/>
  <c r="B279" i="12" s="1"/>
  <c r="AU324" i="3"/>
  <c r="B327" i="12" s="1"/>
  <c r="AU281" i="3"/>
  <c r="B284" i="12" s="1"/>
  <c r="AN256" i="3"/>
  <c r="X259" i="12" s="1"/>
  <c r="AU258" i="3"/>
  <c r="B261" i="12" s="1"/>
  <c r="AU293" i="3"/>
  <c r="AN37" i="3"/>
  <c r="AU214" i="3"/>
  <c r="AU201" i="3"/>
  <c r="AN202" i="3"/>
  <c r="AU165" i="3"/>
  <c r="B168" i="12" s="1"/>
  <c r="AU218" i="3"/>
  <c r="AU298" i="3"/>
  <c r="B301" i="12" s="1"/>
  <c r="AU204" i="3"/>
  <c r="B207" i="12" s="1"/>
  <c r="AN88" i="3"/>
  <c r="X91" i="12" s="1"/>
  <c r="AN130" i="3"/>
  <c r="X133" i="12" s="1"/>
  <c r="AU327" i="3"/>
  <c r="B330" i="12" s="1"/>
  <c r="AN20" i="3"/>
  <c r="AU310" i="3"/>
  <c r="B313" i="12" s="1"/>
  <c r="AN119" i="3"/>
  <c r="AN138" i="3"/>
  <c r="AU200" i="3"/>
  <c r="AN253" i="3"/>
  <c r="AU123" i="3"/>
  <c r="B126" i="12" s="1"/>
  <c r="AN251" i="3"/>
  <c r="AU274" i="3"/>
  <c r="B277" i="12" s="1"/>
  <c r="AN296" i="3"/>
  <c r="AU289" i="3"/>
  <c r="AN84" i="3"/>
  <c r="X87" i="12" s="1"/>
  <c r="AN322" i="3"/>
  <c r="AU257" i="3"/>
  <c r="AU268" i="3"/>
  <c r="B271" i="12" s="1"/>
  <c r="AU273" i="3"/>
  <c r="AU307" i="3"/>
  <c r="AU313" i="3"/>
  <c r="B316" i="12" s="1"/>
  <c r="AU261" i="3"/>
  <c r="AN61" i="3"/>
  <c r="AU285" i="3"/>
  <c r="B288" i="12" s="1"/>
  <c r="AU278" i="3"/>
  <c r="B281" i="12" s="1"/>
  <c r="AU297" i="3"/>
  <c r="B300" i="12" s="1"/>
  <c r="AN54" i="3"/>
  <c r="AU203" i="3"/>
  <c r="AU296" i="3"/>
  <c r="AN160" i="3"/>
  <c r="X163" i="12" s="1"/>
  <c r="AN164" i="3"/>
  <c r="AU244" i="3"/>
  <c r="B247" i="12" s="1"/>
  <c r="AU304" i="3"/>
  <c r="B307" i="12" s="1"/>
  <c r="AN268" i="3"/>
  <c r="AN177" i="3"/>
  <c r="X180" i="12" s="1"/>
  <c r="AU213" i="3"/>
  <c r="AN212" i="3"/>
  <c r="X215" i="12" s="1"/>
  <c r="AU246" i="3"/>
  <c r="AU306" i="3"/>
  <c r="AU263" i="3"/>
  <c r="AU292" i="3"/>
  <c r="B295" i="12" s="1"/>
  <c r="AN263" i="3"/>
  <c r="X266" i="12" s="1"/>
  <c r="AU318" i="3"/>
  <c r="AU284" i="3"/>
  <c r="B287" i="12" s="1"/>
  <c r="AN188" i="3"/>
  <c r="AN105" i="3"/>
  <c r="AN100" i="3"/>
  <c r="AN201" i="3"/>
  <c r="X204" i="12" s="1"/>
  <c r="AN168" i="3"/>
  <c r="X171" i="12" s="1"/>
  <c r="AU300" i="3"/>
  <c r="AN239" i="3"/>
  <c r="X242" i="12" s="1"/>
  <c r="AU84" i="3"/>
  <c r="AN120" i="3"/>
  <c r="AU302" i="3"/>
  <c r="AU316" i="3"/>
  <c r="B319" i="12" s="1"/>
  <c r="AU245" i="3"/>
  <c r="B248" i="12" s="1"/>
  <c r="AN323" i="3"/>
  <c r="X326" i="12" s="1"/>
  <c r="AU11" i="3"/>
  <c r="B14" i="12" s="1"/>
  <c r="AU192" i="3"/>
  <c r="AN240" i="3"/>
  <c r="X243" i="12" s="1"/>
  <c r="AU270" i="3"/>
  <c r="B273" i="12" s="1"/>
  <c r="AU299" i="3"/>
  <c r="B302" i="12" s="1"/>
  <c r="AU272" i="3"/>
  <c r="B275" i="12" s="1"/>
  <c r="AN154" i="3"/>
  <c r="AU168" i="3"/>
  <c r="AU172" i="3"/>
  <c r="AU235" i="3"/>
  <c r="AU286" i="3"/>
  <c r="B289" i="12" s="1"/>
  <c r="AU305" i="3"/>
  <c r="B308" i="12" s="1"/>
  <c r="AN94" i="3"/>
  <c r="AU180" i="3"/>
  <c r="AU166" i="3"/>
  <c r="AN232" i="3"/>
  <c r="AU247" i="3"/>
  <c r="AN291" i="3"/>
  <c r="AU311" i="3"/>
  <c r="AN321" i="3"/>
  <c r="AN279" i="3"/>
  <c r="AN109" i="3"/>
  <c r="X112" i="12" s="1"/>
  <c r="AN80" i="3"/>
  <c r="AU162" i="3"/>
  <c r="B165" i="12" s="1"/>
  <c r="AU197" i="3"/>
  <c r="AU251" i="3"/>
  <c r="B254" i="12" s="1"/>
  <c r="AN8" i="3"/>
  <c r="AU174" i="3"/>
  <c r="AU319" i="3"/>
  <c r="B322" i="12" s="1"/>
  <c r="AU160" i="3"/>
  <c r="AU178" i="3"/>
  <c r="AU171" i="3"/>
  <c r="AU157" i="3"/>
  <c r="AN123" i="3"/>
  <c r="AN250" i="3"/>
  <c r="X253" i="12" s="1"/>
  <c r="AU275" i="3"/>
  <c r="B278" i="12" s="1"/>
  <c r="AU323" i="3"/>
  <c r="B326" i="12" s="1"/>
  <c r="AU308" i="3"/>
  <c r="AN297" i="3"/>
  <c r="AN50" i="3"/>
  <c r="X53" i="12" s="1"/>
  <c r="AN145" i="3"/>
  <c r="AU173" i="3"/>
  <c r="AU130" i="3"/>
  <c r="AN144" i="3"/>
  <c r="AU183" i="3"/>
  <c r="AU314" i="3"/>
  <c r="B317" i="12" s="1"/>
  <c r="AU283" i="3"/>
  <c r="B286" i="12" s="1"/>
  <c r="AU320" i="3"/>
  <c r="B323" i="12" s="1"/>
  <c r="AN52" i="3"/>
  <c r="X55" i="12" s="1"/>
  <c r="AU287" i="3"/>
  <c r="B290" i="12" s="1"/>
  <c r="AU256" i="3"/>
  <c r="B259" i="12" s="1"/>
  <c r="AU328" i="3"/>
  <c r="B331" i="12" s="1"/>
  <c r="AU312" i="3"/>
  <c r="B315" i="12" s="1"/>
  <c r="AN247" i="3"/>
  <c r="AN299" i="3"/>
  <c r="AN259" i="3"/>
  <c r="AN311" i="3"/>
  <c r="AU198" i="3"/>
  <c r="AU282" i="3"/>
  <c r="X321" i="12"/>
  <c r="AU209" i="3"/>
  <c r="X272" i="12"/>
  <c r="AN199" i="3"/>
  <c r="X249" i="12"/>
  <c r="X237" i="12"/>
  <c r="AU109" i="3"/>
  <c r="AU196" i="3"/>
  <c r="AU233" i="3"/>
  <c r="X278" i="12"/>
  <c r="X273" i="12"/>
  <c r="AN92" i="3"/>
  <c r="AU163" i="3"/>
  <c r="X297" i="12"/>
  <c r="X309" i="12"/>
  <c r="AU210" i="3"/>
  <c r="X327" i="12"/>
  <c r="X317" i="12"/>
  <c r="X153" i="12"/>
  <c r="AN271" i="3"/>
  <c r="AN148" i="3"/>
  <c r="AU170" i="3"/>
  <c r="AN204" i="3"/>
  <c r="AU151" i="3"/>
  <c r="AU224" i="3"/>
  <c r="AN243" i="3"/>
  <c r="AU221" i="3"/>
  <c r="AN203" i="3"/>
  <c r="AU181" i="3"/>
  <c r="AU236" i="3"/>
  <c r="X261" i="12"/>
  <c r="AU229" i="3"/>
  <c r="AN77" i="3"/>
  <c r="AN10" i="3"/>
  <c r="AU57" i="3"/>
  <c r="AN40" i="3"/>
  <c r="AN121" i="3"/>
  <c r="AU38" i="3"/>
  <c r="AU88" i="3"/>
  <c r="AN112" i="3"/>
  <c r="AN111" i="3"/>
  <c r="AU61" i="3"/>
  <c r="AN75" i="3"/>
  <c r="AU65" i="3"/>
  <c r="AN108" i="3"/>
  <c r="AN110" i="3"/>
  <c r="AN63" i="3"/>
  <c r="AN29" i="3"/>
  <c r="AU97" i="3"/>
  <c r="AU92" i="3"/>
  <c r="AU103" i="3"/>
  <c r="AU118" i="3"/>
  <c r="AN116" i="3"/>
  <c r="AU82" i="3"/>
  <c r="AU211" i="3"/>
  <c r="AU154" i="3"/>
  <c r="AU228" i="3"/>
  <c r="AN4" i="3"/>
  <c r="AN156" i="3"/>
  <c r="AU219" i="3"/>
  <c r="AU158" i="3"/>
  <c r="AU194" i="3"/>
  <c r="AN142" i="3"/>
  <c r="AU96" i="3"/>
  <c r="AU26" i="3"/>
  <c r="AN82" i="3"/>
  <c r="AN33" i="3"/>
  <c r="AN49" i="3"/>
  <c r="AN36" i="3"/>
  <c r="AN13" i="3"/>
  <c r="AN135" i="3"/>
  <c r="AN14" i="3"/>
  <c r="AU195" i="3"/>
  <c r="AU223" i="3"/>
  <c r="AU159" i="3"/>
  <c r="AN191" i="3"/>
  <c r="AN30" i="3"/>
  <c r="AU231" i="3"/>
  <c r="AU216" i="3"/>
  <c r="AU202" i="3"/>
  <c r="AU89" i="3"/>
  <c r="AU146" i="3"/>
  <c r="AU64" i="3"/>
  <c r="AU22" i="3"/>
  <c r="AU93" i="3"/>
  <c r="AU111" i="3"/>
  <c r="AN140" i="3"/>
  <c r="AU184" i="3"/>
  <c r="AU188" i="3"/>
  <c r="AU182" i="3"/>
  <c r="AU142" i="3"/>
  <c r="AU207" i="3"/>
  <c r="AN227" i="3"/>
  <c r="AU59" i="3"/>
  <c r="AN133" i="3"/>
  <c r="AN24" i="3"/>
  <c r="AN73" i="3"/>
  <c r="AN68" i="3"/>
  <c r="AU24" i="3"/>
  <c r="AU44" i="3"/>
  <c r="AU127" i="3"/>
  <c r="AU135" i="3"/>
  <c r="AN118" i="3"/>
  <c r="AU107" i="3"/>
  <c r="AN211" i="3"/>
  <c r="AN223" i="3"/>
  <c r="AN72" i="3"/>
  <c r="AN106" i="3"/>
  <c r="AN215" i="3"/>
  <c r="AN155" i="3"/>
  <c r="AN102" i="3"/>
  <c r="AU149" i="3"/>
  <c r="AN134" i="3"/>
  <c r="AN87" i="3"/>
  <c r="AU54" i="3"/>
  <c r="AU62" i="3"/>
  <c r="AN18" i="3"/>
  <c r="AU144" i="3"/>
  <c r="AU63" i="3"/>
  <c r="AN126" i="3"/>
  <c r="AU95" i="3"/>
  <c r="AU116" i="3"/>
  <c r="AU74" i="3"/>
  <c r="AN93" i="3"/>
  <c r="AN128" i="3"/>
  <c r="AN95" i="3"/>
  <c r="AN32" i="3"/>
  <c r="AN48" i="3"/>
  <c r="AU138" i="3"/>
  <c r="AU17" i="3"/>
  <c r="AU31" i="3"/>
  <c r="AN57" i="3"/>
  <c r="AN46" i="3"/>
  <c r="AU114" i="3"/>
  <c r="AU133" i="3"/>
  <c r="AN9" i="3"/>
  <c r="AU23" i="3"/>
  <c r="AU122" i="3"/>
  <c r="AN83" i="3"/>
  <c r="AN22" i="3"/>
  <c r="AU77" i="3"/>
  <c r="AU72" i="3"/>
  <c r="AU3" i="3"/>
  <c r="AN34" i="3"/>
  <c r="AN149" i="3"/>
  <c r="AN122" i="3"/>
  <c r="AU137" i="3"/>
  <c r="AU141" i="3"/>
  <c r="AU5" i="3"/>
  <c r="AU33" i="3"/>
  <c r="AU117" i="3"/>
  <c r="AU124" i="3"/>
  <c r="AU134" i="3"/>
  <c r="AN25" i="3"/>
  <c r="AN96" i="3"/>
  <c r="AN97" i="3"/>
  <c r="AN56" i="3"/>
  <c r="AN104" i="3"/>
  <c r="AN137" i="3"/>
  <c r="AN78" i="3"/>
  <c r="AU14" i="3"/>
  <c r="AU86" i="3"/>
  <c r="AN66" i="3"/>
  <c r="AU100" i="3"/>
  <c r="AU145" i="3"/>
  <c r="AU15" i="3"/>
  <c r="AU48" i="3"/>
  <c r="AU94" i="3"/>
  <c r="AN146" i="3"/>
  <c r="AU106" i="3"/>
  <c r="AU19" i="3"/>
  <c r="AU76" i="3"/>
  <c r="AU75" i="3"/>
  <c r="AU80" i="3"/>
  <c r="AU30" i="3"/>
  <c r="AU37" i="3"/>
  <c r="AU121" i="3"/>
  <c r="AU126" i="3"/>
  <c r="AU81" i="3"/>
  <c r="AU10" i="3"/>
  <c r="AU58" i="3"/>
  <c r="AN3" i="3"/>
  <c r="AU102" i="3"/>
  <c r="AU119" i="3"/>
  <c r="AN103" i="3"/>
  <c r="AU56" i="3"/>
  <c r="AU18" i="3"/>
  <c r="AU68" i="3"/>
  <c r="AU136" i="3"/>
  <c r="AU104" i="3"/>
  <c r="AN27" i="3"/>
  <c r="AU105" i="3"/>
  <c r="AU110" i="3"/>
  <c r="AU85" i="3"/>
  <c r="AU112" i="3"/>
  <c r="AN127" i="3"/>
  <c r="AN15" i="3"/>
  <c r="AU27" i="3"/>
  <c r="AU50" i="3"/>
  <c r="AU43" i="3"/>
  <c r="AU47" i="3"/>
  <c r="AN44" i="3"/>
  <c r="AN16" i="3"/>
  <c r="AN41" i="3"/>
  <c r="AU79" i="3"/>
  <c r="AU143" i="3"/>
  <c r="AU7" i="3"/>
  <c r="AU131" i="3"/>
  <c r="AN2" i="3"/>
  <c r="AN28" i="3"/>
  <c r="AU83" i="3"/>
  <c r="AU99" i="3"/>
  <c r="AN6" i="3"/>
  <c r="AU67" i="3"/>
  <c r="AU125" i="3"/>
  <c r="AU148" i="3"/>
  <c r="AU70" i="3"/>
  <c r="AU46" i="3"/>
  <c r="AU2" i="3"/>
  <c r="AN107" i="3"/>
  <c r="AU132" i="3"/>
  <c r="AU42" i="3"/>
  <c r="AN65" i="3"/>
  <c r="AU147" i="3"/>
  <c r="AU129" i="3"/>
  <c r="AU41" i="3"/>
  <c r="AN51" i="3"/>
  <c r="AU21" i="3"/>
  <c r="AN131" i="3"/>
  <c r="AU32" i="3"/>
  <c r="AU25" i="3"/>
  <c r="AU69" i="3"/>
  <c r="AU115" i="3"/>
  <c r="AN55" i="3"/>
  <c r="AN79" i="3"/>
  <c r="AU36" i="3"/>
  <c r="AU78" i="3"/>
  <c r="AU113" i="3"/>
  <c r="AN23" i="3"/>
  <c r="AU4" i="3"/>
  <c r="AU52" i="3"/>
  <c r="AU53" i="3"/>
  <c r="AU51" i="3"/>
  <c r="AU40" i="3"/>
  <c r="AN90" i="3"/>
  <c r="AN115" i="3"/>
  <c r="AU8" i="3"/>
  <c r="AU29" i="3"/>
  <c r="AU140" i="3"/>
  <c r="AU71" i="3"/>
  <c r="AU39" i="3"/>
  <c r="AU139" i="3"/>
  <c r="AU128" i="3"/>
  <c r="AU66" i="3"/>
  <c r="AU60" i="3"/>
  <c r="AN114" i="3"/>
  <c r="AN42" i="3"/>
  <c r="AU55" i="3"/>
  <c r="AU9" i="3"/>
  <c r="AU13" i="3"/>
  <c r="AN71" i="3"/>
  <c r="AU28" i="3"/>
  <c r="AN89" i="3"/>
  <c r="AU12" i="3"/>
  <c r="AN5" i="3"/>
  <c r="AN67" i="3"/>
  <c r="AU34" i="3"/>
  <c r="AU6" i="3"/>
  <c r="AN113" i="3"/>
  <c r="AN17" i="3"/>
  <c r="AU45" i="3"/>
  <c r="AN39" i="3"/>
  <c r="AN11" i="3"/>
  <c r="AN35" i="3"/>
  <c r="AN167" i="3"/>
  <c r="AN179" i="3"/>
  <c r="AN91" i="3"/>
  <c r="AN139" i="3"/>
  <c r="AN287" i="3"/>
  <c r="AN295" i="3"/>
  <c r="AN47" i="3"/>
  <c r="AN143" i="3"/>
  <c r="AN283" i="3"/>
  <c r="AN7" i="3"/>
  <c r="AN151" i="3"/>
  <c r="AN59" i="3"/>
  <c r="AN163" i="3"/>
  <c r="AN307" i="3"/>
  <c r="AN19" i="3"/>
  <c r="AN31" i="3"/>
  <c r="AN175" i="3"/>
  <c r="AN319" i="3"/>
  <c r="AN43" i="3"/>
  <c r="AN187" i="3"/>
  <c r="AN235" i="3"/>
  <c r="X57" i="12" l="1"/>
  <c r="B104" i="12"/>
  <c r="B194" i="12"/>
  <c r="X276" i="12"/>
  <c r="B203" i="12"/>
  <c r="B251" i="12"/>
  <c r="B163" i="12"/>
  <c r="B240" i="12"/>
  <c r="B175" i="12"/>
  <c r="X29" i="12"/>
  <c r="B321" i="12"/>
  <c r="X320" i="12"/>
  <c r="B202" i="12"/>
  <c r="X103" i="12"/>
  <c r="B296" i="12"/>
  <c r="B310" i="12"/>
  <c r="B305" i="12"/>
  <c r="B188" i="12"/>
  <c r="X305" i="12"/>
  <c r="X193" i="12"/>
  <c r="X283" i="12"/>
  <c r="X183" i="12"/>
  <c r="B158" i="12"/>
  <c r="X301" i="12"/>
  <c r="X172" i="12"/>
  <c r="B260" i="12"/>
  <c r="X205" i="12"/>
  <c r="X132" i="12"/>
  <c r="X319" i="12"/>
  <c r="X101" i="12"/>
  <c r="X104" i="12"/>
  <c r="X281" i="12"/>
  <c r="X73" i="12"/>
  <c r="X89" i="12"/>
  <c r="B241" i="12"/>
  <c r="B215" i="12"/>
  <c r="B249" i="12"/>
  <c r="X120" i="12"/>
  <c r="B299" i="12"/>
  <c r="B282" i="12"/>
  <c r="B262" i="12"/>
  <c r="X265" i="12"/>
  <c r="B178" i="12"/>
  <c r="B193" i="12"/>
  <c r="X139" i="12"/>
  <c r="X174" i="12"/>
  <c r="X299" i="12"/>
  <c r="X155" i="12"/>
  <c r="X239" i="12"/>
  <c r="X208" i="12"/>
  <c r="X292" i="12"/>
  <c r="B192" i="12"/>
  <c r="B179" i="12"/>
  <c r="X224" i="12"/>
  <c r="X167" i="12"/>
  <c r="X65" i="12"/>
  <c r="X148" i="12"/>
  <c r="X135" i="12"/>
  <c r="B182" i="12"/>
  <c r="X102" i="12"/>
  <c r="B297" i="12"/>
  <c r="B204" i="12"/>
  <c r="X141" i="12"/>
  <c r="B186" i="12"/>
  <c r="B266" i="12"/>
  <c r="X306" i="12"/>
  <c r="B216" i="12"/>
  <c r="X257" i="12"/>
  <c r="X262" i="12"/>
  <c r="B309" i="12"/>
  <c r="X40" i="12"/>
  <c r="B264" i="12"/>
  <c r="B195" i="12"/>
  <c r="B276" i="12"/>
  <c r="X24" i="12"/>
  <c r="X313" i="12"/>
  <c r="B196" i="12"/>
  <c r="X210" i="12"/>
  <c r="B298" i="12"/>
  <c r="X260" i="12"/>
  <c r="B206" i="12"/>
  <c r="X314" i="12"/>
  <c r="B93" i="12"/>
  <c r="X216" i="12"/>
  <c r="X325" i="12"/>
  <c r="B303" i="12"/>
  <c r="X23" i="12"/>
  <c r="B311" i="12"/>
  <c r="X61" i="12"/>
  <c r="X263" i="12"/>
  <c r="X147" i="12"/>
  <c r="X219" i="12"/>
  <c r="B183" i="12"/>
  <c r="X240" i="12"/>
  <c r="X294" i="12"/>
  <c r="X41" i="12"/>
  <c r="X122" i="12"/>
  <c r="B223" i="12"/>
  <c r="X289" i="12"/>
  <c r="X235" i="12"/>
  <c r="B87" i="12"/>
  <c r="X97" i="12"/>
  <c r="X277" i="12"/>
  <c r="B200" i="12"/>
  <c r="B218" i="12"/>
  <c r="B217" i="12"/>
  <c r="B201" i="12"/>
  <c r="B221" i="12"/>
  <c r="X11" i="12"/>
  <c r="X64" i="12"/>
  <c r="X169" i="12"/>
  <c r="B169" i="12"/>
  <c r="B314" i="12"/>
  <c r="X271" i="12"/>
  <c r="X247" i="12"/>
  <c r="X241" i="12"/>
  <c r="X199" i="12"/>
  <c r="X254" i="12"/>
  <c r="B235" i="12"/>
  <c r="B171" i="12"/>
  <c r="X157" i="12"/>
  <c r="B292" i="12"/>
  <c r="B174" i="12"/>
  <c r="X256" i="12"/>
  <c r="X123" i="12"/>
  <c r="X191" i="12"/>
  <c r="B133" i="12"/>
  <c r="X300" i="12"/>
  <c r="X126" i="12"/>
  <c r="X250" i="12"/>
  <c r="X83" i="12"/>
  <c r="X108" i="12"/>
  <c r="B285" i="12"/>
  <c r="B176" i="12"/>
  <c r="X324" i="12"/>
  <c r="B238" i="12"/>
  <c r="B160" i="12"/>
  <c r="X302" i="12"/>
  <c r="X282" i="12"/>
  <c r="B181" i="12"/>
  <c r="B250" i="12"/>
  <c r="B177" i="12"/>
  <c r="X310" i="12"/>
  <c r="B13" i="12"/>
  <c r="X17" i="12"/>
  <c r="X166" i="12"/>
  <c r="X170" i="12"/>
  <c r="X92" i="12"/>
  <c r="B42" i="12"/>
  <c r="X26" i="12"/>
  <c r="X54" i="12"/>
  <c r="B128" i="12"/>
  <c r="X19" i="12"/>
  <c r="X30" i="12"/>
  <c r="B84" i="12"/>
  <c r="B51" i="12"/>
  <c r="X99" i="12"/>
  <c r="B6" i="12"/>
  <c r="B34" i="12"/>
  <c r="B66" i="12"/>
  <c r="X75" i="12"/>
  <c r="X136" i="12"/>
  <c r="B67" i="12"/>
  <c r="X138" i="12"/>
  <c r="X159" i="12"/>
  <c r="X66" i="12"/>
  <c r="B60" i="12"/>
  <c r="B239" i="12"/>
  <c r="B173" i="12"/>
  <c r="B212" i="12"/>
  <c r="X62" i="12"/>
  <c r="X38" i="12"/>
  <c r="B31" i="12"/>
  <c r="B74" i="12"/>
  <c r="B116" i="12"/>
  <c r="B44" i="12"/>
  <c r="B70" i="12"/>
  <c r="X47" i="12"/>
  <c r="B107" i="12"/>
  <c r="B129" i="12"/>
  <c r="B18" i="12"/>
  <c r="X28" i="12"/>
  <c r="B75" i="12"/>
  <c r="B20" i="12"/>
  <c r="B147" i="12"/>
  <c r="X226" i="12"/>
  <c r="B62" i="12"/>
  <c r="B149" i="12"/>
  <c r="X16" i="12"/>
  <c r="X7" i="12"/>
  <c r="X113" i="12"/>
  <c r="X13" i="12"/>
  <c r="X151" i="12"/>
  <c r="X95" i="12"/>
  <c r="B15" i="12"/>
  <c r="B151" i="12"/>
  <c r="X100" i="12"/>
  <c r="X32" i="12"/>
  <c r="B224" i="12"/>
  <c r="X154" i="12"/>
  <c r="X14" i="12"/>
  <c r="X74" i="12"/>
  <c r="B143" i="12"/>
  <c r="B81" i="12"/>
  <c r="B132" i="12"/>
  <c r="X9" i="12"/>
  <c r="B50" i="12"/>
  <c r="B139" i="12"/>
  <c r="B124" i="12"/>
  <c r="B148" i="12"/>
  <c r="B137" i="12"/>
  <c r="B80" i="12"/>
  <c r="B141" i="12"/>
  <c r="X21" i="12"/>
  <c r="X214" i="12"/>
  <c r="X230" i="12"/>
  <c r="B92" i="12"/>
  <c r="X39" i="12"/>
  <c r="B231" i="12"/>
  <c r="X111" i="12"/>
  <c r="X80" i="12"/>
  <c r="B236" i="12"/>
  <c r="B97" i="12"/>
  <c r="X43" i="12"/>
  <c r="X10" i="12"/>
  <c r="X42" i="12"/>
  <c r="B16" i="12"/>
  <c r="B32" i="12"/>
  <c r="B39" i="12"/>
  <c r="B150" i="12"/>
  <c r="B102" i="12"/>
  <c r="B46" i="12"/>
  <c r="B71" i="12"/>
  <c r="B40" i="12"/>
  <c r="B103" i="12"/>
  <c r="B127" i="12"/>
  <c r="X25" i="12"/>
  <c r="X51" i="12"/>
  <c r="B65" i="12"/>
  <c r="B110" i="12"/>
  <c r="B210" i="12"/>
  <c r="B205" i="12"/>
  <c r="X52" i="12"/>
  <c r="B157" i="12"/>
  <c r="B68" i="12"/>
  <c r="B108" i="12"/>
  <c r="X27" i="12"/>
  <c r="X207" i="12"/>
  <c r="X238" i="12"/>
  <c r="X286" i="12"/>
  <c r="B48" i="12"/>
  <c r="B12" i="12"/>
  <c r="B11" i="12"/>
  <c r="X82" i="12"/>
  <c r="X68" i="12"/>
  <c r="B86" i="12"/>
  <c r="B53" i="12"/>
  <c r="B21" i="12"/>
  <c r="B33" i="12"/>
  <c r="X69" i="12"/>
  <c r="B120" i="12"/>
  <c r="X86" i="12"/>
  <c r="X35" i="12"/>
  <c r="B57" i="12"/>
  <c r="X121" i="12"/>
  <c r="B145" i="12"/>
  <c r="B219" i="12"/>
  <c r="X36" i="12"/>
  <c r="B214" i="12"/>
  <c r="X78" i="12"/>
  <c r="X246" i="12"/>
  <c r="X274" i="12"/>
  <c r="B166" i="12"/>
  <c r="B222" i="12"/>
  <c r="X190" i="12"/>
  <c r="X146" i="12"/>
  <c r="X20" i="12"/>
  <c r="B58" i="12"/>
  <c r="X118" i="12"/>
  <c r="X58" i="12"/>
  <c r="B45" i="12"/>
  <c r="X31" i="12"/>
  <c r="B30" i="12"/>
  <c r="B59" i="12"/>
  <c r="B83" i="12"/>
  <c r="B89" i="12"/>
  <c r="B36" i="12"/>
  <c r="B125" i="12"/>
  <c r="X98" i="12"/>
  <c r="X90" i="12"/>
  <c r="B138" i="12"/>
  <c r="B185" i="12"/>
  <c r="B234" i="12"/>
  <c r="X85" i="12"/>
  <c r="B85" i="12"/>
  <c r="B64" i="12"/>
  <c r="X202" i="12"/>
  <c r="B7" i="12"/>
  <c r="X129" i="12"/>
  <c r="X46" i="12"/>
  <c r="X50" i="12"/>
  <c r="X116" i="12"/>
  <c r="X45" i="12"/>
  <c r="X93" i="12"/>
  <c r="B118" i="12"/>
  <c r="B135" i="12"/>
  <c r="X5" i="12"/>
  <c r="X18" i="12"/>
  <c r="X106" i="12"/>
  <c r="B78" i="12"/>
  <c r="B17" i="12"/>
  <c r="B8" i="12"/>
  <c r="B26" i="12"/>
  <c r="X131" i="12"/>
  <c r="X137" i="12"/>
  <c r="B130" i="12"/>
  <c r="B191" i="12"/>
  <c r="X33" i="12"/>
  <c r="B29" i="12"/>
  <c r="X119" i="12"/>
  <c r="X114" i="12"/>
  <c r="B25" i="12"/>
  <c r="X322" i="12"/>
  <c r="X298" i="12"/>
  <c r="B9" i="12"/>
  <c r="X117" i="12"/>
  <c r="B43" i="12"/>
  <c r="B72" i="12"/>
  <c r="X110" i="12"/>
  <c r="B134" i="12"/>
  <c r="X130" i="12"/>
  <c r="B122" i="12"/>
  <c r="B79" i="12"/>
  <c r="X81" i="12"/>
  <c r="B144" i="12"/>
  <c r="X12" i="12"/>
  <c r="X96" i="12"/>
  <c r="B152" i="12"/>
  <c r="B47" i="12"/>
  <c r="B187" i="12"/>
  <c r="X194" i="12"/>
  <c r="B99" i="12"/>
  <c r="B121" i="12"/>
  <c r="X115" i="12"/>
  <c r="B232" i="12"/>
  <c r="B184" i="12"/>
  <c r="B227" i="12"/>
  <c r="B213" i="12"/>
  <c r="X182" i="12"/>
  <c r="X44" i="12"/>
  <c r="X109" i="12"/>
  <c r="X178" i="12"/>
  <c r="X290" i="12"/>
  <c r="B37" i="12"/>
  <c r="B63" i="12"/>
  <c r="B54" i="12"/>
  <c r="B28" i="12"/>
  <c r="B5" i="12"/>
  <c r="N2" i="12" s="1"/>
  <c r="B10" i="12"/>
  <c r="B115" i="12"/>
  <c r="B105" i="12"/>
  <c r="B22" i="12"/>
  <c r="X140" i="12"/>
  <c r="B140" i="12"/>
  <c r="B136" i="12"/>
  <c r="B77" i="12"/>
  <c r="X105" i="12"/>
  <c r="B27" i="12"/>
  <c r="X143" i="12"/>
  <c r="B162" i="12"/>
  <c r="X145" i="12"/>
  <c r="B106" i="12"/>
  <c r="B91" i="12"/>
  <c r="X206" i="12"/>
  <c r="B154" i="12"/>
  <c r="X37" i="12"/>
  <c r="X34" i="12"/>
  <c r="X142" i="12"/>
  <c r="X70" i="12"/>
  <c r="B69" i="12"/>
  <c r="B56" i="12"/>
  <c r="B35" i="12"/>
  <c r="B49" i="12"/>
  <c r="B146" i="12"/>
  <c r="B88" i="12"/>
  <c r="X6" i="12"/>
  <c r="B109" i="12"/>
  <c r="X107" i="12"/>
  <c r="X125" i="12"/>
  <c r="B117" i="12"/>
  <c r="B119" i="12"/>
  <c r="X158" i="12"/>
  <c r="X71" i="12"/>
  <c r="B114" i="12"/>
  <c r="B226" i="12"/>
  <c r="B197" i="12"/>
  <c r="B95" i="12"/>
  <c r="B41" i="12"/>
  <c r="B199" i="12"/>
  <c r="B142" i="12"/>
  <c r="B24" i="12"/>
  <c r="X60" i="12"/>
  <c r="X22" i="12"/>
  <c r="X94" i="12"/>
  <c r="X8" i="12"/>
  <c r="B131" i="12"/>
  <c r="B55" i="12"/>
  <c r="X134" i="12"/>
  <c r="B73" i="12"/>
  <c r="B82" i="12"/>
  <c r="B113" i="12"/>
  <c r="B61" i="12"/>
  <c r="X149" i="12"/>
  <c r="X59" i="12"/>
  <c r="X152" i="12"/>
  <c r="X49" i="12"/>
  <c r="B98" i="12"/>
  <c r="X218" i="12"/>
  <c r="X76" i="12"/>
  <c r="B96" i="12"/>
  <c r="B198" i="12"/>
  <c r="B161" i="12"/>
  <c r="B100" i="12"/>
  <c r="X124" i="12"/>
  <c r="B112" i="12"/>
</calcChain>
</file>

<file path=xl/sharedStrings.xml><?xml version="1.0" encoding="utf-8"?>
<sst xmlns="http://schemas.openxmlformats.org/spreadsheetml/2006/main" count="1677" uniqueCount="1050">
  <si>
    <t>วันที่เข้าพัก</t>
  </si>
  <si>
    <t>เวลาที่เข้าพัก</t>
  </si>
  <si>
    <t>ห้องพักเลขที่</t>
  </si>
  <si>
    <t>คำนำหน้าชื่อ</t>
  </si>
  <si>
    <t>ชื่อ</t>
  </si>
  <si>
    <t>ชื่อกลาง</t>
  </si>
  <si>
    <t>นามสกุล</t>
  </si>
  <si>
    <t>คำนำหน้าชื่อ(ภาษาอังกฤษ)</t>
  </si>
  <si>
    <t>ชื่อ(ภาษาอังกฤษ)</t>
  </si>
  <si>
    <t>ชื่อกลาง(ภาษาอังกฤษ)</t>
  </si>
  <si>
    <t>นามสกุล(ภาษาอังกฤษ)</t>
  </si>
  <si>
    <t>สัญชาติ</t>
  </si>
  <si>
    <t>เลขประจำตัวประชาชน 
เลขที่..... ออกให้โดย......</t>
  </si>
  <si>
    <t>ใบสำคัญประจำตัวคนต่างด้าวหรือหนังสือเดินทาง 
เลขที่..... ออกให้โดย......</t>
  </si>
  <si>
    <t>ที่อยู่ปัจจุบัน 
อยู่ที่ ตำบลอำเภอ จังหวัด หรือประเทศ</t>
  </si>
  <si>
    <t>ประเทศที่อยู่ปัจจุบัน</t>
  </si>
  <si>
    <t>อาชีพ</t>
  </si>
  <si>
    <t>มาจากตำบล
อำเภอจังหวัด
หรือประเทศ</t>
  </si>
  <si>
    <t>มาจากประเทศ</t>
  </si>
  <si>
    <t>จะไปที่
อำเภอจังหวัด
หรือประเทศใด</t>
  </si>
  <si>
    <t>จะไปประเทศ</t>
  </si>
  <si>
    <t>วันที่จะออก</t>
  </si>
  <si>
    <t>เวลาที่จะออก</t>
  </si>
  <si>
    <t>สถานะข้อมูล</t>
  </si>
  <si>
    <t>หมายเหตุ</t>
  </si>
  <si>
    <t>Phang-nga</t>
  </si>
  <si>
    <t>Phuket</t>
  </si>
  <si>
    <t>ดัตช์</t>
  </si>
  <si>
    <t>ยูโกสลาฟ</t>
  </si>
  <si>
    <t>วาติกัน</t>
  </si>
  <si>
    <t>มอลตา</t>
  </si>
  <si>
    <t>ลีซู</t>
  </si>
  <si>
    <t>บัลแกเรีย</t>
  </si>
  <si>
    <t>ไซปรัส</t>
  </si>
  <si>
    <t>อาข่า</t>
  </si>
  <si>
    <t>ลั๊ว</t>
  </si>
  <si>
    <t>เปอร์โตริโก</t>
  </si>
  <si>
    <t>จีน</t>
  </si>
  <si>
    <t>เนปาล</t>
  </si>
  <si>
    <t>ถูกถอนสัญชาติ</t>
  </si>
  <si>
    <t>คูเวต</t>
  </si>
  <si>
    <t>กะเหรี่ยง</t>
  </si>
  <si>
    <t>ลาหู่</t>
  </si>
  <si>
    <t>เอธิโอเปีย</t>
  </si>
  <si>
    <t>กินี</t>
  </si>
  <si>
    <t>ปาปัวนิวกินี</t>
  </si>
  <si>
    <t>ม้ง</t>
  </si>
  <si>
    <t>เมี่ยน</t>
  </si>
  <si>
    <t>ผู้อพยพเชื้อสายจากกัมพูชา</t>
  </si>
  <si>
    <t>เขมรอพยพ</t>
  </si>
  <si>
    <t>ไร้สัญชาติ</t>
  </si>
  <si>
    <t>อื่นๆ</t>
  </si>
  <si>
    <t>ไม่ได้สัญชาติไทย</t>
  </si>
  <si>
    <t>อัฟกัน</t>
  </si>
  <si>
    <t>บาห์เรน</t>
  </si>
  <si>
    <t>ภูฏาน</t>
  </si>
  <si>
    <t>จอร์แดน</t>
  </si>
  <si>
    <t>เกาหลีเหนือ</t>
  </si>
  <si>
    <t>มัลดีฟ</t>
  </si>
  <si>
    <t>มองโกเลีย</t>
  </si>
  <si>
    <t>โอมาน</t>
  </si>
  <si>
    <t>กาตาร์</t>
  </si>
  <si>
    <t>เยเมน</t>
  </si>
  <si>
    <t>ฟิจิ</t>
  </si>
  <si>
    <t>คิริบาส</t>
  </si>
  <si>
    <t>นาอูรู</t>
  </si>
  <si>
    <t>หมู่เกาะโซโลมอน</t>
  </si>
  <si>
    <t>ตองก้า</t>
  </si>
  <si>
    <t>ตูวาลู</t>
  </si>
  <si>
    <t>วานูอาตู</t>
  </si>
  <si>
    <t>ซามัว</t>
  </si>
  <si>
    <t>แอลเบเนีย</t>
  </si>
  <si>
    <t>อันดอร์รา</t>
  </si>
  <si>
    <t>ลิกเตนสไตน์</t>
  </si>
  <si>
    <t>โมนาโก</t>
  </si>
  <si>
    <t>ซานมารีโน</t>
  </si>
  <si>
    <t>บริติช</t>
  </si>
  <si>
    <t>แอลจีเรีย</t>
  </si>
  <si>
    <t>แองโกลา</t>
  </si>
  <si>
    <t>เบนิน</t>
  </si>
  <si>
    <t>บอตสวานา</t>
  </si>
  <si>
    <t>บูร์กินาฟาโซ</t>
  </si>
  <si>
    <t>บุรุนดี</t>
  </si>
  <si>
    <t>แคเมอรูน</t>
  </si>
  <si>
    <t>เคปเวิร์ด</t>
  </si>
  <si>
    <t>แอฟริกากลาง</t>
  </si>
  <si>
    <t>ชาด</t>
  </si>
  <si>
    <t>คอโมโรส</t>
  </si>
  <si>
    <t>คองโก</t>
  </si>
  <si>
    <t>ไอโวเรี่ยน</t>
  </si>
  <si>
    <t>จิบูตี</t>
  </si>
  <si>
    <t>อิเควทอเรียลกินี</t>
  </si>
  <si>
    <t>กาบอง</t>
  </si>
  <si>
    <t>แกมเบีย</t>
  </si>
  <si>
    <t>กานา</t>
  </si>
  <si>
    <t>กินีบีสเซา</t>
  </si>
  <si>
    <t>เลโซโท</t>
  </si>
  <si>
    <t>ไลบีเรีย</t>
  </si>
  <si>
    <t>ลิเบีย</t>
  </si>
  <si>
    <t>มาลากาซี</t>
  </si>
  <si>
    <t>มาลาวี</t>
  </si>
  <si>
    <t>มาลี</t>
  </si>
  <si>
    <t>มอริเตเนีย</t>
  </si>
  <si>
    <t>มอริเชียส</t>
  </si>
  <si>
    <t>โมร็อกโก</t>
  </si>
  <si>
    <t>โมซัมบิก</t>
  </si>
  <si>
    <t>ไนเจอร์</t>
  </si>
  <si>
    <t>รวันดา</t>
  </si>
  <si>
    <t>เซาโตเมและปรินซิเป</t>
  </si>
  <si>
    <t>เซเนกัล</t>
  </si>
  <si>
    <t>เซเชลส์</t>
  </si>
  <si>
    <t>เซียร์ราลีโอน</t>
  </si>
  <si>
    <t>โซมาลี</t>
  </si>
  <si>
    <t>ซูดาน</t>
  </si>
  <si>
    <t>สวาซี</t>
  </si>
  <si>
    <t>แทนซาเนีย</t>
  </si>
  <si>
    <t>โตโก</t>
  </si>
  <si>
    <t>ตูนิเซีย</t>
  </si>
  <si>
    <t>ยูกันดา</t>
  </si>
  <si>
    <t>ซาอีร์</t>
  </si>
  <si>
    <t>แซมเบีย</t>
  </si>
  <si>
    <t>ซิมบับเว</t>
  </si>
  <si>
    <t>แอนติกาและบาร์บูดา</t>
  </si>
  <si>
    <t>บาฮามาส</t>
  </si>
  <si>
    <t>บาร์เบโดส</t>
  </si>
  <si>
    <t>เบลิซ</t>
  </si>
  <si>
    <t>คอสตาริกา</t>
  </si>
  <si>
    <t>โดมินิกา</t>
  </si>
  <si>
    <t>โดมินิกัน</t>
  </si>
  <si>
    <t>เอลซัลวาดอร์</t>
  </si>
  <si>
    <t>เกรเนดา</t>
  </si>
  <si>
    <t>กัวเตมาลา</t>
  </si>
  <si>
    <t>เฮติ</t>
  </si>
  <si>
    <t>ฮอนดูรัส</t>
  </si>
  <si>
    <t>จาเมกา</t>
  </si>
  <si>
    <t>นิการากัว</t>
  </si>
  <si>
    <t>เซนต์คิตส์และเนวิส</t>
  </si>
  <si>
    <t>เซนต์ลูเซีย</t>
  </si>
  <si>
    <t>เซนต์วินเซนต์และเกรนาดีนส์</t>
  </si>
  <si>
    <t>ตรินิแดดและโตเบโก</t>
  </si>
  <si>
    <t>โบลีเวีย</t>
  </si>
  <si>
    <t>เอกวาดอร์</t>
  </si>
  <si>
    <t>กายอานา</t>
  </si>
  <si>
    <t>ปารากวัย</t>
  </si>
  <si>
    <t>ซูรินาเม</t>
  </si>
  <si>
    <t>อาหรับ</t>
  </si>
  <si>
    <t>คะฉิ่น</t>
  </si>
  <si>
    <t>ว้า</t>
  </si>
  <si>
    <t>ไทยใหญ่</t>
  </si>
  <si>
    <t>ไทยลื้อ</t>
  </si>
  <si>
    <t>ขมุ</t>
  </si>
  <si>
    <t>ตองสู</t>
  </si>
  <si>
    <t>ละว้า</t>
  </si>
  <si>
    <t>ปะหร่อง</t>
  </si>
  <si>
    <t>ถิ่น</t>
  </si>
  <si>
    <t>ปะโอ</t>
  </si>
  <si>
    <t>มอญ</t>
  </si>
  <si>
    <t>มลาบรี</t>
  </si>
  <si>
    <t>จีน(ฮ่องกง)</t>
  </si>
  <si>
    <t>จีน(ไต้หวัน)</t>
  </si>
  <si>
    <t>โครเอเชีย</t>
  </si>
  <si>
    <t>อาร์เมเนีย</t>
  </si>
  <si>
    <t>อาเซอร์ไบจาน</t>
  </si>
  <si>
    <t>จอร์เจีย</t>
  </si>
  <si>
    <t>คีร์กีซ</t>
  </si>
  <si>
    <t>ทาจิก</t>
  </si>
  <si>
    <t>อุซเบก</t>
  </si>
  <si>
    <t>หมู่เกาะมาร์แชลล์</t>
  </si>
  <si>
    <t>ไมโครนีเซีย</t>
  </si>
  <si>
    <t>ปาเลา</t>
  </si>
  <si>
    <t>บอสเนียและเฮอร์เซโกวีนา</t>
  </si>
  <si>
    <t>เติร์กเมน</t>
  </si>
  <si>
    <t>เอสโตเนีย</t>
  </si>
  <si>
    <t>ลัตเวีย</t>
  </si>
  <si>
    <t>ลิทัวเนีย</t>
  </si>
  <si>
    <t>มาซิโดเนีย</t>
  </si>
  <si>
    <t>มอลโดวา</t>
  </si>
  <si>
    <t>สโลวัก</t>
  </si>
  <si>
    <t>สโลวีน</t>
  </si>
  <si>
    <t>เอริเทรีย</t>
  </si>
  <si>
    <t>นามิเบีย</t>
  </si>
  <si>
    <t>โบลิเวีย</t>
  </si>
  <si>
    <t>หมู่เกาะคุก</t>
  </si>
  <si>
    <t>มอญ(ผู้พลัดถิ่นสัญชาติพม่า)</t>
  </si>
  <si>
    <t>ไทยใหญ่(ผู้พลัดถิ่นสัญชาติพม่า</t>
  </si>
  <si>
    <t>เวียดนาม(ญวนอพยพ)</t>
  </si>
  <si>
    <t>กะเหรี่ยง(ผู้หลบหนีเข้าเมือง)</t>
  </si>
  <si>
    <t>มอญ(ผู้หลบหนีเข้าเมือง)</t>
  </si>
  <si>
    <t>ไทยใหญ่(ผู้หลบหนีเข้าเมือง)</t>
  </si>
  <si>
    <t>กัมพูชา(ผู้หลบหนีเข้าเมือง)</t>
  </si>
  <si>
    <t>มอญ(ชุมชนบนพื้นที่สูง)</t>
  </si>
  <si>
    <t>กะเหรี่ยง(ชุมชนบนพื้นที่สูง)</t>
  </si>
  <si>
    <t>ปาเลสไตน์</t>
  </si>
  <si>
    <t>สละสัญชาติไทย</t>
  </si>
  <si>
    <t>เซอร์เบีย</t>
  </si>
  <si>
    <t>มอนเตเนโกร</t>
  </si>
  <si>
    <t>กัมพูชา(แรงงาน)</t>
  </si>
  <si>
    <t>เมียนมา(แรงงาน)</t>
  </si>
  <si>
    <t>ลาว(แรงงาน)</t>
  </si>
  <si>
    <t>เซอร์เบียน</t>
  </si>
  <si>
    <t>มอนเตเนกริน</t>
  </si>
  <si>
    <t>บุคคลที่ไม่มีสถานะทางทะเบียน</t>
  </si>
  <si>
    <t>:</t>
  </si>
  <si>
    <t>Argentina</t>
  </si>
  <si>
    <t>Armenia</t>
  </si>
  <si>
    <t>Australia</t>
  </si>
  <si>
    <t>Austria</t>
  </si>
  <si>
    <t>Azerbaijan</t>
  </si>
  <si>
    <t>Belarus</t>
  </si>
  <si>
    <t>Belgium</t>
  </si>
  <si>
    <t>Brazil</t>
  </si>
  <si>
    <t>Bulgaria</t>
  </si>
  <si>
    <t>Canada</t>
  </si>
  <si>
    <t>China</t>
  </si>
  <si>
    <t>Cyprus</t>
  </si>
  <si>
    <t>Denmark</t>
  </si>
  <si>
    <t>Egypt</t>
  </si>
  <si>
    <t>El Salvador</t>
  </si>
  <si>
    <t>Estonia</t>
  </si>
  <si>
    <t>Ethiopia</t>
  </si>
  <si>
    <t>Fiji</t>
  </si>
  <si>
    <t>Finland</t>
  </si>
  <si>
    <t>France</t>
  </si>
  <si>
    <t>Georgia</t>
  </si>
  <si>
    <t>Germany</t>
  </si>
  <si>
    <t>Greece</t>
  </si>
  <si>
    <t>Hong Kong</t>
  </si>
  <si>
    <t>Hungary</t>
  </si>
  <si>
    <t>India</t>
  </si>
  <si>
    <t>Indonesia</t>
  </si>
  <si>
    <t>Ireland</t>
  </si>
  <si>
    <t>Israel</t>
  </si>
  <si>
    <t>Italy</t>
  </si>
  <si>
    <t>Japan</t>
  </si>
  <si>
    <t>Kazakhstan</t>
  </si>
  <si>
    <t>Lebanon</t>
  </si>
  <si>
    <t>Lithuania</t>
  </si>
  <si>
    <t>Luxembourg</t>
  </si>
  <si>
    <t>Malaysia</t>
  </si>
  <si>
    <t>Mauritius</t>
  </si>
  <si>
    <t>Mongolia</t>
  </si>
  <si>
    <t>Myanmar</t>
  </si>
  <si>
    <t>Nepal</t>
  </si>
  <si>
    <t>Netherlands</t>
  </si>
  <si>
    <t>New Zealand</t>
  </si>
  <si>
    <t>Norway</t>
  </si>
  <si>
    <t>Philippines</t>
  </si>
  <si>
    <t>Poland</t>
  </si>
  <si>
    <t>Portugal</t>
  </si>
  <si>
    <t>Romania</t>
  </si>
  <si>
    <t>Russia</t>
  </si>
  <si>
    <t>Saudi Arabia</t>
  </si>
  <si>
    <t>Serbia</t>
  </si>
  <si>
    <t>Singapore</t>
  </si>
  <si>
    <t>Slovakia</t>
  </si>
  <si>
    <t>South Africa</t>
  </si>
  <si>
    <t>South Sudan</t>
  </si>
  <si>
    <t>Spain</t>
  </si>
  <si>
    <t>Sri Lanka</t>
  </si>
  <si>
    <t>Sweden</t>
  </si>
  <si>
    <t>Switzerland</t>
  </si>
  <si>
    <t>Syria</t>
  </si>
  <si>
    <t>Thailand</t>
  </si>
  <si>
    <t>Turkey</t>
  </si>
  <si>
    <t>Ukraine</t>
  </si>
  <si>
    <t>United States</t>
  </si>
  <si>
    <t>Uzbekistan</t>
  </si>
  <si>
    <t>M</t>
  </si>
  <si>
    <t>F</t>
  </si>
  <si>
    <t>Mr.</t>
  </si>
  <si>
    <t>Ms.</t>
  </si>
  <si>
    <t>United Kingdom</t>
  </si>
  <si>
    <t>South Korea</t>
  </si>
  <si>
    <t>Taiwan (Chinese Taipei)</t>
  </si>
  <si>
    <t>***ข้อมูลสำคัญที่จำเป็นต้องระบุได้แก่ เลขลำดับ, วันที่เข้าพัก, เวลาที่เข้าพัก, ห้องพักเลขที่, ชื่อ-นามสกุล ภาษาไทยหรือภาษาอังกฤษ (เลือกระบุอย่างใดอย่างหนึ่ง), เลขประจำตัวประชาชน หรือ เลขหนังสือเดินทาง (เลือกระบุอย่างใดอย่างหนึ่ง), ที่อยู่ปัจจุบัน อยู่ที่ ตำบลอำเภอ จังหวัด หรือประเทศ, ประเทศที่อยู่ปัจจุบัน, อาชีพ, มาจากตำบล อำเภอ จังหวัด หรือประเทศ, มาจากประเทศ, จะไปที่ อำเภอ จังหวัด หรือประเทศใด, จะไปประเทศ, วันที่จะออก, เวลาที่จะออก***
***กรุณาตรวจสอบรูปแบบข้อมูลและชนิดของข้อมูลให้ถูกต้อง รูปแบบและชนิดข้อมูลที่ไม่ถูกต้องอาจทำให้มีปัญหาในการนำเข้า ตัวอย่างเช่นรูปแบบวันที่จะต้องเป็น วว/ดด/ปปปป และชนิดของข้อมูลวันที่จะต้องเป็น Text หรือ General โดยสามารถทำให้ข้อมูลวันที่รูปแบบ วว/ดด/ปปปป จากชนิดข้อมูล Date เป็น Text ได้โดยการเติม ' (ฝนทอง) ที่ด้านหน้า เช่น '01/02/2568***</t>
  </si>
  <si>
    <t>ทะเบียนผู้เข้าพักในโรงแรม</t>
  </si>
  <si>
    <t>โรงแรมทดสอบ กรุงเทพฯ</t>
  </si>
  <si>
    <t>ร.ร.๔</t>
  </si>
  <si>
    <t>***กรุณาไม่ลบหรือแก้ไขข้อมูลแถวที่ 4 ที่ถูกซ่อนไว้ ณ ขณะนี้ (เพิ่มข้อมูลผู้เข้าพักตั้งแต่แถวที่ 5 เป็นต้นไป)***</t>
  </si>
  <si>
    <t>ประจำวันที่</t>
  </si>
  <si>
    <t>เลข
ลำดับ</t>
  </si>
  <si>
    <t>หนังสือเดินทางออกให้โดย</t>
  </si>
  <si>
    <t>rowNo</t>
  </si>
  <si>
    <t>dateCheckIn</t>
  </si>
  <si>
    <t>timeCheckIn</t>
  </si>
  <si>
    <t>roomNo</t>
  </si>
  <si>
    <t>titleNameTh</t>
  </si>
  <si>
    <t>nameTh</t>
  </si>
  <si>
    <t>middleNameTh</t>
  </si>
  <si>
    <t>surnameTh</t>
  </si>
  <si>
    <t>titleNameEn</t>
  </si>
  <si>
    <t>nameEn</t>
  </si>
  <si>
    <t>middleNameEn</t>
  </si>
  <si>
    <t>surnameEn</t>
  </si>
  <si>
    <t>nationality</t>
  </si>
  <si>
    <t>pid</t>
  </si>
  <si>
    <t>passport</t>
  </si>
  <si>
    <t>issuedBy</t>
  </si>
  <si>
    <t>address</t>
  </si>
  <si>
    <t>addressCountry</t>
  </si>
  <si>
    <t>occupation</t>
  </si>
  <si>
    <t>comeFrom</t>
  </si>
  <si>
    <t>comeFromCountry</t>
  </si>
  <si>
    <t>willGo</t>
  </si>
  <si>
    <t>willGoCountry</t>
  </si>
  <si>
    <t>dateCheckOut</t>
  </si>
  <si>
    <t>timeCheckOut</t>
  </si>
  <si>
    <t>dataStatus</t>
  </si>
  <si>
    <t>remarks</t>
  </si>
  <si>
    <t>15.00</t>
  </si>
  <si>
    <t>รหัสอาชีพ</t>
  </si>
  <si>
    <t>ชื่ออาชีพ</t>
  </si>
  <si>
    <t>กรรมกร</t>
  </si>
  <si>
    <t>กสิกรรม</t>
  </si>
  <si>
    <t>การตลาด</t>
  </si>
  <si>
    <t>กำนัน</t>
  </si>
  <si>
    <t>เกษตร</t>
  </si>
  <si>
    <t>เกษตรกรรม</t>
  </si>
  <si>
    <t>ข้าราชการการเมือง</t>
  </si>
  <si>
    <t>ข้าราชการครู</t>
  </si>
  <si>
    <t>ข้าราชการในสำนักพระราชวัง</t>
  </si>
  <si>
    <t>ข้าราชการบำนาญ</t>
  </si>
  <si>
    <t>ข้าราชการพลเรือน</t>
  </si>
  <si>
    <t>ข้าราชการส่วนท้องถิ่น</t>
  </si>
  <si>
    <t>เขียนแบบ/ออกแบบวิศวกรรม</t>
  </si>
  <si>
    <t>คนขับรถที่ใช้สัตว์ลากเทียม</t>
  </si>
  <si>
    <t>คนขับรถรับจ้าง</t>
  </si>
  <si>
    <t>คนขับเรือ</t>
  </si>
  <si>
    <t>คนซักรีด</t>
  </si>
  <si>
    <t>คนทำความสะอาด</t>
  </si>
  <si>
    <t>คนปรุงอาหาร</t>
  </si>
  <si>
    <t>คนรับใช้</t>
  </si>
  <si>
    <t>คนเลี้ยงเด็ก</t>
  </si>
  <si>
    <t>คลังสินค้า</t>
  </si>
  <si>
    <t>คอมพิวเตอร์/ไอที</t>
  </si>
  <si>
    <t>ค้าขาย</t>
  </si>
  <si>
    <t>ค้าปลีก</t>
  </si>
  <si>
    <t>ค้าส่ง</t>
  </si>
  <si>
    <t>โฆษณา</t>
  </si>
  <si>
    <t>จิตรกร</t>
  </si>
  <si>
    <t>เจ้าของกิจการ</t>
  </si>
  <si>
    <t>ช่างเคาะพ่นสีรถยนต์</t>
  </si>
  <si>
    <t>ช่างชุบโลหะ</t>
  </si>
  <si>
    <t>ช่างเชื่อมโลหะ</t>
  </si>
  <si>
    <t>ช่างซ่อมเครื่องไฟฟ้า</t>
  </si>
  <si>
    <t>ช่างซ่อมเครื่องยนต์</t>
  </si>
  <si>
    <t>ช่างซ่อมนาฬิกา</t>
  </si>
  <si>
    <t>ช่างซ่อมวิทยุ โทรทัศน์</t>
  </si>
  <si>
    <t>ช่างตัดผม</t>
  </si>
  <si>
    <t>ช่างตัดเย็บเสื้อผ้า</t>
  </si>
  <si>
    <t>ช่างถ่ายรูป</t>
  </si>
  <si>
    <t>ช่างทอ ปั่น จักสาน</t>
  </si>
  <si>
    <t>ช่างทอง</t>
  </si>
  <si>
    <t>ช่างทาสี</t>
  </si>
  <si>
    <t>ช่างเทคนิควิศวกรรม</t>
  </si>
  <si>
    <t>ช่างปูน</t>
  </si>
  <si>
    <t>ช่างพิมพ์</t>
  </si>
  <si>
    <t>ช่างเพชรพลอย</t>
  </si>
  <si>
    <t>ช่างเฟอร์นิเจอร์</t>
  </si>
  <si>
    <t>ช่างภาพ</t>
  </si>
  <si>
    <t>ช่างไม้</t>
  </si>
  <si>
    <t>ช่างเย็บหนัง</t>
  </si>
  <si>
    <t>ช่างล้างอัดรูป</t>
  </si>
  <si>
    <t>ช่างโลหะ</t>
  </si>
  <si>
    <t>ช่างศิลป์</t>
  </si>
  <si>
    <t>ช่างเสริมสวย</t>
  </si>
  <si>
    <t>ช่างหลอมโลหะ</t>
  </si>
  <si>
    <t>ช่างเหล็ก</t>
  </si>
  <si>
    <t>ช่างอีเลคโทรนิคส์</t>
  </si>
  <si>
    <t>ตัวแทนจำหน่าย</t>
  </si>
  <si>
    <t>ตำรวจ</t>
  </si>
  <si>
    <t>ทนายความ</t>
  </si>
  <si>
    <t>ทหารบก</t>
  </si>
  <si>
    <t>ทหารเรือ</t>
  </si>
  <si>
    <t>ทหารอากาศ</t>
  </si>
  <si>
    <t>ทันตแพทย์</t>
  </si>
  <si>
    <t>ทำนา</t>
  </si>
  <si>
    <t>ทำฟาร์ม</t>
  </si>
  <si>
    <t>ทำไร่</t>
  </si>
  <si>
    <t>ทำสวน</t>
  </si>
  <si>
    <t>นักการ-ภารโรง</t>
  </si>
  <si>
    <t>นักการทูต</t>
  </si>
  <si>
    <t>นักกีฬา</t>
  </si>
  <si>
    <t>นักข่าว</t>
  </si>
  <si>
    <t>นักดนตรี</t>
  </si>
  <si>
    <t>นักท่องเที่ยว</t>
  </si>
  <si>
    <t>นักธุรกิจ</t>
  </si>
  <si>
    <t>นักบัญชี</t>
  </si>
  <si>
    <t>นักประพันธ์</t>
  </si>
  <si>
    <t>นักร้อง</t>
  </si>
  <si>
    <t>นักวิจัย</t>
  </si>
  <si>
    <t>นักวิทยาศาสตร์</t>
  </si>
  <si>
    <t>นักเศรษฐศาสตร์</t>
  </si>
  <si>
    <t>นักสถิติ</t>
  </si>
  <si>
    <t>นักสังคมวิทยา</t>
  </si>
  <si>
    <t>นักสังคมสงเคราะห์</t>
  </si>
  <si>
    <t>นักสำรวจ</t>
  </si>
  <si>
    <t>นักแสดง</t>
  </si>
  <si>
    <t>นักหนังสือพิมพ์</t>
  </si>
  <si>
    <t>นางแบบ</t>
  </si>
  <si>
    <t>นายธนาคาร</t>
  </si>
  <si>
    <t>นายหน้า</t>
  </si>
  <si>
    <t>นำเข้า-ส่งออก</t>
  </si>
  <si>
    <t>บัญชี/การเงิน</t>
  </si>
  <si>
    <t>ประชาสัมพันธ์</t>
  </si>
  <si>
    <t>ประติมากร</t>
  </si>
  <si>
    <t>ประมง</t>
  </si>
  <si>
    <t>ผู้ช่วยผู้ใหญ่บ้าน</t>
  </si>
  <si>
    <t>ผู้บริหารรัฐวิสาหกิจ</t>
  </si>
  <si>
    <t>ผู้ปฎิบัติงานเกี่ยวกับการค้าอื่น ๆ</t>
  </si>
  <si>
    <t>ผู้ปฎิบัติงานด้านกสิกรรม เลี้ยงสัตว์อื่น</t>
  </si>
  <si>
    <t>ผู้ปฎิบัติงานด้านช่างอื่น ๆ</t>
  </si>
  <si>
    <t>ผู้ปฎิบัติงานด้านบริการอื่น ๆ</t>
  </si>
  <si>
    <t>ผู้ปฏิบัติงานทางเทคนิคการแพทย์</t>
  </si>
  <si>
    <t>ผู้ปฏิบัติงานที่ใช้วิชาการอื่น ๆ</t>
  </si>
  <si>
    <t>ผู้ปฏิบัติหน่วยงานของรัฐอื่น ๆ</t>
  </si>
  <si>
    <t>ผู้ปฏิบัติหน่วยงานรัฐวิสาหกิจอื่น ๆ</t>
  </si>
  <si>
    <t>ผู้ปฏิบัติหน่วยงานเอกชนอื่น ๆ</t>
  </si>
  <si>
    <t>ผู้พิพากษา</t>
  </si>
  <si>
    <t>ผู้รักษาความปลอดภัย</t>
  </si>
  <si>
    <t>ผู้สอนศาสนา</t>
  </si>
  <si>
    <t>ผู้ใหญ่บ้าน</t>
  </si>
  <si>
    <t>ฝ่ายบุคคล</t>
  </si>
  <si>
    <t>พนักงานขับรถเมล์</t>
  </si>
  <si>
    <t>พนักงานขาย</t>
  </si>
  <si>
    <t>พนักงานโฆษณา</t>
  </si>
  <si>
    <t>พนักงานที่ทำงานช่วยเหลือด้านการแพทย์</t>
  </si>
  <si>
    <t>พนักงานประจำสถานบริการ</t>
  </si>
  <si>
    <t>พนักงานประชาสัมพันธ์</t>
  </si>
  <si>
    <t>พนักงานรัฐวิสาหกิจ</t>
  </si>
  <si>
    <t>พนักงานราชการ</t>
  </si>
  <si>
    <t>พนักงานโรงแรม</t>
  </si>
  <si>
    <t>พนักงานส่วนท้องถิ่น</t>
  </si>
  <si>
    <t>พนักงานเสริฟ</t>
  </si>
  <si>
    <t>พนักงานหน่วยงานเอกชน</t>
  </si>
  <si>
    <t>พยาบาล</t>
  </si>
  <si>
    <t>แพทย์</t>
  </si>
  <si>
    <t>แพทย์/พยาบาล</t>
  </si>
  <si>
    <t>แพทย์ประจำตำบล</t>
  </si>
  <si>
    <t>เภสัชกร</t>
  </si>
  <si>
    <t>มัคคุเทศก์</t>
  </si>
  <si>
    <t>ไม่ได้ทำงาน</t>
  </si>
  <si>
    <t>รับจ้าง</t>
  </si>
  <si>
    <t>รับราชการ</t>
  </si>
  <si>
    <t>ล่าสัตว์</t>
  </si>
  <si>
    <t>ลูกจ้างชั่วคราว</t>
  </si>
  <si>
    <t>ลูกจ้างประจำ</t>
  </si>
  <si>
    <t>วิศวกร</t>
  </si>
  <si>
    <t>ศัลยแพทย์</t>
  </si>
  <si>
    <t>สถาปนิก</t>
  </si>
  <si>
    <t>สัตวแพทย์</t>
  </si>
  <si>
    <t>สารวัตรกำนัน</t>
  </si>
  <si>
    <t>เสมียน</t>
  </si>
  <si>
    <t>หมอดู</t>
  </si>
  <si>
    <t>หาบเร่</t>
  </si>
  <si>
    <t>อนุศาสนาจารย์</t>
  </si>
  <si>
    <t>อัยการ</t>
  </si>
  <si>
    <t>อาจารย์มหาวิทยาลัย</t>
  </si>
  <si>
    <t>อาจารย์โรงเรียน</t>
  </si>
  <si>
    <t>อื่น ๆ</t>
  </si>
  <si>
    <t>รหัสสัญชาติ</t>
  </si>
  <si>
    <t>ชื่อสัญชาติ (ไทย)</t>
  </si>
  <si>
    <t>ชื่อสัญชาติ (อังกฤษ)</t>
  </si>
  <si>
    <t>กรีก</t>
  </si>
  <si>
    <t>GREECE</t>
  </si>
  <si>
    <t>Karen</t>
  </si>
  <si>
    <t xml:space="preserve"> </t>
  </si>
  <si>
    <t>กัมพูชา</t>
  </si>
  <si>
    <t>Cambodian</t>
  </si>
  <si>
    <t>กัมพูชา (กลุ่มเชื้อสายไทย)</t>
  </si>
  <si>
    <t>-</t>
  </si>
  <si>
    <t>Combodian</t>
  </si>
  <si>
    <t>GUATEMALA</t>
  </si>
  <si>
    <t>QATAR</t>
  </si>
  <si>
    <t>GHANA</t>
  </si>
  <si>
    <t>GABON</t>
  </si>
  <si>
    <t>กาบูเวร์ดี</t>
  </si>
  <si>
    <t>Cabo Verde</t>
  </si>
  <si>
    <t>GUYANA</t>
  </si>
  <si>
    <t>GUINEA</t>
  </si>
  <si>
    <t>GUINEA BISSAU</t>
  </si>
  <si>
    <t>GRENADA</t>
  </si>
  <si>
    <t>เกาหลีใต้</t>
  </si>
  <si>
    <t>THE REPUBLIC OF KOREA</t>
  </si>
  <si>
    <t>THE DEMOCRATIC OF KOREA</t>
  </si>
  <si>
    <t>GAMBIA</t>
  </si>
  <si>
    <t>KHAMU</t>
  </si>
  <si>
    <t>CONGO</t>
  </si>
  <si>
    <t>คอซอวอ</t>
  </si>
  <si>
    <t>KOSOVO</t>
  </si>
  <si>
    <t>COMOROS</t>
  </si>
  <si>
    <t>COSTA RICA</t>
  </si>
  <si>
    <t>Kachin</t>
  </si>
  <si>
    <t>คาซัค</t>
  </si>
  <si>
    <t>KAZAKH</t>
  </si>
  <si>
    <t>KIRIBATI</t>
  </si>
  <si>
    <t>คิวบา</t>
  </si>
  <si>
    <t>CUBA</t>
  </si>
  <si>
    <t>KYRGYZ</t>
  </si>
  <si>
    <t>KUWAIT</t>
  </si>
  <si>
    <t>เคนยา</t>
  </si>
  <si>
    <t>KENYA</t>
  </si>
  <si>
    <t>CAPE VERDE</t>
  </si>
  <si>
    <t>แคนาดา</t>
  </si>
  <si>
    <t>CANADIAN</t>
  </si>
  <si>
    <t>CAMEROON</t>
  </si>
  <si>
    <t>CROATIA</t>
  </si>
  <si>
    <t>โคลัมเบีย</t>
  </si>
  <si>
    <t>COLOMBIA</t>
  </si>
  <si>
    <t>GEORGIAN</t>
  </si>
  <si>
    <t>JORDAN</t>
  </si>
  <si>
    <t>JAMAICA</t>
  </si>
  <si>
    <t>DJIBOUTI</t>
  </si>
  <si>
    <t>CHINESE</t>
  </si>
  <si>
    <t>จีน (จีนฮ่ออพยพ)</t>
  </si>
  <si>
    <t>จีน (จีนฮ่ออิสระ)</t>
  </si>
  <si>
    <t>จีน (อดีต ทจช.)</t>
  </si>
  <si>
    <t>CHINA (TAIWAN)</t>
  </si>
  <si>
    <t>จีน(อดีต จคม.)</t>
  </si>
  <si>
    <t>HONGKONG</t>
  </si>
  <si>
    <t>จีนฮ่อ</t>
  </si>
  <si>
    <t>Haw</t>
  </si>
  <si>
    <t>CHAD</t>
  </si>
  <si>
    <t>ชิลี</t>
  </si>
  <si>
    <t>CHILE</t>
  </si>
  <si>
    <t>เช็ก</t>
  </si>
  <si>
    <t>CZECH</t>
  </si>
  <si>
    <t>SAN MARINO</t>
  </si>
  <si>
    <t>SAMOAN</t>
  </si>
  <si>
    <t>ZAIRE</t>
  </si>
  <si>
    <t>ซาอุดีอาระเบีย</t>
  </si>
  <si>
    <t>SAUDI ARABIAN</t>
  </si>
  <si>
    <t>ZIMBABWE</t>
  </si>
  <si>
    <t>ซีเรีย</t>
  </si>
  <si>
    <t>SYRIA</t>
  </si>
  <si>
    <t>SUDAN</t>
  </si>
  <si>
    <t>SURINAME</t>
  </si>
  <si>
    <t>SEYCHELLES</t>
  </si>
  <si>
    <t>SAINT KITTS AND NEVIS</t>
  </si>
  <si>
    <t>SAINT LUCIA</t>
  </si>
  <si>
    <t>SAINT VINCENT AND THE</t>
  </si>
  <si>
    <t>SENEGAL</t>
  </si>
  <si>
    <t>เซอร์เบีย แอนด์ มอนเตเนโกร</t>
  </si>
  <si>
    <t>SERBIA AND MONTENEGRO</t>
  </si>
  <si>
    <t>SERBIAN</t>
  </si>
  <si>
    <t>SAO TOME AND PRINCIPE</t>
  </si>
  <si>
    <t>เซาท์ซูดาน</t>
  </si>
  <si>
    <t>SIERRA LEONE</t>
  </si>
  <si>
    <t>ZAMBIA</t>
  </si>
  <si>
    <t>SOMALI</t>
  </si>
  <si>
    <t>CYPRUS</t>
  </si>
  <si>
    <t>ญี่ปุ่น</t>
  </si>
  <si>
    <t>JAPAN</t>
  </si>
  <si>
    <t>DUTCH</t>
  </si>
  <si>
    <t>เดนมาร์ก</t>
  </si>
  <si>
    <t>DANNISH</t>
  </si>
  <si>
    <t>DOMINICAN</t>
  </si>
  <si>
    <t>DOMINICA</t>
  </si>
  <si>
    <t>TRINIDAD AND TOBAGO</t>
  </si>
  <si>
    <t>TONGA</t>
  </si>
  <si>
    <t>TONGSU</t>
  </si>
  <si>
    <t>ติมอร์-เลสเต</t>
  </si>
  <si>
    <t>TIMOR - LESTE</t>
  </si>
  <si>
    <t>ตุรกี</t>
  </si>
  <si>
    <t>TURKEY</t>
  </si>
  <si>
    <t>TUNISIAN</t>
  </si>
  <si>
    <t>TUVALU</t>
  </si>
  <si>
    <t>TURKMEN</t>
  </si>
  <si>
    <t>TOGO</t>
  </si>
  <si>
    <t>Htin</t>
  </si>
  <si>
    <t>TAJIK</t>
  </si>
  <si>
    <t>TANZANIA</t>
  </si>
  <si>
    <t>ไทย</t>
  </si>
  <si>
    <t>THAI</t>
  </si>
  <si>
    <t>THAILUE</t>
  </si>
  <si>
    <t>ไทยลื้อ (กลุ่มเชื้อสายไทย)</t>
  </si>
  <si>
    <t>Shan</t>
  </si>
  <si>
    <t>นอร์เวย์</t>
  </si>
  <si>
    <t>NORWAY</t>
  </si>
  <si>
    <t>NAMIBIAN</t>
  </si>
  <si>
    <t>NAURU</t>
  </si>
  <si>
    <t>NICARAGUA</t>
  </si>
  <si>
    <t>นิวซีแลนด์</t>
  </si>
  <si>
    <t>NEW ZEALAND</t>
  </si>
  <si>
    <t>NEPAL</t>
  </si>
  <si>
    <t>เนปาล (เนปาลอพยพ)</t>
  </si>
  <si>
    <t>ไนจีเรีย</t>
  </si>
  <si>
    <t>NIGERIA</t>
  </si>
  <si>
    <t>NIGER</t>
  </si>
  <si>
    <t>บราซิล</t>
  </si>
  <si>
    <t>BRAZIL</t>
  </si>
  <si>
    <t>British</t>
  </si>
  <si>
    <t>บรูไน</t>
  </si>
  <si>
    <t>BRUNEI</t>
  </si>
  <si>
    <t>BOTSWANA</t>
  </si>
  <si>
    <t>REPBLIC OF BOSNIA HERAEGO</t>
  </si>
  <si>
    <t>บังกลาเทศ</t>
  </si>
  <si>
    <t>BANGLADESH</t>
  </si>
  <si>
    <t>BULGARIA</t>
  </si>
  <si>
    <t>BARBADOS</t>
  </si>
  <si>
    <t>BAHRAINI</t>
  </si>
  <si>
    <t>BAHAMAS</t>
  </si>
  <si>
    <t>BURUNDI</t>
  </si>
  <si>
    <t>BURKINA FASO</t>
  </si>
  <si>
    <t>BENIN</t>
  </si>
  <si>
    <t>เบลเยียม</t>
  </si>
  <si>
    <t>BELGIAN</t>
  </si>
  <si>
    <t>เบลารุส</t>
  </si>
  <si>
    <t>BELARUSIAN</t>
  </si>
  <si>
    <t>BELIZE</t>
  </si>
  <si>
    <t>BOLIVIAN</t>
  </si>
  <si>
    <t>BOLIVIA</t>
  </si>
  <si>
    <t>PALONG</t>
  </si>
  <si>
    <t>PAO</t>
  </si>
  <si>
    <t>ปากีสถาน</t>
  </si>
  <si>
    <t>PAKISTAN</t>
  </si>
  <si>
    <t>ปานามา</t>
  </si>
  <si>
    <t>PANAMA</t>
  </si>
  <si>
    <t>PAPUA NEW GUINEA</t>
  </si>
  <si>
    <t>PARAGUAY</t>
  </si>
  <si>
    <t>PALESTINE</t>
  </si>
  <si>
    <t>PALAU</t>
  </si>
  <si>
    <t>เปรู</t>
  </si>
  <si>
    <t>PERU</t>
  </si>
  <si>
    <t>โปรตุเกส</t>
  </si>
  <si>
    <t>PORTUGUESE</t>
  </si>
  <si>
    <t>โปแลนด์</t>
  </si>
  <si>
    <t>POLAND</t>
  </si>
  <si>
    <t>ผู้พลัดถิ่นสัญชาติพม่า</t>
  </si>
  <si>
    <t>ฝรั่งเศส</t>
  </si>
  <si>
    <t>FRANCE</t>
  </si>
  <si>
    <t>FIJI</t>
  </si>
  <si>
    <t>ฟินแลนด์</t>
  </si>
  <si>
    <t>FINLAND</t>
  </si>
  <si>
    <t>ฟิลิปปิน</t>
  </si>
  <si>
    <t>PHILIPPINE</t>
  </si>
  <si>
    <t>BAHRAIN</t>
  </si>
  <si>
    <t>Hmong</t>
  </si>
  <si>
    <t>Mlabri</t>
  </si>
  <si>
    <t>MONGOLIA</t>
  </si>
  <si>
    <t>Mon</t>
  </si>
  <si>
    <t>MONTENEGRIN</t>
  </si>
  <si>
    <t>MAURITIUS</t>
  </si>
  <si>
    <t>MAURITANTA</t>
  </si>
  <si>
    <t>MOLDOVAN</t>
  </si>
  <si>
    <t>MALTESE</t>
  </si>
  <si>
    <t>MALDIVIAN</t>
  </si>
  <si>
    <t>MACEDONIA</t>
  </si>
  <si>
    <t>MALAGASY</t>
  </si>
  <si>
    <t>MALAWIAN</t>
  </si>
  <si>
    <t>MALI</t>
  </si>
  <si>
    <t>มาเลเชีย(อดีต จคม.)</t>
  </si>
  <si>
    <t>มาเลเซีย</t>
  </si>
  <si>
    <t>MALAYSIAN</t>
  </si>
  <si>
    <t>เม็กซิกัน</t>
  </si>
  <si>
    <t>MEXICAN</t>
  </si>
  <si>
    <t>Mien</t>
  </si>
  <si>
    <t>เมียนมา</t>
  </si>
  <si>
    <t>เมียนมา (กลุ่มเชื้อสายไทย)</t>
  </si>
  <si>
    <t>MOZAMBIQUE</t>
  </si>
  <si>
    <t>MONACO</t>
  </si>
  <si>
    <t>MOROCCAN</t>
  </si>
  <si>
    <t>MICRONESIA</t>
  </si>
  <si>
    <t>Non-Thai</t>
  </si>
  <si>
    <t>UGANDA</t>
  </si>
  <si>
    <t>YUGOSLAV</t>
  </si>
  <si>
    <t>ยูเครน</t>
  </si>
  <si>
    <t>UKRAINE</t>
  </si>
  <si>
    <t>YEMEN</t>
  </si>
  <si>
    <t>เยอรมัน</t>
  </si>
  <si>
    <t>GERMAN</t>
  </si>
  <si>
    <t>RWANDA</t>
  </si>
  <si>
    <t>รัสเซีย</t>
  </si>
  <si>
    <t>THE RUSSIAN FEDERATION</t>
  </si>
  <si>
    <t>โรมาเนีย</t>
  </si>
  <si>
    <t>ROMANIAN</t>
  </si>
  <si>
    <t>Stateless</t>
  </si>
  <si>
    <t>LAWA</t>
  </si>
  <si>
    <t>ลักเซมเบิร์ก</t>
  </si>
  <si>
    <t>LUXEMBOURGE</t>
  </si>
  <si>
    <t>LATVIAN</t>
  </si>
  <si>
    <t>Lua</t>
  </si>
  <si>
    <t>ลาว</t>
  </si>
  <si>
    <t>LAO</t>
  </si>
  <si>
    <t>ลาว (กลุ่มเชื้อสายไทย)</t>
  </si>
  <si>
    <t>ลาว (ลาวอพยพ)</t>
  </si>
  <si>
    <t>Lahu</t>
  </si>
  <si>
    <t>LIECHTENSTEIN</t>
  </si>
  <si>
    <t>LITHUANIAN</t>
  </si>
  <si>
    <t>Libya</t>
  </si>
  <si>
    <t>Lisu</t>
  </si>
  <si>
    <t>LESOTHO</t>
  </si>
  <si>
    <t>เลบานอน</t>
  </si>
  <si>
    <t>LEBANON</t>
  </si>
  <si>
    <t>LIBERIA</t>
  </si>
  <si>
    <t>Wa</t>
  </si>
  <si>
    <t>VATIGAN</t>
  </si>
  <si>
    <t>VANUATU</t>
  </si>
  <si>
    <t>เวเนซุเอลา</t>
  </si>
  <si>
    <t>VENEZUELA</t>
  </si>
  <si>
    <t>เวียดนาม</t>
  </si>
  <si>
    <t>VIETNAMESE</t>
  </si>
  <si>
    <t>ศรีลังกา</t>
  </si>
  <si>
    <t>SRI LANKA</t>
  </si>
  <si>
    <t>สเปน</t>
  </si>
  <si>
    <t>SPAIN</t>
  </si>
  <si>
    <t>THE RENUNCIATION OF THAI NATIO</t>
  </si>
  <si>
    <t>SLOVAK</t>
  </si>
  <si>
    <t>SLOVENE</t>
  </si>
  <si>
    <t>SWAZI</t>
  </si>
  <si>
    <t>สวิส</t>
  </si>
  <si>
    <t>Swiss</t>
  </si>
  <si>
    <t>สวีเดน</t>
  </si>
  <si>
    <t>SWEDEN</t>
  </si>
  <si>
    <t>สหรัฐอาหรับเอมิเรตส์</t>
  </si>
  <si>
    <t>UNITED ARAB EMIRATE</t>
  </si>
  <si>
    <t>สิงคโปร์</t>
  </si>
  <si>
    <t>SINGAPORE</t>
  </si>
  <si>
    <t>สิงคโปร์(อดีต จคม.)</t>
  </si>
  <si>
    <t>COOK ISLANDS</t>
  </si>
  <si>
    <t>SOLOMON ISLANDS</t>
  </si>
  <si>
    <t>THE MARSHALL ISLANDS</t>
  </si>
  <si>
    <t>อเมริกัน</t>
  </si>
  <si>
    <t>AMERICAN</t>
  </si>
  <si>
    <t>ออสเตรเลีย</t>
  </si>
  <si>
    <t>AUSTRALIA</t>
  </si>
  <si>
    <t>ออสเตรีย</t>
  </si>
  <si>
    <t>AUSTRIA</t>
  </si>
  <si>
    <t>ANDORRA</t>
  </si>
  <si>
    <t>AFGHAN</t>
  </si>
  <si>
    <t>Akha</t>
  </si>
  <si>
    <t>AZERBAIJANI</t>
  </si>
  <si>
    <t>อาร์เจนตินา</t>
  </si>
  <si>
    <t>ARGENTINA</t>
  </si>
  <si>
    <t>ARMENIAN</t>
  </si>
  <si>
    <t>ARAB</t>
  </si>
  <si>
    <t>EQUATORIAL GUINEA</t>
  </si>
  <si>
    <t>อิตาลี</t>
  </si>
  <si>
    <t>ITALIAN</t>
  </si>
  <si>
    <t>อินเดีย</t>
  </si>
  <si>
    <t>INDIA</t>
  </si>
  <si>
    <t>อินโดนีเซีย</t>
  </si>
  <si>
    <t>INDONESIA</t>
  </si>
  <si>
    <t>อิรัก</t>
  </si>
  <si>
    <t>IRAQI</t>
  </si>
  <si>
    <t>อิสราเอล</t>
  </si>
  <si>
    <t>ISRAEL</t>
  </si>
  <si>
    <t>อิหร่าน</t>
  </si>
  <si>
    <t>IRAN</t>
  </si>
  <si>
    <t>อียิปต์</t>
  </si>
  <si>
    <t>EGYPT</t>
  </si>
  <si>
    <t>Other</t>
  </si>
  <si>
    <t>UZBEK</t>
  </si>
  <si>
    <t>อุรุกวัย</t>
  </si>
  <si>
    <t>URUGUAY</t>
  </si>
  <si>
    <t>ECUADOR</t>
  </si>
  <si>
    <t>ETHIOPIA</t>
  </si>
  <si>
    <t>ERITREAN</t>
  </si>
  <si>
    <t>EL,SALVADOR</t>
  </si>
  <si>
    <t>ESTONIAN</t>
  </si>
  <si>
    <t>ANGOLAN</t>
  </si>
  <si>
    <t>ANTIGUA AND BARBUDA</t>
  </si>
  <si>
    <t>CENTRAL AFRICAN REPUBLIC</t>
  </si>
  <si>
    <t>แอฟริกาใต้</t>
  </si>
  <si>
    <t>SOUTH AFRICAN</t>
  </si>
  <si>
    <t>ALGERIA</t>
  </si>
  <si>
    <t>ALBANIA</t>
  </si>
  <si>
    <t>OMAN</t>
  </si>
  <si>
    <t>ไอซ์แลนด์</t>
  </si>
  <si>
    <t>ICELAND</t>
  </si>
  <si>
    <t>ไอริช</t>
  </si>
  <si>
    <t>IRISH</t>
  </si>
  <si>
    <t>IVOIRIENNE</t>
  </si>
  <si>
    <t>HONDURAS</t>
  </si>
  <si>
    <t>ฮังการี</t>
  </si>
  <si>
    <t>HUNGARY</t>
  </si>
  <si>
    <t>HAITI</t>
  </si>
  <si>
    <t>ประเทศ</t>
  </si>
  <si>
    <t>รหัสประเทศ</t>
  </si>
  <si>
    <t>ชื่อประเทศ (ไทย)</t>
  </si>
  <si>
    <t>ชื่อประเทศ (อังกฤษ)</t>
  </si>
  <si>
    <t>กรีซ</t>
  </si>
  <si>
    <t>HELLENIC REPUBLIC</t>
  </si>
  <si>
    <t>KINGDOM OF CAMBODIA</t>
  </si>
  <si>
    <t>REPUBLIC OF GUATEMALA</t>
  </si>
  <si>
    <t>STATE OF QATAR</t>
  </si>
  <si>
    <t>REPUBLIC OF GHANA</t>
  </si>
  <si>
    <t>GABONESE REPUBLIC</t>
  </si>
  <si>
    <t>COOPERATIVE REPUBLIC OF GUYANA</t>
  </si>
  <si>
    <t>REPUBLIC OF GUINEA</t>
  </si>
  <si>
    <t>กินีบิสเซา</t>
  </si>
  <si>
    <t>REPUBLIC OF GUINEA BISSAU</t>
  </si>
  <si>
    <t>REPUBLIC OF KOREA</t>
  </si>
  <si>
    <t>DEMOCRATIC PEOPLE'S REPUBLIC OF KOREA</t>
  </si>
  <si>
    <t>REPUBLIC OF THE GAMBIA</t>
  </si>
  <si>
    <t>โกตดิวัวร์</t>
  </si>
  <si>
    <t>REPUBLIC OF COTE D'IVOIRE</t>
  </si>
  <si>
    <t>เขตบริหารพิเศษฮ่องกง</t>
  </si>
  <si>
    <t>HONG KONG</t>
  </si>
  <si>
    <t>REPUBLIC OF THE CONGO</t>
  </si>
  <si>
    <t>FEDERAL ISLAMIC REPUBLIC OF THE COMOROS</t>
  </si>
  <si>
    <t>REPUBLIC OF COSTA RICA</t>
  </si>
  <si>
    <t>คาซัคสถาน</t>
  </si>
  <si>
    <t>REPUBLIC OF KAZAKHSTAN</t>
  </si>
  <si>
    <t>REPUBLIC OF KIRIBATI</t>
  </si>
  <si>
    <t>REPUBLIC OF CUBA</t>
  </si>
  <si>
    <t>KYRGYZ REPUBLIC</t>
  </si>
  <si>
    <t>STATE OF KUWAIT</t>
  </si>
  <si>
    <t>REPUBLIC OF KENYA</t>
  </si>
  <si>
    <t>REPUBLIC OF CAPE VERDE</t>
  </si>
  <si>
    <t>CANADA</t>
  </si>
  <si>
    <t>REPUBLIC OF CAMEROON</t>
  </si>
  <si>
    <t>REPUBLIC OF COLOMBIA</t>
  </si>
  <si>
    <t>REPUBLIC OF GEORGIA</t>
  </si>
  <si>
    <t>HASEMITE KINGDOM OF JORDAN</t>
  </si>
  <si>
    <t>REPUBLIC OF DJIBOUTI</t>
  </si>
  <si>
    <t>REPUBLIC OF CHAD</t>
  </si>
  <si>
    <t>REPUBLIC OF CHILE</t>
  </si>
  <si>
    <t>REPUBLIC OF SAN MARINO</t>
  </si>
  <si>
    <t>INDEPENDENT STATE OF SAMOA</t>
  </si>
  <si>
    <t>KINGDOM OF SAUDI ARABIA</t>
  </si>
  <si>
    <t>REPUBLIC OF ZIMBABWE</t>
  </si>
  <si>
    <t>SYRIAN ARAB REPUBLIC</t>
  </si>
  <si>
    <t>REPUBLIC OF THE SUDAN</t>
  </si>
  <si>
    <t>REPUBLIC OF SURINAME</t>
  </si>
  <si>
    <t>REPUBLIC OF SEYCHELLES</t>
  </si>
  <si>
    <t>SAINT VINCENT AND THE GRENADINES</t>
  </si>
  <si>
    <t>REPUBLIC OF SENEGAL</t>
  </si>
  <si>
    <t>SERBIA</t>
  </si>
  <si>
    <t>เซอร์เบียแอนด์มอนเตเนโกร</t>
  </si>
  <si>
    <t>DEMOCRATIC REPUBLIC OF SAO TOME AND PRINCIPE</t>
  </si>
  <si>
    <t>REPUBLIC OF SIERRA LEONE</t>
  </si>
  <si>
    <t>REPUBLIC OF ZAMBIA</t>
  </si>
  <si>
    <t>โซมาเลีย</t>
  </si>
  <si>
    <t>SOMALI EDMOCRATIC REPUBLIC</t>
  </si>
  <si>
    <t>REPUBLIC OF CYPRUS</t>
  </si>
  <si>
    <t>KINGDOM OF DENMARK</t>
  </si>
  <si>
    <t>COMMONWEALTH OF DOMINICA</t>
  </si>
  <si>
    <t>REPUBLIC OF TRINIDAD AND TOBAGO</t>
  </si>
  <si>
    <t>ตองกา</t>
  </si>
  <si>
    <t>KINGDOM OF TONGA</t>
  </si>
  <si>
    <t>REPUBLIC OF TURKEY</t>
  </si>
  <si>
    <t>REPUBLIC OF TUNISIA</t>
  </si>
  <si>
    <t>เติร์กเมนิสถาน</t>
  </si>
  <si>
    <t>TURKMENISTAN</t>
  </si>
  <si>
    <t>REPUBLIC OF TOGO</t>
  </si>
  <si>
    <t>ไต้หวัน</t>
  </si>
  <si>
    <t>ทาจิกิสถาน</t>
  </si>
  <si>
    <t>REPUBLIC OF TAJIKSTAN</t>
  </si>
  <si>
    <t>UNITED REPUBLIC OF TANZANIA</t>
  </si>
  <si>
    <t>KINGDOM OF THAILAND</t>
  </si>
  <si>
    <t>KINGDOM OF NORWAY</t>
  </si>
  <si>
    <t>REPUBLIC OF NAMIBIA</t>
  </si>
  <si>
    <t>REPUBLIC OF NAURU</t>
  </si>
  <si>
    <t>REPUBLIC OF NICARAGUA</t>
  </si>
  <si>
    <t>เนเธอร์แลนด์</t>
  </si>
  <si>
    <t>KINGDOM OF THE NETHERLANDS</t>
  </si>
  <si>
    <t>KINGDOM OF NEPAL</t>
  </si>
  <si>
    <t>FEDERAL REPUBLIC OF NIGERIA</t>
  </si>
  <si>
    <t>REPUBLIC OF NIGER</t>
  </si>
  <si>
    <t>FEDERATIVE REPUBLIC OF BRAZIL</t>
  </si>
  <si>
    <t>บรูไนดารุสซาลาม</t>
  </si>
  <si>
    <t>NEGARA BRUNEI DARUSSALAM</t>
  </si>
  <si>
    <t>REPUBLIC OF BOTSWANA</t>
  </si>
  <si>
    <t>REPUBLIC OF BOSNIA AND HERZEGOVINA</t>
  </si>
  <si>
    <t>PEOPLE'S REPUBLIC OF BANGLADESH</t>
  </si>
  <si>
    <t>REPUBLIC OF BULGARIA</t>
  </si>
  <si>
    <t>KINGDOM OF BAHRAIN</t>
  </si>
  <si>
    <t>COMMONWEALTH OF THE BAHAMAS</t>
  </si>
  <si>
    <t>REPUBLIC OF BURUNDI</t>
  </si>
  <si>
    <t>REPUBLIC OF BENIN</t>
  </si>
  <si>
    <t>KINGDOM OF BELGIUM</t>
  </si>
  <si>
    <t>REPUBLIC OF BELARUS</t>
  </si>
  <si>
    <t>เบลีซ</t>
  </si>
  <si>
    <t>REPUBLIC OF BOLIVIA</t>
  </si>
  <si>
    <t>ISLAMIC REPUBLIC OF PAKISTAN</t>
  </si>
  <si>
    <t>REPUBLIC OF PANAMA</t>
  </si>
  <si>
    <t>REPUBLIC OF PARAGUAY</t>
  </si>
  <si>
    <t>REPUBLIC OF PALAU</t>
  </si>
  <si>
    <t>REPUBLIC OF PERU</t>
  </si>
  <si>
    <t>PUERTORICO</t>
  </si>
  <si>
    <t>REPUBLIC OF PORTUGAL</t>
  </si>
  <si>
    <t>REPUBLIC OF POLAND</t>
  </si>
  <si>
    <t>FRENCH REPUBLIC</t>
  </si>
  <si>
    <t>REPUBLIC OF FINLAND</t>
  </si>
  <si>
    <t>ฟิลิปปินส์</t>
  </si>
  <si>
    <t>REPUBLIC OF THE PHILIPPINES</t>
  </si>
  <si>
    <t>KINGDOM OF BHUTAN</t>
  </si>
  <si>
    <t>MONTENEGRO</t>
  </si>
  <si>
    <t>ISLAMIC REPUBLIC OF MAURITANIA</t>
  </si>
  <si>
    <t>REPUBLIC OF MOLDOVA</t>
  </si>
  <si>
    <t>REPUBLIC OF MALTA</t>
  </si>
  <si>
    <t>มัลดีฟส์</t>
  </si>
  <si>
    <t>REPUBLIC OF MALDIVES</t>
  </si>
  <si>
    <t>REPUBLIC OF MACEDONIA</t>
  </si>
  <si>
    <t>มาดากัสการ์</t>
  </si>
  <si>
    <t>REPUBLIC OF MADAGASCAR</t>
  </si>
  <si>
    <t>REPUBLIC OF MALAWI</t>
  </si>
  <si>
    <t>MALAYSIA</t>
  </si>
  <si>
    <t>เม็กซิโก</t>
  </si>
  <si>
    <t>UNITED MEXICAN STATES</t>
  </si>
  <si>
    <t>UNION OF MYANMAR</t>
  </si>
  <si>
    <t>PRINCIPALITY OF MONACO</t>
  </si>
  <si>
    <t>KINGDOM OF MOROCCO</t>
  </si>
  <si>
    <t>FEDERATED STATES OF MICRONESIA</t>
  </si>
  <si>
    <t>REPUBLIC OF UGANDA</t>
  </si>
  <si>
    <t>ยูโกสลาเวีย</t>
  </si>
  <si>
    <t>FEDERAL REPUBLIC OF YUGOSLAVIA</t>
  </si>
  <si>
    <t>REPUBLIC OF YEMEN</t>
  </si>
  <si>
    <t>เยอรมนี</t>
  </si>
  <si>
    <t>FEDERAL REPUBLIC OF GERMANY</t>
  </si>
  <si>
    <t>REPUBLIC OF RWANDA</t>
  </si>
  <si>
    <t>RUSSIAN FEDERATION</t>
  </si>
  <si>
    <t>ROMANIA</t>
  </si>
  <si>
    <t>GRAND DUCHY OF LUXEMBLURG</t>
  </si>
  <si>
    <t>REPUBLIC OF LATVIA</t>
  </si>
  <si>
    <t>LAO PEOPLE'S DEMOCRATIC REPUBLIC</t>
  </si>
  <si>
    <t>PRINCIPALITY OF LIECHTENSTEIN</t>
  </si>
  <si>
    <t>REPUBLIC OF LITHUANIA</t>
  </si>
  <si>
    <t>THE GREAT SOCIALIST PEOPLE'S LIBYAN ARAB JAMAHIR</t>
  </si>
  <si>
    <t>KINGDOM OF LESOTHO</t>
  </si>
  <si>
    <t>REPUBLIC OF LEBANON</t>
  </si>
  <si>
    <t>REPUBLIC OF LIBERIA</t>
  </si>
  <si>
    <t>VATICAN CITY STATE ; THE HOLY SEE</t>
  </si>
  <si>
    <t>REPUBLIC OF VANUATU</t>
  </si>
  <si>
    <t>REPUBLIC OF VENEZUELA</t>
  </si>
  <si>
    <t>SOCIALIST REPUBLIC OF VIETNAM</t>
  </si>
  <si>
    <t>DEMOCRATIC SOCIALIST REPUBLIC OF SRI LANKA</t>
  </si>
  <si>
    <t>KINGDOM OF SPAIN</t>
  </si>
  <si>
    <t>สโลวะเกีย</t>
  </si>
  <si>
    <t>SLOVAK REPUBLIC</t>
  </si>
  <si>
    <t>สวาซิแลนด์</t>
  </si>
  <si>
    <t>KINGDOM OF SWAZILAND</t>
  </si>
  <si>
    <t>สวิตเซอร์แลนด์</t>
  </si>
  <si>
    <t>Swiss Confederation</t>
  </si>
  <si>
    <t>KINGDOM OF SWEDEN</t>
  </si>
  <si>
    <t>สหรัฐอเมริกา</t>
  </si>
  <si>
    <t>UNITED STATES OF AMERICA</t>
  </si>
  <si>
    <t>UNITED ARAB EMIRATES</t>
  </si>
  <si>
    <t>สหราชอาณาจักร</t>
  </si>
  <si>
    <t>UNITED KINGDOM OF GREAT BRITAIN AND NORTHERN IRELAND</t>
  </si>
  <si>
    <t>สาธารณรัฐกาบูเวร์ดี</t>
  </si>
  <si>
    <t>Republic of Cabo Verde</t>
  </si>
  <si>
    <t>สาธารณรัฐคอซอวอ</t>
  </si>
  <si>
    <t>Republic of Kosovo</t>
  </si>
  <si>
    <t>สาธารณรัฐโครเอเชีย</t>
  </si>
  <si>
    <t>REPUBLIC OF CROATIA</t>
  </si>
  <si>
    <t>สาธารณรัฐเช็ก</t>
  </si>
  <si>
    <t>CZECH REPUBLIC</t>
  </si>
  <si>
    <t>สาธารณรัฐเซาท์ซูดาน</t>
  </si>
  <si>
    <t>Republic of South Sudan</t>
  </si>
  <si>
    <t>สาธารณรัฐโดมินิกัน</t>
  </si>
  <si>
    <t>DOMINICAN REPUBLIC</t>
  </si>
  <si>
    <t>สาธารณรัฐประชาชนจีน</t>
  </si>
  <si>
    <t>PEOPLE'S REPUBLIC OF CHINA</t>
  </si>
  <si>
    <t>สาธารณรัฐประชาธิปไตยคองโก</t>
  </si>
  <si>
    <t>THE DEMOCATIC REPUBLIC OF THE CONGO</t>
  </si>
  <si>
    <t>สาธารณรัฐประชาธิปไตยติมอร์-เลสเต</t>
  </si>
  <si>
    <t>THE DEMOCRATIC REPUBLIC OF TIMOR-LESTE</t>
  </si>
  <si>
    <t>สาธารณรัฐประชาธิปไตยติมอร์ตะวันออก</t>
  </si>
  <si>
    <t>THE DEMOCRATIC REPUBLIC OF TIMOR- LESTE</t>
  </si>
  <si>
    <t>สาธารณรัฐฟิจิ</t>
  </si>
  <si>
    <t>REPUBLIC OF FIJI</t>
  </si>
  <si>
    <t>สาธารณรัฐโมซัมบิก</t>
  </si>
  <si>
    <t>REPUBLIC OF MOZAMBIQUE</t>
  </si>
  <si>
    <t>สาธารณรัฐสโลวีเนีย</t>
  </si>
  <si>
    <t>REPUBLIC OF SLOVENIA</t>
  </si>
  <si>
    <t>สาธารณรัฐแอฟริกากลาง</t>
  </si>
  <si>
    <t>REPUBLIC OF SINGAPORE</t>
  </si>
  <si>
    <t>REPUBLIC OF THE MARSHALL ISLANDS</t>
  </si>
  <si>
    <t>COMMONWEALTH OF AUSTRALIA</t>
  </si>
  <si>
    <t>REPUBLIC OF AUSTRIA</t>
  </si>
  <si>
    <t>PRINCIPALITY OF ANDORRA</t>
  </si>
  <si>
    <t>อัฟกานิสถาน</t>
  </si>
  <si>
    <t>ISLAMIC STATE OF AFGHANISTAN</t>
  </si>
  <si>
    <t>REPUBLIC OF AZERBAIJAN</t>
  </si>
  <si>
    <t>ARGENTINE REPUBLIC</t>
  </si>
  <si>
    <t>REPUBLIC OF ARMENIA</t>
  </si>
  <si>
    <t>อารูบา</t>
  </si>
  <si>
    <t>ARUBA</t>
  </si>
  <si>
    <t>REPUBLIC OF EQUATORIAL GUINEA</t>
  </si>
  <si>
    <t>THE ITALIAN REPUBLIC</t>
  </si>
  <si>
    <t>REPUBLIC OF INDIA</t>
  </si>
  <si>
    <t>REPUBLIC OF INDONESIA</t>
  </si>
  <si>
    <t>REPUBLIC OF IRAQ</t>
  </si>
  <si>
    <t>STATE OF ISRAEL</t>
  </si>
  <si>
    <t>ISLAMIC REPUBLIC OF IRAN</t>
  </si>
  <si>
    <t>ARAB REPUBLIC OF EGYPT</t>
  </si>
  <si>
    <t>อุซเบกิสถาน</t>
  </si>
  <si>
    <t>REPUBLIC OF UZBEKISTAN</t>
  </si>
  <si>
    <t>REPUBLIC OF ECUADOR</t>
  </si>
  <si>
    <t>FEDERAL DEMOCRATIC REPUBLIC OF ETHIOPIA</t>
  </si>
  <si>
    <t>ERITREA</t>
  </si>
  <si>
    <t>REPUBLIC OF EL SALVADOR</t>
  </si>
  <si>
    <t>REPUBLIC OF ESTONIA</t>
  </si>
  <si>
    <t>REPUBLIC OF ANGOLA</t>
  </si>
  <si>
    <t>REPUBLIC OF SOUTH AFRICA</t>
  </si>
  <si>
    <t>DEMOCRATIC AND POPULAR REPUBLIC OF ALGERIA</t>
  </si>
  <si>
    <t>REPUBLIC OF ALBANIA</t>
  </si>
  <si>
    <t>SULTANATE OF OMAN</t>
  </si>
  <si>
    <t>REPUBLIC OF ICELAND</t>
  </si>
  <si>
    <t>ไอร์แลนด์</t>
  </si>
  <si>
    <t>IRELAND</t>
  </si>
  <si>
    <t>REPUBLIC OF HONDURAS</t>
  </si>
  <si>
    <t>REPUBLIC OF HAITI</t>
  </si>
  <si>
    <t>Czechia</t>
  </si>
  <si>
    <t>Kyrgyzstan</t>
  </si>
  <si>
    <t>Saint Barthélemy</t>
  </si>
  <si>
    <t>Kosovan</t>
  </si>
  <si>
    <t>12.00</t>
  </si>
  <si>
    <t>Peru</t>
  </si>
  <si>
    <t>Grenada</t>
  </si>
  <si>
    <t>Bahrain</t>
  </si>
  <si>
    <t>Trinidad and Tobago</t>
  </si>
  <si>
    <t>Vietnam</t>
  </si>
  <si>
    <t>Oman</t>
  </si>
  <si>
    <t>Jordan</t>
  </si>
  <si>
    <t>United Arab Emirates</t>
  </si>
  <si>
    <t>Colombia</t>
  </si>
  <si>
    <t>Laos</t>
  </si>
  <si>
    <t>Pakistan</t>
  </si>
  <si>
    <t>Liechtenstein</t>
  </si>
  <si>
    <t>Slovenia</t>
  </si>
  <si>
    <t>Antigua and Barbuda</t>
  </si>
  <si>
    <t>Kuwait</t>
  </si>
  <si>
    <t>Iceland</t>
  </si>
  <si>
    <t>Dominica</t>
  </si>
  <si>
    <t>Mauritania</t>
  </si>
  <si>
    <t>Mexico</t>
  </si>
  <si>
    <t>Bhutan</t>
  </si>
  <si>
    <t>Algeria</t>
  </si>
  <si>
    <t>Latvia</t>
  </si>
  <si>
    <t>Iran</t>
  </si>
  <si>
    <t>Morocco</t>
  </si>
  <si>
    <t>Montenegro</t>
  </si>
  <si>
    <t>Croatia</t>
  </si>
  <si>
    <t>Bosnia and Herzegovina</t>
  </si>
  <si>
    <t>Tokelau</t>
  </si>
  <si>
    <t>Zambia</t>
  </si>
  <si>
    <t>Bangladesh</t>
  </si>
  <si>
    <t>Malawi</t>
  </si>
  <si>
    <t>Panama</t>
  </si>
  <si>
    <t>Venezuela</t>
  </si>
  <si>
    <t>Cuba</t>
  </si>
  <si>
    <t>Moldova</t>
  </si>
  <si>
    <t>Tunisia</t>
  </si>
  <si>
    <t>Suriname</t>
  </si>
  <si>
    <t>Cambodia</t>
  </si>
  <si>
    <t>Jamaica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</si>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</sst>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70000]dd/mm/yyyy;@"/>
    <numFmt numFmtId="165" formatCode="[$-1070000]d/mm/yyyy;@"/>
  </numFmts>
  <fonts count="12">
    <font>
      <sz val="11"/>
      <color theme="1"/>
      <name val="Calibri"/>
      <family val="2"/>
      <charset val="22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color rgb="FFFF0000"/>
      <name val="Calibri"/>
      <family val="2"/>
    </font>
    <font>
      <sz val="10"/>
      <color theme="1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3" fillId="0" borderId="0"/>
    <xf numFmtId="0" fontId="8" fillId="0" borderId="0"/>
    <xf numFmtId="0" fontId="11" fillId="0" borderId="0"/>
  </cellStyleXfs>
  <cellXfs count="39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quotePrefix="1"/>
    <xf numFmtId="49" fontId="1" fillId="0" borderId="0" xfId="0" applyNumberFormat="1" applyFont="1" applyAlignment="1">
      <alignment horizontal="left"/>
    </xf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3" fillId="0" borderId="0" xfId="2"/>
    <xf numFmtId="14" fontId="3" fillId="0" borderId="0" xfId="2" applyNumberFormat="1"/>
    <xf numFmtId="49" fontId="3" fillId="0" borderId="0" xfId="2" applyNumberFormat="1"/>
    <xf numFmtId="0" fontId="5" fillId="0" borderId="0" xfId="3" applyFont="1" applyAlignment="1">
      <alignment horizontal="center" vertical="center"/>
    </xf>
    <xf numFmtId="0" fontId="5" fillId="0" borderId="0" xfId="3" applyFont="1" applyAlignment="1">
      <alignment horizontal="left" vertical="center"/>
    </xf>
    <xf numFmtId="0" fontId="10" fillId="3" borderId="0" xfId="3" applyFont="1" applyFill="1" applyAlignment="1">
      <alignment horizontal="center" vertical="center"/>
    </xf>
    <xf numFmtId="0" fontId="5" fillId="0" borderId="0" xfId="3" applyFont="1"/>
    <xf numFmtId="0" fontId="5" fillId="0" borderId="0" xfId="3" applyFont="1" applyAlignment="1">
      <alignment vertical="center"/>
    </xf>
    <xf numFmtId="0" fontId="7" fillId="0" borderId="0" xfId="0" quotePrefix="1" applyFont="1" applyAlignment="1">
      <alignment horizontal="left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5" fillId="0" borderId="0" xfId="0" applyFont="1"/>
    <xf numFmtId="0" fontId="7" fillId="0" borderId="0" xfId="0" quotePrefix="1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5" fillId="0" borderId="0" xfId="0" quotePrefix="1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/>
    <xf numFmtId="0" fontId="5" fillId="0" borderId="0" xfId="0" quotePrefix="1" applyFont="1"/>
    <xf numFmtId="164" fontId="0" fillId="0" borderId="0" xfId="0" quotePrefix="1" applyNumberFormat="1"/>
    <xf numFmtId="0" fontId="11" fillId="0" borderId="0" xfId="4"/>
    <xf numFmtId="14" fontId="11" fillId="0" borderId="0" xfId="4" applyNumberFormat="1"/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9" fillId="2" borderId="0" xfId="3" applyFont="1" applyFill="1" applyAlignment="1">
      <alignment horizontal="center" vertical="center"/>
    </xf>
  </cellXfs>
  <cellStyles count="5">
    <cellStyle name="Normal" xfId="0" builtinId="0"/>
    <cellStyle name="Normal 2" xfId="1" xr:uid="{CD7036F1-0755-4C95-8320-ACB22CEEF016}"/>
    <cellStyle name="Normal 3" xfId="2" xr:uid="{452540DB-5EA0-4EA4-8587-D8751963194B}"/>
    <cellStyle name="Normal 4" xfId="3" xr:uid="{636AEADD-11B9-4BC3-92B9-10F59F6D0353}"/>
    <cellStyle name="Normal 5" xfId="4" xr:uid="{6B0DEC3D-CAE2-46E3-BF60-256CDCB8161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</xdr:row>
          <xdr:rowOff>66675</xdr:rowOff>
        </xdr:from>
        <xdr:to>
          <xdr:col>24</xdr:col>
          <xdr:colOff>571500</xdr:colOff>
          <xdr:row>5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28C18-4090-4849-A2DD-629ED66B317F}">
  <sheetPr codeName="Sheet4"/>
  <dimension ref="A1:U259"/>
  <sheetViews>
    <sheetView tabSelected="1" zoomScale="70" zoomScaleNormal="70" workbookViewId="0"/>
  </sheetViews>
  <sheetFormatPr defaultRowHeight="15"/>
  <cols>
    <col min="1" max="1" width="16.7109375" style="7" bestFit="1" customWidth="1"/>
    <col min="2" max="2" width="9.140625" style="5"/>
    <col min="3" max="3" width="11.140625" style="7" bestFit="1" customWidth="1"/>
    <col min="10" max="10" width="9.140625" style="4"/>
    <col min="15" max="16" width="9.140625" style="5"/>
  </cols>
  <sheetData>
    <row r="1" spans="1:2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10"/>
      <c r="P1" s="10"/>
      <c r="Q1" s="8"/>
      <c r="R1" s="8"/>
      <c r="S1" s="8"/>
      <c r="T1" s="8"/>
      <c r="U1" s="8"/>
    </row>
    <row r="2" spans="1:21">
      <c r="A2" s="9"/>
      <c r="B2" s="8"/>
      <c r="C2" s="9"/>
      <c r="D2" s="8"/>
      <c r="E2" s="8"/>
      <c r="F2" s="8"/>
      <c r="G2" s="8"/>
      <c r="H2" s="8"/>
      <c r="I2" s="8"/>
      <c r="J2" s="8"/>
      <c r="K2" s="8"/>
      <c r="L2" s="8"/>
      <c r="M2" s="9"/>
      <c r="N2" s="9"/>
      <c r="O2" s="10"/>
      <c r="P2" s="10"/>
      <c r="Q2" s="8"/>
      <c r="R2" s="8"/>
      <c r="S2" s="8"/>
      <c r="T2" s="8"/>
      <c r="U2" s="8"/>
    </row>
    <row r="3" spans="1:21">
      <c r="A3" s="9"/>
      <c r="B3" s="8"/>
      <c r="C3" s="9"/>
      <c r="D3" s="8"/>
      <c r="E3" s="8"/>
      <c r="F3" s="8"/>
      <c r="G3" s="8"/>
      <c r="H3" s="8"/>
      <c r="I3" s="8"/>
      <c r="J3" s="8"/>
      <c r="K3" s="8"/>
      <c r="L3" s="8"/>
      <c r="M3" s="9"/>
      <c r="N3" s="9"/>
      <c r="O3" s="10"/>
      <c r="P3" s="10"/>
      <c r="Q3" s="8"/>
      <c r="R3" s="8"/>
      <c r="S3" s="8"/>
      <c r="T3" s="8"/>
      <c r="U3" s="8"/>
    </row>
    <row r="4" spans="1:21">
      <c r="A4" s="9"/>
      <c r="B4" s="8"/>
      <c r="C4" s="9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10"/>
      <c r="P4" s="10"/>
      <c r="Q4" s="8"/>
      <c r="R4" s="8"/>
      <c r="S4" s="8"/>
      <c r="T4" s="8"/>
      <c r="U4" s="8"/>
    </row>
    <row r="5" spans="1:21">
      <c r="A5" s="9"/>
      <c r="B5" s="8"/>
      <c r="C5" s="9"/>
      <c r="D5" s="8"/>
      <c r="E5" s="8"/>
      <c r="F5" s="8"/>
      <c r="G5" s="8"/>
      <c r="H5" s="8"/>
      <c r="I5" s="8"/>
      <c r="J5" s="8"/>
      <c r="K5" s="8"/>
      <c r="L5" s="8"/>
      <c r="M5" s="9"/>
      <c r="N5" s="9"/>
      <c r="O5" s="10"/>
      <c r="P5" s="10"/>
      <c r="Q5" s="8"/>
      <c r="R5" s="8"/>
      <c r="S5" s="8"/>
      <c r="T5" s="8"/>
      <c r="U5" s="8"/>
    </row>
    <row r="6" spans="1:21">
      <c r="A6" s="9"/>
      <c r="B6" s="8"/>
      <c r="C6" s="9"/>
      <c r="D6" s="8"/>
      <c r="E6" s="8"/>
      <c r="F6" s="8"/>
      <c r="G6" s="8"/>
      <c r="H6" s="8"/>
      <c r="I6" s="8"/>
      <c r="J6" s="8"/>
      <c r="K6" s="8"/>
      <c r="L6" s="8"/>
      <c r="M6" s="9"/>
      <c r="N6" s="9"/>
      <c r="O6" s="10"/>
      <c r="P6" s="10"/>
      <c r="Q6" s="8"/>
      <c r="R6" s="8"/>
      <c r="S6" s="8"/>
      <c r="T6" s="8"/>
      <c r="U6" s="8"/>
    </row>
    <row r="7" spans="1:21">
      <c r="A7" s="9"/>
      <c r="B7" s="8"/>
      <c r="C7" s="9"/>
      <c r="D7" s="8"/>
      <c r="E7" s="8"/>
      <c r="F7" s="8"/>
      <c r="G7" s="8"/>
      <c r="H7" s="8"/>
      <c r="I7" s="8"/>
      <c r="J7" s="8"/>
      <c r="K7" s="8"/>
      <c r="L7" s="8"/>
      <c r="M7" s="9"/>
      <c r="N7" s="9"/>
      <c r="O7" s="10"/>
      <c r="P7" s="10"/>
      <c r="Q7" s="8"/>
      <c r="R7" s="8"/>
      <c r="S7" s="8"/>
      <c r="T7" s="8"/>
      <c r="U7" s="8"/>
    </row>
    <row r="8" spans="1:21">
      <c r="A8" s="9"/>
      <c r="B8" s="8"/>
      <c r="C8" s="9"/>
      <c r="D8" s="8"/>
      <c r="E8" s="8"/>
      <c r="F8" s="8"/>
      <c r="G8" s="8"/>
      <c r="H8" s="8"/>
      <c r="I8" s="8"/>
      <c r="J8" s="8"/>
      <c r="K8" s="8"/>
      <c r="L8" s="8"/>
      <c r="M8" s="9"/>
      <c r="N8" s="9"/>
      <c r="O8" s="10"/>
      <c r="P8" s="10"/>
      <c r="Q8" s="8"/>
      <c r="R8" s="8"/>
      <c r="S8" s="8"/>
      <c r="T8" s="8"/>
      <c r="U8" s="8"/>
    </row>
    <row r="9" spans="1:21">
      <c r="A9" s="9"/>
      <c r="B9" s="8"/>
      <c r="C9" s="9"/>
      <c r="D9" s="8"/>
      <c r="E9" s="8"/>
      <c r="F9" s="8"/>
      <c r="G9" s="8"/>
      <c r="H9" s="8"/>
      <c r="I9" s="8"/>
      <c r="J9" s="8"/>
      <c r="K9" s="8"/>
      <c r="L9" s="8"/>
      <c r="M9" s="9"/>
      <c r="N9" s="9"/>
      <c r="O9" s="10"/>
      <c r="P9" s="10"/>
      <c r="Q9" s="8"/>
      <c r="R9" s="8"/>
      <c r="S9" s="8"/>
      <c r="T9" s="8"/>
      <c r="U9" s="8"/>
    </row>
    <row r="10" spans="1:21">
      <c r="A10" s="9"/>
      <c r="B10" s="8"/>
      <c r="C10" s="9"/>
      <c r="D10" s="8"/>
      <c r="E10" s="8"/>
      <c r="F10" s="8"/>
      <c r="G10" s="8"/>
      <c r="H10" s="8"/>
      <c r="I10" s="8"/>
      <c r="J10" s="8"/>
      <c r="K10" s="8"/>
      <c r="L10" s="8"/>
      <c r="M10" s="9"/>
      <c r="N10" s="9"/>
      <c r="O10" s="10"/>
      <c r="P10" s="10"/>
      <c r="Q10" s="8"/>
      <c r="R10" s="8"/>
      <c r="S10" s="8"/>
      <c r="T10" s="8"/>
      <c r="U10" s="8"/>
    </row>
    <row r="11" spans="1:21">
      <c r="A11" s="9"/>
      <c r="B11" s="8"/>
      <c r="C11" s="9"/>
      <c r="D11" s="8"/>
      <c r="E11" s="8"/>
      <c r="F11" s="8"/>
      <c r="G11" s="8"/>
      <c r="H11" s="8"/>
      <c r="I11" s="8"/>
      <c r="J11" s="8"/>
      <c r="K11" s="8"/>
      <c r="L11" s="8"/>
      <c r="M11" s="9"/>
      <c r="N11" s="9"/>
      <c r="O11" s="10"/>
      <c r="P11" s="10"/>
      <c r="Q11" s="8"/>
      <c r="R11" s="8"/>
      <c r="S11" s="8"/>
      <c r="T11" s="8"/>
      <c r="U11" s="8"/>
    </row>
    <row r="12" spans="1:21">
      <c r="A12" s="9"/>
      <c r="B12" s="8"/>
      <c r="C12" s="9"/>
      <c r="D12" s="8"/>
      <c r="E12" s="8"/>
      <c r="F12" s="8"/>
      <c r="G12" s="8"/>
      <c r="H12" s="8"/>
      <c r="I12" s="8"/>
      <c r="J12" s="8"/>
      <c r="K12" s="8"/>
      <c r="L12" s="8"/>
      <c r="M12" s="9"/>
      <c r="N12" s="9"/>
      <c r="O12" s="10"/>
      <c r="P12" s="10"/>
      <c r="Q12" s="8"/>
      <c r="R12" s="8"/>
      <c r="S12" s="8"/>
      <c r="T12" s="8"/>
      <c r="U12" s="8"/>
    </row>
    <row r="13" spans="1:21">
      <c r="A13" s="9"/>
      <c r="B13" s="8"/>
      <c r="C13" s="9"/>
      <c r="D13" s="8"/>
      <c r="E13" s="8"/>
      <c r="F13" s="8"/>
      <c r="G13" s="8"/>
      <c r="H13" s="8"/>
      <c r="I13" s="8"/>
      <c r="J13" s="8"/>
      <c r="K13" s="8"/>
      <c r="L13" s="8"/>
      <c r="M13" s="9"/>
      <c r="N13" s="9"/>
      <c r="O13" s="10"/>
      <c r="P13" s="10"/>
      <c r="Q13" s="8"/>
      <c r="R13" s="8"/>
      <c r="S13" s="8"/>
      <c r="T13" s="8"/>
      <c r="U13" s="8"/>
    </row>
    <row r="14" spans="1:21">
      <c r="A14" s="9"/>
      <c r="B14" s="8"/>
      <c r="C14" s="9"/>
      <c r="D14" s="8"/>
      <c r="E14" s="8"/>
      <c r="F14" s="8"/>
      <c r="G14" s="8"/>
      <c r="H14" s="8"/>
      <c r="I14" s="8"/>
      <c r="J14" s="8"/>
      <c r="K14" s="8"/>
      <c r="L14" s="8"/>
      <c r="M14" s="9"/>
      <c r="N14" s="9"/>
      <c r="O14" s="10"/>
      <c r="P14" s="10"/>
      <c r="Q14" s="8"/>
      <c r="R14" s="8"/>
      <c r="S14" s="8"/>
      <c r="T14" s="8"/>
      <c r="U14" s="8"/>
    </row>
    <row r="15" spans="1:21">
      <c r="A15" s="9"/>
      <c r="B15" s="8"/>
      <c r="C15" s="9"/>
      <c r="D15" s="8"/>
      <c r="E15" s="8"/>
      <c r="F15" s="8"/>
      <c r="G15" s="8"/>
      <c r="H15" s="8"/>
      <c r="I15" s="8"/>
      <c r="J15" s="8"/>
      <c r="K15" s="8"/>
      <c r="L15" s="8"/>
      <c r="M15" s="9"/>
      <c r="N15" s="9"/>
      <c r="O15" s="10"/>
      <c r="P15" s="10"/>
      <c r="Q15" s="8"/>
      <c r="R15" s="8"/>
      <c r="S15" s="8"/>
      <c r="T15" s="8"/>
      <c r="U15" s="8"/>
    </row>
    <row r="16" spans="1:21">
      <c r="A16" s="9"/>
      <c r="B16" s="8"/>
      <c r="C16" s="9"/>
      <c r="D16" s="8"/>
      <c r="E16" s="8"/>
      <c r="F16" s="8"/>
      <c r="G16" s="8"/>
      <c r="H16" s="8"/>
      <c r="I16" s="8"/>
      <c r="J16" s="8"/>
      <c r="K16" s="8"/>
      <c r="L16" s="8"/>
      <c r="M16" s="9"/>
      <c r="N16" s="9"/>
      <c r="O16" s="10"/>
      <c r="P16" s="10"/>
      <c r="Q16" s="8"/>
      <c r="R16" s="8"/>
      <c r="S16" s="8"/>
      <c r="T16" s="8"/>
      <c r="U16" s="8"/>
    </row>
    <row r="17" spans="1:21">
      <c r="A17" s="9"/>
      <c r="B17" s="8"/>
      <c r="C17" s="9"/>
      <c r="D17" s="8"/>
      <c r="E17" s="8"/>
      <c r="F17" s="8"/>
      <c r="G17" s="8"/>
      <c r="H17" s="8"/>
      <c r="I17" s="8"/>
      <c r="J17" s="8"/>
      <c r="K17" s="8"/>
      <c r="L17" s="8"/>
      <c r="M17" s="9"/>
      <c r="N17" s="9"/>
      <c r="O17" s="10"/>
      <c r="P17" s="10"/>
      <c r="Q17" s="8"/>
      <c r="R17" s="8"/>
      <c r="S17" s="8"/>
      <c r="T17" s="8"/>
      <c r="U17" s="8"/>
    </row>
    <row r="18" spans="1:21">
      <c r="A18" s="9"/>
      <c r="B18" s="8"/>
      <c r="C18" s="9"/>
      <c r="D18" s="8"/>
      <c r="E18" s="8"/>
      <c r="F18" s="8"/>
      <c r="G18" s="8"/>
      <c r="H18" s="8"/>
      <c r="I18" s="8"/>
      <c r="J18" s="8"/>
      <c r="K18" s="8"/>
      <c r="L18" s="8"/>
      <c r="M18" s="9"/>
      <c r="N18" s="9"/>
      <c r="O18" s="10"/>
      <c r="P18" s="10"/>
      <c r="Q18" s="8"/>
      <c r="R18" s="8"/>
      <c r="S18" s="8"/>
      <c r="T18" s="8"/>
      <c r="U18" s="8"/>
    </row>
    <row r="19" spans="1:21">
      <c r="A19" s="9"/>
      <c r="B19" s="8"/>
      <c r="C19" s="9"/>
      <c r="D19" s="8"/>
      <c r="E19" s="8"/>
      <c r="F19" s="8"/>
      <c r="G19" s="8"/>
      <c r="H19" s="8"/>
      <c r="I19" s="8"/>
      <c r="J19" s="8"/>
      <c r="K19" s="8"/>
      <c r="L19" s="8"/>
      <c r="M19" s="9"/>
      <c r="N19" s="9"/>
      <c r="O19" s="10"/>
      <c r="P19" s="10"/>
      <c r="Q19" s="8"/>
      <c r="R19" s="8"/>
      <c r="S19" s="8"/>
      <c r="T19" s="8"/>
      <c r="U19" s="8"/>
    </row>
    <row r="20" spans="1:21">
      <c r="A20" s="9"/>
      <c r="B20" s="8"/>
      <c r="C20" s="9"/>
      <c r="D20" s="8"/>
      <c r="E20" s="8"/>
      <c r="F20" s="8"/>
      <c r="G20" s="8"/>
      <c r="H20" s="8"/>
      <c r="I20" s="8"/>
      <c r="J20" s="8"/>
      <c r="K20" s="8"/>
      <c r="L20" s="8"/>
      <c r="M20" s="9"/>
      <c r="N20" s="9"/>
      <c r="O20" s="10"/>
      <c r="P20" s="10"/>
      <c r="Q20" s="8"/>
      <c r="R20" s="8"/>
      <c r="S20" s="8"/>
      <c r="T20" s="8"/>
      <c r="U20" s="8"/>
    </row>
    <row r="21" spans="1:21">
      <c r="A21" s="9"/>
      <c r="B21" s="8"/>
      <c r="C21" s="9"/>
      <c r="D21" s="8"/>
      <c r="E21" s="8"/>
      <c r="F21" s="8"/>
      <c r="G21" s="8"/>
      <c r="H21" s="8"/>
      <c r="I21" s="8"/>
      <c r="J21" s="8"/>
      <c r="K21" s="8"/>
      <c r="L21" s="8"/>
      <c r="M21" s="9"/>
      <c r="N21" s="9"/>
      <c r="O21" s="10"/>
      <c r="P21" s="10"/>
      <c r="Q21" s="8"/>
      <c r="R21" s="8"/>
      <c r="S21" s="8"/>
      <c r="T21" s="8"/>
      <c r="U21" s="8"/>
    </row>
    <row r="22" spans="1:21">
      <c r="A22" s="9"/>
      <c r="B22" s="8"/>
      <c r="C22" s="9"/>
      <c r="D22" s="8"/>
      <c r="E22" s="8"/>
      <c r="F22" s="8"/>
      <c r="G22" s="8"/>
      <c r="H22" s="8"/>
      <c r="I22" s="8"/>
      <c r="J22" s="8"/>
      <c r="K22" s="8"/>
      <c r="L22" s="8"/>
      <c r="M22" s="9"/>
      <c r="N22" s="9"/>
      <c r="O22" s="10"/>
      <c r="P22" s="10"/>
      <c r="Q22" s="8"/>
      <c r="R22" s="8"/>
      <c r="S22" s="8"/>
      <c r="T22" s="8"/>
      <c r="U22" s="8"/>
    </row>
    <row r="23" spans="1:21">
      <c r="A23" s="9"/>
      <c r="B23" s="8"/>
      <c r="C23" s="9"/>
      <c r="D23" s="8"/>
      <c r="E23" s="8"/>
      <c r="F23" s="8"/>
      <c r="G23" s="8"/>
      <c r="H23" s="8"/>
      <c r="I23" s="8"/>
      <c r="J23" s="8"/>
      <c r="K23" s="8"/>
      <c r="L23" s="8"/>
      <c r="M23" s="9"/>
      <c r="N23" s="9"/>
      <c r="O23" s="10"/>
      <c r="P23" s="10"/>
      <c r="Q23" s="8"/>
      <c r="R23" s="8"/>
      <c r="S23" s="8"/>
      <c r="T23" s="8"/>
      <c r="U23" s="8"/>
    </row>
    <row r="24" spans="1:21">
      <c r="A24" s="9"/>
      <c r="B24" s="8"/>
      <c r="C24" s="9"/>
      <c r="D24" s="8"/>
      <c r="E24" s="8"/>
      <c r="F24" s="8"/>
      <c r="G24" s="8"/>
      <c r="H24" s="8"/>
      <c r="I24" s="8"/>
      <c r="J24" s="8"/>
      <c r="K24" s="8"/>
      <c r="L24" s="8"/>
      <c r="M24" s="9"/>
      <c r="N24" s="9"/>
      <c r="O24" s="10"/>
      <c r="P24" s="10"/>
      <c r="Q24" s="8"/>
      <c r="R24" s="8"/>
      <c r="S24" s="8"/>
      <c r="T24" s="8"/>
      <c r="U24" s="8"/>
    </row>
    <row r="25" spans="1:21">
      <c r="A25" s="9"/>
      <c r="B25" s="8"/>
      <c r="C25" s="9"/>
      <c r="D25" s="8"/>
      <c r="E25" s="8"/>
      <c r="F25" s="8"/>
      <c r="G25" s="8"/>
      <c r="H25" s="8"/>
      <c r="I25" s="8"/>
      <c r="J25" s="8"/>
      <c r="K25" s="8"/>
      <c r="L25" s="8"/>
      <c r="M25" s="9"/>
      <c r="N25" s="9"/>
      <c r="O25" s="10"/>
      <c r="P25" s="10"/>
      <c r="Q25" s="8"/>
      <c r="R25" s="8"/>
      <c r="S25" s="8"/>
      <c r="T25" s="8"/>
      <c r="U25" s="8"/>
    </row>
    <row r="26" spans="1:21">
      <c r="A26" s="9"/>
      <c r="B26" s="8"/>
      <c r="C26" s="9"/>
      <c r="D26" s="8"/>
      <c r="E26" s="8"/>
      <c r="F26" s="8"/>
      <c r="G26" s="8"/>
      <c r="H26" s="8"/>
      <c r="I26" s="8"/>
      <c r="J26" s="8"/>
      <c r="K26" s="8"/>
      <c r="L26" s="8"/>
      <c r="M26" s="9"/>
      <c r="N26" s="9"/>
      <c r="O26" s="10"/>
      <c r="P26" s="10"/>
      <c r="Q26" s="8"/>
      <c r="R26" s="8"/>
      <c r="S26" s="8"/>
      <c r="T26" s="8"/>
      <c r="U26" s="8"/>
    </row>
    <row r="27" spans="1:21">
      <c r="A27" s="9"/>
      <c r="B27" s="8"/>
      <c r="C27" s="9"/>
      <c r="D27" s="8"/>
      <c r="E27" s="8"/>
      <c r="F27" s="8"/>
      <c r="G27" s="8"/>
      <c r="H27" s="8"/>
      <c r="I27" s="8"/>
      <c r="J27" s="8"/>
      <c r="K27" s="8"/>
      <c r="L27" s="8"/>
      <c r="M27" s="9"/>
      <c r="N27" s="9"/>
      <c r="O27" s="10"/>
      <c r="P27" s="10"/>
      <c r="Q27" s="8"/>
      <c r="R27" s="8"/>
      <c r="S27" s="8"/>
      <c r="T27" s="8"/>
      <c r="U27" s="8"/>
    </row>
    <row r="28" spans="1:21">
      <c r="A28" s="9"/>
      <c r="B28" s="8"/>
      <c r="C28" s="9"/>
      <c r="D28" s="8"/>
      <c r="E28" s="8"/>
      <c r="F28" s="8"/>
      <c r="G28" s="8"/>
      <c r="H28" s="8"/>
      <c r="I28" s="8"/>
      <c r="J28" s="8"/>
      <c r="K28" s="8"/>
      <c r="L28" s="8"/>
      <c r="M28" s="9"/>
      <c r="N28" s="9"/>
      <c r="O28" s="10"/>
      <c r="P28" s="10"/>
      <c r="Q28" s="8"/>
      <c r="R28" s="8"/>
      <c r="S28" s="8"/>
      <c r="T28" s="8"/>
      <c r="U28" s="8"/>
    </row>
    <row r="29" spans="1:21">
      <c r="A29" s="9"/>
      <c r="B29" s="8"/>
      <c r="C29" s="9"/>
      <c r="D29" s="8"/>
      <c r="E29" s="8"/>
      <c r="F29" s="8"/>
      <c r="G29" s="8"/>
      <c r="H29" s="8"/>
      <c r="I29" s="8"/>
      <c r="J29" s="8"/>
      <c r="K29" s="8"/>
      <c r="L29" s="8"/>
      <c r="M29" s="9"/>
      <c r="N29" s="9"/>
      <c r="O29" s="10"/>
      <c r="P29" s="10"/>
      <c r="Q29" s="8"/>
      <c r="R29" s="8"/>
      <c r="S29" s="8"/>
      <c r="T29" s="8"/>
      <c r="U29" s="8"/>
    </row>
    <row r="30" spans="1:21">
      <c r="A30" s="9"/>
      <c r="B30" s="8"/>
      <c r="C30" s="9"/>
      <c r="D30" s="8"/>
      <c r="E30" s="8"/>
      <c r="F30" s="8"/>
      <c r="G30" s="8"/>
      <c r="H30" s="8"/>
      <c r="I30" s="8"/>
      <c r="J30" s="8"/>
      <c r="K30" s="8"/>
      <c r="L30" s="8"/>
      <c r="M30" s="9"/>
      <c r="N30" s="9"/>
      <c r="O30" s="10"/>
      <c r="P30" s="10"/>
      <c r="Q30" s="8"/>
      <c r="R30" s="8"/>
      <c r="S30" s="8"/>
      <c r="T30" s="8"/>
      <c r="U30" s="8"/>
    </row>
    <row r="31" spans="1:21">
      <c r="A31" s="9"/>
      <c r="B31" s="8"/>
      <c r="C31" s="9"/>
      <c r="D31" s="8"/>
      <c r="E31" s="8"/>
      <c r="F31" s="8"/>
      <c r="G31" s="8"/>
      <c r="H31" s="8"/>
      <c r="I31" s="8"/>
      <c r="J31" s="8"/>
      <c r="K31" s="8"/>
      <c r="L31" s="8"/>
      <c r="M31" s="9"/>
      <c r="N31" s="9"/>
      <c r="O31" s="10"/>
      <c r="P31" s="10"/>
      <c r="Q31" s="8"/>
      <c r="R31" s="8"/>
      <c r="S31" s="8"/>
      <c r="T31" s="8"/>
      <c r="U31" s="8"/>
    </row>
    <row r="32" spans="1:21">
      <c r="A32" s="9"/>
      <c r="B32" s="8"/>
      <c r="C32" s="9"/>
      <c r="D32" s="8"/>
      <c r="E32" s="8"/>
      <c r="F32" s="8"/>
      <c r="G32" s="8"/>
      <c r="H32" s="8"/>
      <c r="I32" s="8"/>
      <c r="J32" s="8"/>
      <c r="K32" s="8"/>
      <c r="L32" s="8"/>
      <c r="M32" s="9"/>
      <c r="N32" s="9"/>
      <c r="O32" s="10"/>
      <c r="P32" s="10"/>
      <c r="Q32" s="8"/>
      <c r="R32" s="8"/>
      <c r="S32" s="8"/>
      <c r="T32" s="8"/>
      <c r="U32" s="8"/>
    </row>
    <row r="33" spans="1:21">
      <c r="A33" s="9"/>
      <c r="B33" s="8"/>
      <c r="C33" s="9"/>
      <c r="D33" s="8"/>
      <c r="E33" s="8"/>
      <c r="F33" s="8"/>
      <c r="G33" s="8"/>
      <c r="H33" s="8"/>
      <c r="I33" s="8"/>
      <c r="J33" s="8"/>
      <c r="K33" s="8"/>
      <c r="L33" s="8"/>
      <c r="M33" s="9"/>
      <c r="N33" s="9"/>
      <c r="O33" s="10"/>
      <c r="P33" s="10"/>
      <c r="Q33" s="8"/>
      <c r="R33" s="8"/>
      <c r="S33" s="8"/>
      <c r="T33" s="8"/>
      <c r="U33" s="8"/>
    </row>
    <row r="34" spans="1:21">
      <c r="A34" s="9"/>
      <c r="B34" s="8"/>
      <c r="C34" s="9"/>
      <c r="D34" s="8"/>
      <c r="E34" s="8"/>
      <c r="F34" s="8"/>
      <c r="G34" s="8"/>
      <c r="H34" s="8"/>
      <c r="I34" s="8"/>
      <c r="J34" s="8"/>
      <c r="K34" s="8"/>
      <c r="L34" s="8"/>
      <c r="M34" s="9"/>
      <c r="N34" s="9"/>
      <c r="O34" s="10"/>
      <c r="P34" s="10"/>
      <c r="Q34" s="8"/>
      <c r="R34" s="8"/>
      <c r="S34" s="8"/>
      <c r="T34" s="8"/>
      <c r="U34" s="8"/>
    </row>
    <row r="35" spans="1:21">
      <c r="A35" s="9"/>
      <c r="B35" s="8"/>
      <c r="C35" s="9"/>
      <c r="D35" s="8"/>
      <c r="E35" s="8"/>
      <c r="F35" s="8"/>
      <c r="G35" s="8"/>
      <c r="H35" s="8"/>
      <c r="I35" s="8"/>
      <c r="J35" s="8"/>
      <c r="K35" s="8"/>
      <c r="L35" s="8"/>
      <c r="M35" s="9"/>
      <c r="N35" s="9"/>
      <c r="O35" s="10"/>
      <c r="P35" s="10"/>
      <c r="Q35" s="8"/>
      <c r="R35" s="8"/>
      <c r="S35" s="8"/>
      <c r="T35" s="8"/>
      <c r="U35" s="8"/>
    </row>
    <row r="36" spans="1:21">
      <c r="A36" s="9"/>
      <c r="B36" s="8"/>
      <c r="C36" s="9"/>
      <c r="D36" s="8"/>
      <c r="E36" s="8"/>
      <c r="F36" s="8"/>
      <c r="G36" s="8"/>
      <c r="H36" s="8"/>
      <c r="I36" s="8"/>
      <c r="J36" s="8"/>
      <c r="K36" s="8"/>
      <c r="L36" s="8"/>
      <c r="M36" s="9"/>
      <c r="N36" s="9"/>
      <c r="O36" s="10"/>
      <c r="P36" s="10"/>
      <c r="Q36" s="8"/>
      <c r="R36" s="8"/>
      <c r="S36" s="8"/>
      <c r="T36" s="8"/>
      <c r="U36" s="8"/>
    </row>
    <row r="37" spans="1:21">
      <c r="A37" s="9"/>
      <c r="B37" s="8"/>
      <c r="C37" s="9"/>
      <c r="D37" s="8"/>
      <c r="E37" s="8"/>
      <c r="F37" s="8"/>
      <c r="G37" s="8"/>
      <c r="H37" s="8"/>
      <c r="I37" s="8"/>
      <c r="J37" s="8"/>
      <c r="K37" s="8"/>
      <c r="L37" s="8"/>
      <c r="M37" s="9"/>
      <c r="N37" s="9"/>
      <c r="O37" s="10"/>
      <c r="P37" s="10"/>
      <c r="Q37" s="8"/>
      <c r="R37" s="8"/>
      <c r="S37" s="8"/>
      <c r="T37" s="8"/>
      <c r="U37" s="8"/>
    </row>
    <row r="38" spans="1:21">
      <c r="A38" s="9"/>
      <c r="B38" s="8"/>
      <c r="C38" s="9"/>
      <c r="D38" s="8"/>
      <c r="E38" s="8"/>
      <c r="F38" s="8"/>
      <c r="G38" s="8"/>
      <c r="H38" s="8"/>
      <c r="I38" s="8"/>
      <c r="J38" s="8"/>
      <c r="K38" s="8"/>
      <c r="L38" s="8"/>
      <c r="M38" s="9"/>
      <c r="N38" s="9"/>
      <c r="O38" s="10"/>
      <c r="P38" s="10"/>
      <c r="Q38" s="8"/>
      <c r="R38" s="8"/>
      <c r="S38" s="8"/>
      <c r="T38" s="8"/>
      <c r="U38" s="8"/>
    </row>
    <row r="39" spans="1:21">
      <c r="A39" s="9"/>
      <c r="B39" s="8"/>
      <c r="C39" s="9"/>
      <c r="D39" s="8"/>
      <c r="E39" s="8"/>
      <c r="F39" s="8"/>
      <c r="G39" s="8"/>
      <c r="H39" s="8"/>
      <c r="I39" s="8"/>
      <c r="J39" s="8"/>
      <c r="K39" s="8"/>
      <c r="L39" s="8"/>
      <c r="M39" s="9"/>
      <c r="N39" s="9"/>
      <c r="O39" s="10"/>
      <c r="P39" s="10"/>
      <c r="Q39" s="8"/>
      <c r="R39" s="8"/>
      <c r="S39" s="8"/>
      <c r="T39" s="8"/>
      <c r="U39" s="8"/>
    </row>
    <row r="40" spans="1:21">
      <c r="A40" s="9"/>
      <c r="B40" s="8"/>
      <c r="C40" s="9"/>
      <c r="D40" s="8"/>
      <c r="E40" s="8"/>
      <c r="F40" s="8"/>
      <c r="G40" s="8"/>
      <c r="H40" s="8"/>
      <c r="I40" s="8"/>
      <c r="J40" s="8"/>
      <c r="K40" s="8"/>
      <c r="L40" s="8"/>
      <c r="M40" s="9"/>
      <c r="N40" s="9"/>
      <c r="O40" s="10"/>
      <c r="P40" s="10"/>
      <c r="Q40" s="8"/>
      <c r="R40" s="8"/>
      <c r="S40" s="8"/>
      <c r="T40" s="8"/>
      <c r="U40" s="8"/>
    </row>
    <row r="41" spans="1:21">
      <c r="A41" s="9"/>
      <c r="B41" s="8"/>
      <c r="C41" s="9"/>
      <c r="D41" s="8"/>
      <c r="E41" s="8"/>
      <c r="F41" s="8"/>
      <c r="G41" s="8"/>
      <c r="H41" s="8"/>
      <c r="I41" s="8"/>
      <c r="J41" s="8"/>
      <c r="K41" s="8"/>
      <c r="L41" s="8"/>
      <c r="M41" s="9"/>
      <c r="N41" s="9"/>
      <c r="O41" s="10"/>
      <c r="P41" s="10"/>
      <c r="Q41" s="8"/>
      <c r="R41" s="8"/>
      <c r="S41" s="8"/>
      <c r="T41" s="8"/>
      <c r="U41" s="8"/>
    </row>
    <row r="42" spans="1:21">
      <c r="A42" s="9"/>
      <c r="B42" s="8"/>
      <c r="C42" s="9"/>
      <c r="D42" s="8"/>
      <c r="E42" s="8"/>
      <c r="F42" s="8"/>
      <c r="G42" s="8"/>
      <c r="H42" s="8"/>
      <c r="I42" s="8"/>
      <c r="J42" s="8"/>
      <c r="K42" s="8"/>
      <c r="L42" s="8"/>
      <c r="M42" s="9"/>
      <c r="N42" s="9"/>
      <c r="O42" s="10"/>
      <c r="P42" s="10"/>
      <c r="Q42" s="8"/>
      <c r="R42" s="8"/>
      <c r="S42" s="8"/>
      <c r="T42" s="8"/>
      <c r="U42" s="8"/>
    </row>
    <row r="43" spans="1:21">
      <c r="A43" s="9"/>
      <c r="B43" s="8"/>
      <c r="C43" s="9"/>
      <c r="D43" s="8"/>
      <c r="E43" s="8"/>
      <c r="F43" s="8"/>
      <c r="G43" s="8"/>
      <c r="H43" s="8"/>
      <c r="I43" s="8"/>
      <c r="J43" s="8"/>
      <c r="K43" s="8"/>
      <c r="L43" s="8"/>
      <c r="M43" s="9"/>
      <c r="N43" s="9"/>
      <c r="O43" s="10"/>
      <c r="P43" s="10"/>
      <c r="Q43" s="8"/>
      <c r="R43" s="8"/>
      <c r="S43" s="8"/>
      <c r="T43" s="8"/>
      <c r="U43" s="8"/>
    </row>
    <row r="44" spans="1:21">
      <c r="A44" s="9"/>
      <c r="B44" s="8"/>
      <c r="C44" s="9"/>
      <c r="D44" s="8"/>
      <c r="E44" s="8"/>
      <c r="F44" s="8"/>
      <c r="G44" s="8"/>
      <c r="H44" s="8"/>
      <c r="I44" s="8"/>
      <c r="J44" s="8"/>
      <c r="K44" s="8"/>
      <c r="L44" s="8"/>
      <c r="M44" s="9"/>
      <c r="N44" s="9"/>
      <c r="O44" s="10"/>
      <c r="P44" s="10"/>
      <c r="Q44" s="8"/>
      <c r="R44" s="8"/>
      <c r="S44" s="8"/>
      <c r="T44" s="8"/>
      <c r="U44" s="8"/>
    </row>
    <row r="45" spans="1:21">
      <c r="A45" s="9"/>
      <c r="B45" s="8"/>
      <c r="C45" s="9"/>
      <c r="D45" s="8"/>
      <c r="E45" s="8"/>
      <c r="F45" s="8"/>
      <c r="G45" s="8"/>
      <c r="H45" s="8"/>
      <c r="I45" s="8"/>
      <c r="J45" s="8"/>
      <c r="K45" s="8"/>
      <c r="L45" s="8"/>
      <c r="M45" s="9"/>
      <c r="N45" s="9"/>
      <c r="O45" s="10"/>
      <c r="P45" s="10"/>
      <c r="Q45" s="8"/>
      <c r="R45" s="8"/>
      <c r="S45" s="8"/>
      <c r="T45" s="8"/>
      <c r="U45" s="8"/>
    </row>
    <row r="46" spans="1:21">
      <c r="A46" s="9"/>
      <c r="B46" s="8"/>
      <c r="C46" s="9"/>
      <c r="D46" s="8"/>
      <c r="E46" s="8"/>
      <c r="F46" s="8"/>
      <c r="G46" s="8"/>
      <c r="H46" s="8"/>
      <c r="I46" s="8"/>
      <c r="J46" s="8"/>
      <c r="K46" s="8"/>
      <c r="L46" s="8"/>
      <c r="M46" s="9"/>
      <c r="N46" s="9"/>
      <c r="O46" s="10"/>
      <c r="P46" s="10"/>
      <c r="Q46" s="8"/>
      <c r="R46" s="8"/>
      <c r="S46" s="8"/>
      <c r="T46" s="8"/>
      <c r="U46" s="8"/>
    </row>
    <row r="47" spans="1:21">
      <c r="A47" s="9"/>
      <c r="B47" s="8"/>
      <c r="C47" s="9"/>
      <c r="D47" s="8"/>
      <c r="E47" s="8"/>
      <c r="F47" s="8"/>
      <c r="G47" s="8"/>
      <c r="H47" s="8"/>
      <c r="I47" s="8"/>
      <c r="J47" s="8"/>
      <c r="K47" s="8"/>
      <c r="L47" s="8"/>
      <c r="M47" s="9"/>
      <c r="N47" s="9"/>
      <c r="O47" s="10"/>
      <c r="P47" s="10"/>
      <c r="Q47" s="8"/>
      <c r="R47" s="8"/>
      <c r="S47" s="8"/>
      <c r="T47" s="8"/>
      <c r="U47" s="8"/>
    </row>
    <row r="48" spans="1:21">
      <c r="A48" s="9"/>
      <c r="B48" s="8"/>
      <c r="C48" s="9"/>
      <c r="D48" s="8"/>
      <c r="E48" s="8"/>
      <c r="F48" s="8"/>
      <c r="G48" s="8"/>
      <c r="H48" s="8"/>
      <c r="I48" s="8"/>
      <c r="J48" s="8"/>
      <c r="K48" s="8"/>
      <c r="L48" s="8"/>
      <c r="M48" s="9"/>
      <c r="N48" s="9"/>
      <c r="O48" s="10"/>
      <c r="P48" s="10"/>
      <c r="Q48" s="8"/>
      <c r="R48" s="8"/>
      <c r="S48" s="8"/>
      <c r="T48" s="8"/>
      <c r="U48" s="8"/>
    </row>
    <row r="49" spans="1:21">
      <c r="A49" s="9"/>
      <c r="B49" s="8"/>
      <c r="C49" s="9"/>
      <c r="D49" s="8"/>
      <c r="E49" s="8"/>
      <c r="F49" s="8"/>
      <c r="G49" s="8"/>
      <c r="H49" s="8"/>
      <c r="I49" s="8"/>
      <c r="J49" s="8"/>
      <c r="K49" s="8"/>
      <c r="L49" s="8"/>
      <c r="M49" s="9"/>
      <c r="N49" s="9"/>
      <c r="O49" s="10"/>
      <c r="P49" s="10"/>
      <c r="Q49" s="8"/>
      <c r="R49" s="8"/>
      <c r="S49" s="8"/>
      <c r="T49" s="8"/>
      <c r="U49" s="8"/>
    </row>
    <row r="50" spans="1:21">
      <c r="A50" s="9"/>
      <c r="B50" s="8"/>
      <c r="C50" s="9"/>
      <c r="D50" s="8"/>
      <c r="E50" s="8"/>
      <c r="F50" s="8"/>
      <c r="G50" s="8"/>
      <c r="H50" s="8"/>
      <c r="I50" s="8"/>
      <c r="J50" s="8"/>
      <c r="K50" s="8"/>
      <c r="L50" s="8"/>
      <c r="M50" s="9"/>
      <c r="N50" s="9"/>
      <c r="O50" s="10"/>
      <c r="P50" s="10"/>
      <c r="Q50" s="8"/>
      <c r="R50" s="8"/>
      <c r="S50" s="8"/>
      <c r="T50" s="8"/>
      <c r="U50" s="8"/>
    </row>
    <row r="51" spans="1:21">
      <c r="A51" s="9"/>
      <c r="B51" s="8"/>
      <c r="C51" s="9"/>
      <c r="D51" s="8"/>
      <c r="E51" s="8"/>
      <c r="F51" s="8"/>
      <c r="G51" s="8"/>
      <c r="H51" s="8"/>
      <c r="I51" s="8"/>
      <c r="J51" s="8"/>
      <c r="K51" s="8"/>
      <c r="L51" s="8"/>
      <c r="M51" s="9"/>
      <c r="N51" s="9"/>
      <c r="O51" s="10"/>
      <c r="P51" s="10"/>
      <c r="Q51" s="8"/>
      <c r="R51" s="8"/>
      <c r="S51" s="8"/>
      <c r="T51" s="8"/>
      <c r="U51" s="8"/>
    </row>
    <row r="52" spans="1:21">
      <c r="N52" s="1"/>
    </row>
    <row r="53" spans="1:21">
      <c r="N53" s="1"/>
    </row>
    <row r="54" spans="1:21">
      <c r="N54" s="1"/>
    </row>
    <row r="55" spans="1:21">
      <c r="N55" s="1"/>
    </row>
    <row r="56" spans="1:21">
      <c r="N56" s="1"/>
    </row>
    <row r="57" spans="1:21">
      <c r="N57" s="1"/>
    </row>
    <row r="58" spans="1:21">
      <c r="N58" s="1"/>
    </row>
    <row r="59" spans="1:21">
      <c r="N59" s="1"/>
    </row>
    <row r="60" spans="1:21">
      <c r="N60" s="1"/>
    </row>
    <row r="61" spans="1:21">
      <c r="N61" s="1"/>
    </row>
    <row r="62" spans="1:21">
      <c r="N62" s="1"/>
    </row>
    <row r="63" spans="1:21">
      <c r="N63" s="1"/>
    </row>
    <row r="64" spans="1:21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>
      <c r="N124" s="1"/>
    </row>
    <row r="125" spans="14:14">
      <c r="N125" s="1"/>
    </row>
    <row r="126" spans="14:14">
      <c r="N126" s="1"/>
    </row>
    <row r="127" spans="14:14">
      <c r="N127" s="1"/>
    </row>
    <row r="128" spans="14:14">
      <c r="N128" s="1"/>
    </row>
    <row r="129" spans="14:14">
      <c r="N129" s="1"/>
    </row>
    <row r="130" spans="14:14">
      <c r="N130" s="1"/>
    </row>
    <row r="131" spans="14:14">
      <c r="N131" s="1"/>
    </row>
    <row r="132" spans="14:14">
      <c r="N132" s="1"/>
    </row>
    <row r="133" spans="14:14">
      <c r="N133" s="1"/>
    </row>
    <row r="134" spans="14:14">
      <c r="N134" s="1"/>
    </row>
    <row r="135" spans="14:14">
      <c r="N135" s="1"/>
    </row>
    <row r="136" spans="14:14">
      <c r="N136" s="1"/>
    </row>
    <row r="137" spans="14:14">
      <c r="N137" s="1"/>
    </row>
    <row r="138" spans="14:14">
      <c r="N138" s="1"/>
    </row>
    <row r="139" spans="14:14">
      <c r="N139" s="1"/>
    </row>
    <row r="140" spans="14:14">
      <c r="N140" s="1"/>
    </row>
    <row r="141" spans="14:14">
      <c r="N141" s="1"/>
    </row>
    <row r="142" spans="14:14">
      <c r="N142" s="1"/>
    </row>
    <row r="143" spans="14:14">
      <c r="N143" s="1"/>
    </row>
    <row r="144" spans="14:14">
      <c r="N144" s="1"/>
    </row>
    <row r="145" spans="14:14">
      <c r="N145" s="1"/>
    </row>
    <row r="146" spans="14:14">
      <c r="N146" s="1"/>
    </row>
    <row r="147" spans="14:14">
      <c r="N147" s="1"/>
    </row>
    <row r="148" spans="14:14">
      <c r="N148" s="1"/>
    </row>
    <row r="149" spans="14:14">
      <c r="N149" s="1"/>
    </row>
    <row r="150" spans="14:14">
      <c r="N150" s="1"/>
    </row>
    <row r="151" spans="14:14">
      <c r="N151" s="1"/>
    </row>
    <row r="152" spans="14:14">
      <c r="N152" s="1"/>
    </row>
    <row r="153" spans="14:14">
      <c r="N153" s="1"/>
    </row>
    <row r="154" spans="14:14">
      <c r="N154" s="1"/>
    </row>
    <row r="155" spans="14:14">
      <c r="N155" s="1"/>
    </row>
    <row r="156" spans="14:14">
      <c r="N156" s="1"/>
    </row>
    <row r="157" spans="14:14">
      <c r="N157" s="1"/>
    </row>
    <row r="158" spans="14:14">
      <c r="N158" s="1"/>
    </row>
    <row r="160" spans="14:14">
      <c r="N160" s="1"/>
    </row>
    <row r="161" spans="14:14">
      <c r="N161" s="1"/>
    </row>
    <row r="162" spans="14:14">
      <c r="N162" s="1"/>
    </row>
    <row r="163" spans="14:14">
      <c r="N163" s="1"/>
    </row>
    <row r="164" spans="14:14">
      <c r="N164" s="1"/>
    </row>
    <row r="165" spans="14:14">
      <c r="N165" s="1"/>
    </row>
    <row r="166" spans="14:14">
      <c r="N166" s="1"/>
    </row>
    <row r="168" spans="14:14">
      <c r="N168" s="1"/>
    </row>
    <row r="169" spans="14:14">
      <c r="N169" s="1"/>
    </row>
    <row r="170" spans="14:14">
      <c r="N170" s="1"/>
    </row>
    <row r="171" spans="14:14">
      <c r="N171" s="1"/>
    </row>
    <row r="172" spans="14:14">
      <c r="N172" s="1"/>
    </row>
    <row r="173" spans="14:14">
      <c r="N173" s="1"/>
    </row>
    <row r="174" spans="14:14">
      <c r="N174" s="1"/>
    </row>
    <row r="175" spans="14:14">
      <c r="N175" s="1"/>
    </row>
    <row r="176" spans="14:14">
      <c r="N176" s="1"/>
    </row>
    <row r="177" spans="14:14">
      <c r="N177" s="1"/>
    </row>
    <row r="178" spans="14:14">
      <c r="N178" s="1"/>
    </row>
    <row r="179" spans="14:14">
      <c r="N179" s="1"/>
    </row>
    <row r="180" spans="14:14">
      <c r="N180" s="1"/>
    </row>
    <row r="181" spans="14:14">
      <c r="N181" s="1"/>
    </row>
    <row r="183" spans="14:14">
      <c r="N183" s="1"/>
    </row>
    <row r="184" spans="14:14">
      <c r="N184" s="1"/>
    </row>
    <row r="185" spans="14:14">
      <c r="N185" s="1"/>
    </row>
    <row r="187" spans="14:14">
      <c r="N187" s="1"/>
    </row>
    <row r="189" spans="14:14">
      <c r="N189" s="1"/>
    </row>
    <row r="190" spans="14:14">
      <c r="N190" s="1"/>
    </row>
    <row r="191" spans="14:14">
      <c r="N191" s="1"/>
    </row>
    <row r="194" spans="14:14">
      <c r="N194" s="1"/>
    </row>
    <row r="196" spans="14:14">
      <c r="N196" s="1"/>
    </row>
    <row r="198" spans="14:14">
      <c r="N198" s="1"/>
    </row>
    <row r="199" spans="14:14">
      <c r="N199" s="1"/>
    </row>
    <row r="200" spans="14:14">
      <c r="N200" s="1"/>
    </row>
    <row r="201" spans="14:14">
      <c r="N201" s="1"/>
    </row>
    <row r="202" spans="14:14">
      <c r="N202" s="1"/>
    </row>
    <row r="204" spans="14:14">
      <c r="N204" s="1"/>
    </row>
    <row r="205" spans="14:14">
      <c r="N205" s="1"/>
    </row>
    <row r="207" spans="14:14">
      <c r="N207" s="1"/>
    </row>
    <row r="208" spans="14:14">
      <c r="N208" s="1"/>
    </row>
    <row r="209" spans="14:14">
      <c r="N209" s="1"/>
    </row>
    <row r="210" spans="14:14">
      <c r="N210" s="1"/>
    </row>
    <row r="212" spans="14:14">
      <c r="N212" s="1"/>
    </row>
    <row r="213" spans="14:14">
      <c r="N213" s="1"/>
    </row>
    <row r="214" spans="14:14">
      <c r="N214" s="1"/>
    </row>
    <row r="215" spans="14:14">
      <c r="N215" s="1"/>
    </row>
    <row r="216" spans="14:14">
      <c r="N216" s="1"/>
    </row>
    <row r="218" spans="14:14">
      <c r="N218" s="1"/>
    </row>
    <row r="219" spans="14:14">
      <c r="N219" s="1"/>
    </row>
    <row r="220" spans="14:14">
      <c r="N220" s="1"/>
    </row>
    <row r="222" spans="14:14">
      <c r="N222" s="1"/>
    </row>
    <row r="223" spans="14:14">
      <c r="N223" s="1"/>
    </row>
    <row r="224" spans="14:14">
      <c r="N224" s="1"/>
    </row>
    <row r="225" spans="14:14">
      <c r="N225" s="1"/>
    </row>
    <row r="226" spans="14:14">
      <c r="N226" s="1"/>
    </row>
    <row r="227" spans="14:14">
      <c r="N227" s="1"/>
    </row>
    <row r="228" spans="14:14">
      <c r="N228" s="1"/>
    </row>
    <row r="229" spans="14:14">
      <c r="N229" s="1"/>
    </row>
    <row r="230" spans="14:14">
      <c r="N230" s="1"/>
    </row>
    <row r="231" spans="14:14">
      <c r="N231" s="1"/>
    </row>
    <row r="232" spans="14:14">
      <c r="N232" s="1"/>
    </row>
    <row r="233" spans="14:14">
      <c r="N233" s="1"/>
    </row>
    <row r="235" spans="14:14">
      <c r="N235" s="1"/>
    </row>
    <row r="236" spans="14:14">
      <c r="N236" s="1"/>
    </row>
    <row r="237" spans="14:14">
      <c r="N237" s="1"/>
    </row>
    <row r="238" spans="14:14">
      <c r="N238" s="1"/>
    </row>
    <row r="243" spans="14:14">
      <c r="N243" s="1"/>
    </row>
    <row r="244" spans="14:14">
      <c r="N244" s="1"/>
    </row>
    <row r="245" spans="14:14">
      <c r="N245" s="1"/>
    </row>
    <row r="248" spans="14:14">
      <c r="N248" s="1"/>
    </row>
    <row r="256" spans="14:14">
      <c r="N256" s="1"/>
    </row>
    <row r="259" spans="14:14">
      <c r="N259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22</xdr:col>
                <xdr:colOff>57150</xdr:colOff>
                <xdr:row>1</xdr:row>
                <xdr:rowOff>66675</xdr:rowOff>
              </from>
              <to>
                <xdr:col>24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6E9EF-B931-4F60-9205-D24BF6483092}">
  <sheetPr codeName="Sheet1"/>
  <dimension ref="A1:U74"/>
  <sheetViews>
    <sheetView zoomScale="70" zoomScaleNormal="70" workbookViewId="0"/>
  </sheetViews>
  <sheetFormatPr defaultRowHeight="15"/>
  <sheetData>
    <row r="1" spans="1:21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</row>
    <row r="2" spans="1:21">
      <c r="A2" s="32"/>
      <c r="B2" s="31"/>
      <c r="C2" s="32"/>
      <c r="D2" s="31"/>
      <c r="E2" s="31"/>
      <c r="F2" s="31"/>
      <c r="G2" s="31"/>
      <c r="H2" s="31"/>
      <c r="I2" s="31"/>
      <c r="J2" s="31"/>
      <c r="K2" s="31"/>
      <c r="L2" s="31"/>
      <c r="M2" s="32"/>
      <c r="N2" s="31"/>
      <c r="O2" s="31"/>
      <c r="P2" s="31"/>
      <c r="Q2" s="31"/>
      <c r="R2" s="31"/>
      <c r="S2" s="31"/>
      <c r="T2" s="31"/>
      <c r="U2" s="31"/>
    </row>
    <row r="3" spans="1:21">
      <c r="A3" s="32"/>
      <c r="B3" s="31"/>
      <c r="C3" s="32"/>
      <c r="D3" s="31"/>
      <c r="E3" s="31"/>
      <c r="F3" s="31"/>
      <c r="G3" s="31"/>
      <c r="H3" s="31"/>
      <c r="I3" s="31"/>
      <c r="J3" s="31"/>
      <c r="K3" s="31"/>
      <c r="L3" s="31"/>
      <c r="M3" s="32"/>
      <c r="N3" s="31"/>
      <c r="O3" s="31"/>
      <c r="P3" s="31"/>
      <c r="Q3" s="31"/>
      <c r="R3" s="31"/>
      <c r="S3" s="31"/>
      <c r="T3" s="31"/>
      <c r="U3" s="31"/>
    </row>
    <row r="4" spans="1:21">
      <c r="A4" s="32"/>
      <c r="B4" s="31"/>
      <c r="C4" s="32"/>
      <c r="D4" s="31"/>
      <c r="E4" s="31"/>
      <c r="F4" s="31"/>
      <c r="G4" s="31"/>
      <c r="H4" s="31"/>
      <c r="I4" s="31"/>
      <c r="J4" s="31"/>
      <c r="K4" s="31"/>
      <c r="L4" s="31"/>
      <c r="M4" s="32"/>
      <c r="N4" s="31"/>
      <c r="O4" s="31"/>
      <c r="P4" s="31"/>
      <c r="Q4" s="31"/>
      <c r="R4" s="31"/>
      <c r="S4" s="31"/>
      <c r="T4" s="31"/>
      <c r="U4" s="31"/>
    </row>
    <row r="5" spans="1:21">
      <c r="A5" s="32"/>
      <c r="B5" s="31"/>
      <c r="C5" s="32"/>
      <c r="D5" s="31"/>
      <c r="E5" s="31"/>
      <c r="F5" s="31"/>
      <c r="G5" s="31"/>
      <c r="H5" s="31"/>
      <c r="I5" s="31"/>
      <c r="J5" s="31"/>
      <c r="K5" s="31"/>
      <c r="L5" s="31"/>
      <c r="M5" s="32"/>
      <c r="N5" s="31"/>
      <c r="O5" s="31"/>
      <c r="P5" s="31"/>
      <c r="Q5" s="31"/>
      <c r="R5" s="31"/>
      <c r="S5" s="31"/>
      <c r="T5" s="31"/>
      <c r="U5" s="31"/>
    </row>
    <row r="6" spans="1:21">
      <c r="A6" s="32"/>
      <c r="B6" s="31"/>
      <c r="C6" s="32"/>
      <c r="D6" s="31"/>
      <c r="E6" s="31"/>
      <c r="F6" s="31"/>
      <c r="G6" s="31"/>
      <c r="H6" s="31"/>
      <c r="I6" s="31"/>
      <c r="J6" s="31"/>
      <c r="K6" s="31"/>
      <c r="L6" s="31"/>
      <c r="M6" s="32"/>
      <c r="N6" s="31"/>
      <c r="O6" s="31"/>
      <c r="P6" s="31"/>
      <c r="Q6" s="31"/>
      <c r="R6" s="31"/>
      <c r="S6" s="31"/>
      <c r="T6" s="31"/>
      <c r="U6" s="31"/>
    </row>
    <row r="7" spans="1:21">
      <c r="A7" s="32"/>
      <c r="B7" s="31"/>
      <c r="C7" s="32"/>
      <c r="D7" s="31"/>
      <c r="E7" s="31"/>
      <c r="F7" s="31"/>
      <c r="G7" s="31"/>
      <c r="H7" s="31"/>
      <c r="I7" s="31"/>
      <c r="J7" s="31"/>
      <c r="K7" s="31"/>
      <c r="L7" s="31"/>
      <c r="M7" s="32"/>
      <c r="N7" s="31"/>
      <c r="O7" s="31"/>
      <c r="P7" s="31"/>
      <c r="Q7" s="31"/>
      <c r="R7" s="31"/>
      <c r="S7" s="31"/>
      <c r="T7" s="31"/>
      <c r="U7" s="31"/>
    </row>
    <row r="8" spans="1:21">
      <c r="A8" s="32"/>
      <c r="B8" s="31"/>
      <c r="C8" s="32"/>
      <c r="D8" s="31"/>
      <c r="E8" s="31"/>
      <c r="F8" s="31"/>
      <c r="G8" s="31"/>
      <c r="H8" s="31"/>
      <c r="I8" s="31"/>
      <c r="J8" s="31"/>
      <c r="K8" s="31"/>
      <c r="L8" s="31"/>
      <c r="M8" s="32"/>
      <c r="N8" s="31"/>
      <c r="O8" s="31"/>
      <c r="P8" s="31"/>
      <c r="Q8" s="31"/>
      <c r="R8" s="31"/>
      <c r="S8" s="31"/>
      <c r="T8" s="31"/>
      <c r="U8" s="31"/>
    </row>
    <row r="9" spans="1:21">
      <c r="A9" s="32"/>
      <c r="B9" s="31"/>
      <c r="C9" s="32"/>
      <c r="D9" s="31"/>
      <c r="E9" s="31"/>
      <c r="F9" s="31"/>
      <c r="G9" s="31"/>
      <c r="H9" s="31"/>
      <c r="I9" s="31"/>
      <c r="J9" s="31"/>
      <c r="K9" s="31"/>
      <c r="L9" s="31"/>
      <c r="M9" s="32"/>
      <c r="N9" s="31"/>
      <c r="O9" s="31"/>
      <c r="P9" s="31"/>
      <c r="Q9" s="31"/>
      <c r="R9" s="31"/>
      <c r="S9" s="31"/>
      <c r="T9" s="31"/>
      <c r="U9" s="31"/>
    </row>
    <row r="10" spans="1:21">
      <c r="A10" s="32"/>
      <c r="B10" s="31"/>
      <c r="C10" s="32"/>
      <c r="D10" s="31"/>
      <c r="E10" s="31"/>
      <c r="F10" s="31"/>
      <c r="G10" s="31"/>
      <c r="H10" s="31"/>
      <c r="I10" s="31"/>
      <c r="J10" s="31"/>
      <c r="K10" s="31"/>
      <c r="L10" s="31"/>
      <c r="M10" s="32"/>
      <c r="N10" s="31"/>
      <c r="O10" s="31"/>
      <c r="P10" s="31"/>
      <c r="Q10" s="31"/>
      <c r="R10" s="31"/>
      <c r="S10" s="31"/>
      <c r="T10" s="31"/>
      <c r="U10" s="31"/>
    </row>
    <row r="11" spans="1:21">
      <c r="A11" s="32"/>
      <c r="B11" s="31"/>
      <c r="C11" s="32"/>
      <c r="D11" s="31"/>
      <c r="E11" s="31"/>
      <c r="F11" s="31"/>
      <c r="G11" s="31"/>
      <c r="H11" s="31"/>
      <c r="I11" s="31"/>
      <c r="J11" s="31"/>
      <c r="K11" s="31"/>
      <c r="L11" s="31"/>
      <c r="M11" s="32"/>
      <c r="N11" s="31"/>
      <c r="O11" s="31"/>
      <c r="P11" s="31"/>
      <c r="Q11" s="31"/>
      <c r="R11" s="31"/>
      <c r="S11" s="31"/>
      <c r="T11" s="31"/>
      <c r="U11" s="31"/>
    </row>
    <row r="12" spans="1:21">
      <c r="A12" s="32"/>
      <c r="B12" s="31"/>
      <c r="C12" s="32"/>
      <c r="D12" s="31"/>
      <c r="E12" s="31"/>
      <c r="F12" s="31"/>
      <c r="G12" s="31"/>
      <c r="H12" s="31"/>
      <c r="I12" s="31"/>
      <c r="J12" s="31"/>
      <c r="K12" s="31"/>
      <c r="L12" s="31"/>
      <c r="M12" s="32"/>
      <c r="N12" s="31"/>
      <c r="O12" s="31"/>
      <c r="P12" s="31"/>
      <c r="Q12" s="31"/>
      <c r="R12" s="31"/>
      <c r="S12" s="31"/>
      <c r="T12" s="31"/>
      <c r="U12" s="31"/>
    </row>
    <row r="13" spans="1:21">
      <c r="A13" s="32"/>
      <c r="B13" s="31"/>
      <c r="C13" s="32"/>
      <c r="D13" s="31"/>
      <c r="E13" s="31"/>
      <c r="F13" s="31"/>
      <c r="G13" s="31"/>
      <c r="H13" s="31"/>
      <c r="I13" s="31"/>
      <c r="J13" s="31"/>
      <c r="K13" s="31"/>
      <c r="L13" s="31"/>
      <c r="M13" s="32"/>
      <c r="N13" s="31"/>
      <c r="O13" s="31"/>
      <c r="P13" s="31"/>
      <c r="Q13" s="31"/>
      <c r="R13" s="31"/>
      <c r="S13" s="31"/>
      <c r="T13" s="31"/>
      <c r="U13" s="31"/>
    </row>
    <row r="14" spans="1:21">
      <c r="A14" s="32"/>
      <c r="B14" s="31"/>
      <c r="C14" s="32"/>
      <c r="D14" s="31"/>
      <c r="E14" s="31"/>
      <c r="F14" s="31"/>
      <c r="G14" s="31"/>
      <c r="H14" s="31"/>
      <c r="I14" s="31"/>
      <c r="J14" s="31"/>
      <c r="K14" s="31"/>
      <c r="L14" s="31"/>
      <c r="M14" s="32"/>
      <c r="N14" s="31"/>
      <c r="O14" s="31"/>
      <c r="P14" s="31"/>
      <c r="Q14" s="31"/>
      <c r="R14" s="31"/>
      <c r="S14" s="31"/>
      <c r="T14" s="31"/>
      <c r="U14" s="31"/>
    </row>
    <row r="15" spans="1:21">
      <c r="A15" s="32"/>
      <c r="B15" s="31"/>
      <c r="C15" s="32"/>
      <c r="D15" s="31"/>
      <c r="E15" s="31"/>
      <c r="F15" s="31"/>
      <c r="G15" s="31"/>
      <c r="H15" s="31"/>
      <c r="I15" s="31"/>
      <c r="J15" s="31"/>
      <c r="K15" s="31"/>
      <c r="L15" s="31"/>
      <c r="M15" s="32"/>
      <c r="N15" s="31"/>
      <c r="O15" s="31"/>
      <c r="P15" s="31"/>
      <c r="Q15" s="31"/>
      <c r="R15" s="31"/>
      <c r="S15" s="31"/>
      <c r="T15" s="31"/>
      <c r="U15" s="31"/>
    </row>
    <row r="16" spans="1:21">
      <c r="A16" s="32"/>
      <c r="B16" s="31"/>
      <c r="C16" s="32"/>
      <c r="D16" s="31"/>
      <c r="E16" s="31"/>
      <c r="F16" s="31"/>
      <c r="G16" s="31"/>
      <c r="H16" s="31"/>
      <c r="I16" s="31"/>
      <c r="J16" s="31"/>
      <c r="K16" s="31"/>
      <c r="L16" s="31"/>
      <c r="M16" s="32"/>
      <c r="N16" s="31"/>
      <c r="O16" s="31"/>
      <c r="P16" s="31"/>
      <c r="Q16" s="31"/>
      <c r="R16" s="31"/>
      <c r="S16" s="31"/>
      <c r="T16" s="31"/>
      <c r="U16" s="31"/>
    </row>
    <row r="17" spans="1:21">
      <c r="A17" s="32"/>
      <c r="B17" s="31"/>
      <c r="C17" s="32"/>
      <c r="D17" s="31"/>
      <c r="E17" s="31"/>
      <c r="F17" s="31"/>
      <c r="G17" s="31"/>
      <c r="H17" s="31"/>
      <c r="I17" s="31"/>
      <c r="J17" s="31"/>
      <c r="K17" s="31"/>
      <c r="L17" s="31"/>
      <c r="M17" s="32"/>
      <c r="N17" s="31"/>
      <c r="O17" s="31"/>
      <c r="P17" s="31"/>
      <c r="Q17" s="31"/>
      <c r="R17" s="31"/>
      <c r="S17" s="31"/>
      <c r="T17" s="31"/>
      <c r="U17" s="31"/>
    </row>
    <row r="18" spans="1:21">
      <c r="A18" s="32"/>
      <c r="B18" s="31"/>
      <c r="C18" s="32"/>
      <c r="D18" s="31"/>
      <c r="E18" s="31"/>
      <c r="F18" s="31"/>
      <c r="G18" s="31"/>
      <c r="H18" s="31"/>
      <c r="I18" s="31"/>
      <c r="J18" s="31"/>
      <c r="K18" s="31"/>
      <c r="L18" s="31"/>
      <c r="M18" s="32"/>
      <c r="N18" s="31"/>
      <c r="O18" s="31"/>
      <c r="P18" s="31"/>
      <c r="Q18" s="31"/>
      <c r="R18" s="31"/>
      <c r="S18" s="31"/>
      <c r="T18" s="31"/>
      <c r="U18" s="31"/>
    </row>
    <row r="19" spans="1:21">
      <c r="A19" s="32"/>
      <c r="B19" s="31"/>
      <c r="C19" s="32"/>
      <c r="D19" s="31"/>
      <c r="E19" s="31"/>
      <c r="F19" s="31"/>
      <c r="G19" s="31"/>
      <c r="H19" s="31"/>
      <c r="I19" s="31"/>
      <c r="J19" s="31"/>
      <c r="K19" s="31"/>
      <c r="L19" s="31"/>
      <c r="M19" s="32"/>
      <c r="N19" s="31"/>
      <c r="O19" s="31"/>
      <c r="P19" s="31"/>
      <c r="Q19" s="31"/>
      <c r="R19" s="31"/>
      <c r="S19" s="31"/>
      <c r="T19" s="31"/>
      <c r="U19" s="31"/>
    </row>
    <row r="20" spans="1:21">
      <c r="A20" s="32"/>
      <c r="B20" s="31"/>
      <c r="C20" s="32"/>
      <c r="D20" s="31"/>
      <c r="E20" s="31"/>
      <c r="F20" s="31"/>
      <c r="G20" s="31"/>
      <c r="H20" s="31"/>
      <c r="I20" s="31"/>
      <c r="J20" s="31"/>
      <c r="K20" s="31"/>
      <c r="L20" s="31"/>
      <c r="M20" s="32"/>
      <c r="N20" s="31"/>
      <c r="O20" s="31"/>
      <c r="P20" s="31"/>
      <c r="Q20" s="31"/>
      <c r="R20" s="31"/>
      <c r="S20" s="31"/>
      <c r="T20" s="31"/>
      <c r="U20" s="31"/>
    </row>
    <row r="21" spans="1:21">
      <c r="A21" s="32"/>
      <c r="B21" s="31"/>
      <c r="C21" s="32"/>
      <c r="D21" s="31"/>
      <c r="E21" s="31"/>
      <c r="F21" s="31"/>
      <c r="G21" s="31"/>
      <c r="H21" s="31"/>
      <c r="I21" s="31"/>
      <c r="J21" s="31"/>
      <c r="K21" s="31"/>
      <c r="L21" s="31"/>
      <c r="M21" s="32"/>
      <c r="N21" s="31"/>
      <c r="O21" s="31"/>
      <c r="P21" s="31"/>
      <c r="Q21" s="31"/>
      <c r="R21" s="31"/>
      <c r="S21" s="31"/>
      <c r="T21" s="31"/>
      <c r="U21" s="31"/>
    </row>
    <row r="22" spans="1:21">
      <c r="A22" s="32"/>
      <c r="B22" s="31"/>
      <c r="C22" s="32"/>
      <c r="D22" s="31"/>
      <c r="E22" s="31"/>
      <c r="F22" s="31"/>
      <c r="G22" s="31"/>
      <c r="H22" s="31"/>
      <c r="I22" s="31"/>
      <c r="J22" s="31"/>
      <c r="K22" s="31"/>
      <c r="L22" s="31"/>
      <c r="M22" s="32"/>
      <c r="N22" s="31"/>
      <c r="O22" s="31"/>
      <c r="P22" s="31"/>
      <c r="Q22" s="31"/>
      <c r="R22" s="31"/>
      <c r="S22" s="31"/>
      <c r="T22" s="31"/>
      <c r="U22" s="31"/>
    </row>
    <row r="23" spans="1:21">
      <c r="A23" s="32"/>
      <c r="B23" s="31"/>
      <c r="C23" s="32"/>
      <c r="D23" s="31"/>
      <c r="E23" s="31"/>
      <c r="F23" s="31"/>
      <c r="G23" s="31"/>
      <c r="H23" s="31"/>
      <c r="I23" s="31"/>
      <c r="J23" s="31"/>
      <c r="K23" s="31"/>
      <c r="L23" s="31"/>
      <c r="M23" s="32"/>
      <c r="N23" s="31"/>
      <c r="O23" s="31"/>
      <c r="P23" s="31"/>
      <c r="Q23" s="31"/>
      <c r="R23" s="31"/>
      <c r="S23" s="31"/>
      <c r="T23" s="31"/>
      <c r="U23" s="31"/>
    </row>
    <row r="24" spans="1:21">
      <c r="A24" s="32"/>
      <c r="B24" s="31"/>
      <c r="C24" s="32"/>
      <c r="D24" s="31"/>
      <c r="E24" s="31"/>
      <c r="F24" s="31"/>
      <c r="G24" s="31"/>
      <c r="H24" s="31"/>
      <c r="I24" s="31"/>
      <c r="J24" s="31"/>
      <c r="K24" s="31"/>
      <c r="L24" s="31"/>
      <c r="M24" s="32"/>
      <c r="N24" s="31"/>
      <c r="O24" s="31"/>
      <c r="P24" s="31"/>
      <c r="Q24" s="31"/>
      <c r="R24" s="31"/>
      <c r="S24" s="31"/>
      <c r="T24" s="31"/>
      <c r="U24" s="31"/>
    </row>
    <row r="25" spans="1:21">
      <c r="A25" s="32"/>
      <c r="B25" s="31"/>
      <c r="C25" s="32"/>
      <c r="D25" s="31"/>
      <c r="E25" s="31"/>
      <c r="F25" s="31"/>
      <c r="G25" s="31"/>
      <c r="H25" s="31"/>
      <c r="I25" s="31"/>
      <c r="J25" s="31"/>
      <c r="K25" s="31"/>
      <c r="L25" s="31"/>
      <c r="M25" s="32"/>
      <c r="N25" s="31"/>
      <c r="O25" s="31"/>
      <c r="P25" s="31"/>
      <c r="Q25" s="31"/>
      <c r="R25" s="31"/>
      <c r="S25" s="31"/>
      <c r="T25" s="31"/>
      <c r="U25" s="31"/>
    </row>
    <row r="26" spans="1:21">
      <c r="A26" s="32"/>
      <c r="B26" s="31"/>
      <c r="C26" s="32"/>
      <c r="D26" s="31"/>
      <c r="E26" s="31"/>
      <c r="F26" s="31"/>
      <c r="G26" s="31"/>
      <c r="H26" s="31"/>
      <c r="I26" s="31"/>
      <c r="J26" s="31"/>
      <c r="K26" s="31"/>
      <c r="L26" s="31"/>
      <c r="M26" s="32"/>
      <c r="N26" s="31"/>
      <c r="O26" s="31"/>
      <c r="P26" s="31"/>
      <c r="Q26" s="31"/>
      <c r="R26" s="31"/>
      <c r="S26" s="31"/>
      <c r="T26" s="31"/>
      <c r="U26" s="31"/>
    </row>
    <row r="27" spans="1:21">
      <c r="A27" s="32"/>
      <c r="B27" s="31"/>
      <c r="C27" s="32"/>
      <c r="D27" s="31"/>
      <c r="E27" s="31"/>
      <c r="F27" s="31"/>
      <c r="G27" s="31"/>
      <c r="H27" s="31"/>
      <c r="I27" s="31"/>
      <c r="J27" s="31"/>
      <c r="K27" s="31"/>
      <c r="L27" s="31"/>
      <c r="M27" s="32"/>
      <c r="N27" s="31"/>
      <c r="O27" s="31"/>
      <c r="P27" s="31"/>
      <c r="Q27" s="31"/>
      <c r="R27" s="31"/>
      <c r="S27" s="31"/>
      <c r="T27" s="31"/>
      <c r="U27" s="31"/>
    </row>
    <row r="28" spans="1:21">
      <c r="A28" s="32"/>
      <c r="B28" s="31"/>
      <c r="C28" s="32"/>
      <c r="D28" s="31"/>
      <c r="E28" s="31"/>
      <c r="F28" s="31"/>
      <c r="G28" s="31"/>
      <c r="H28" s="31"/>
      <c r="I28" s="31"/>
      <c r="J28" s="31"/>
      <c r="K28" s="31"/>
      <c r="L28" s="31"/>
      <c r="M28" s="32"/>
      <c r="N28" s="31"/>
      <c r="O28" s="31"/>
      <c r="P28" s="31"/>
      <c r="Q28" s="31"/>
      <c r="R28" s="31"/>
      <c r="S28" s="31"/>
      <c r="T28" s="31"/>
      <c r="U28" s="31"/>
    </row>
    <row r="29" spans="1:21">
      <c r="A29" s="32"/>
      <c r="B29" s="31"/>
      <c r="C29" s="32"/>
      <c r="D29" s="31"/>
      <c r="E29" s="31"/>
      <c r="F29" s="31"/>
      <c r="G29" s="31"/>
      <c r="H29" s="31"/>
      <c r="I29" s="31"/>
      <c r="J29" s="31"/>
      <c r="K29" s="31"/>
      <c r="L29" s="31"/>
      <c r="M29" s="32"/>
      <c r="N29" s="31"/>
      <c r="O29" s="31"/>
      <c r="P29" s="31"/>
      <c r="Q29" s="31"/>
      <c r="R29" s="31"/>
      <c r="S29" s="31"/>
      <c r="T29" s="31"/>
      <c r="U29" s="31"/>
    </row>
    <row r="30" spans="1:21">
      <c r="A30" s="32"/>
      <c r="B30" s="31"/>
      <c r="C30" s="32"/>
      <c r="D30" s="31"/>
      <c r="E30" s="31"/>
      <c r="F30" s="31"/>
      <c r="G30" s="31"/>
      <c r="H30" s="31"/>
      <c r="I30" s="31"/>
      <c r="J30" s="31"/>
      <c r="K30" s="31"/>
      <c r="L30" s="31"/>
      <c r="M30" s="32"/>
      <c r="N30" s="31"/>
      <c r="O30" s="31"/>
      <c r="P30" s="31"/>
      <c r="Q30" s="31"/>
      <c r="R30" s="31"/>
      <c r="S30" s="31"/>
      <c r="T30" s="31"/>
      <c r="U30" s="31"/>
    </row>
    <row r="31" spans="1:21">
      <c r="A31" s="32"/>
      <c r="B31" s="31"/>
      <c r="C31" s="32"/>
      <c r="D31" s="31"/>
      <c r="E31" s="31"/>
      <c r="F31" s="31"/>
      <c r="G31" s="31"/>
      <c r="H31" s="31"/>
      <c r="I31" s="31"/>
      <c r="J31" s="31"/>
      <c r="K31" s="31"/>
      <c r="L31" s="31"/>
      <c r="M31" s="32"/>
      <c r="N31" s="31"/>
      <c r="O31" s="31"/>
      <c r="P31" s="31"/>
      <c r="Q31" s="31"/>
      <c r="R31" s="31"/>
      <c r="S31" s="31"/>
      <c r="T31" s="31"/>
      <c r="U31" s="31"/>
    </row>
    <row r="32" spans="1:21">
      <c r="A32" s="32"/>
      <c r="B32" s="31"/>
      <c r="C32" s="32"/>
      <c r="D32" s="31"/>
      <c r="E32" s="31"/>
      <c r="F32" s="31"/>
      <c r="G32" s="31"/>
      <c r="H32" s="31"/>
      <c r="I32" s="31"/>
      <c r="J32" s="31"/>
      <c r="K32" s="31"/>
      <c r="L32" s="31"/>
      <c r="M32" s="32"/>
      <c r="N32" s="31"/>
      <c r="O32" s="31"/>
      <c r="P32" s="31"/>
      <c r="Q32" s="31"/>
      <c r="R32" s="31"/>
      <c r="S32" s="31"/>
      <c r="T32" s="31"/>
      <c r="U32" s="31"/>
    </row>
    <row r="33" spans="1:21">
      <c r="A33" s="32"/>
      <c r="B33" s="31"/>
      <c r="C33" s="32"/>
      <c r="D33" s="31"/>
      <c r="E33" s="31"/>
      <c r="F33" s="31"/>
      <c r="G33" s="31"/>
      <c r="H33" s="31"/>
      <c r="I33" s="31"/>
      <c r="J33" s="31"/>
      <c r="K33" s="31"/>
      <c r="L33" s="31"/>
      <c r="M33" s="32"/>
      <c r="N33" s="31"/>
      <c r="O33" s="31"/>
      <c r="P33" s="31"/>
      <c r="Q33" s="31"/>
      <c r="R33" s="31"/>
      <c r="S33" s="31"/>
      <c r="T33" s="31"/>
      <c r="U33" s="31"/>
    </row>
    <row r="34" spans="1:21">
      <c r="A34" s="32"/>
      <c r="B34" s="31"/>
      <c r="C34" s="32"/>
      <c r="D34" s="31"/>
      <c r="E34" s="31"/>
      <c r="F34" s="31"/>
      <c r="G34" s="31"/>
      <c r="H34" s="31"/>
      <c r="I34" s="31"/>
      <c r="J34" s="31"/>
      <c r="K34" s="31"/>
      <c r="L34" s="31"/>
      <c r="M34" s="32"/>
      <c r="N34" s="31"/>
      <c r="O34" s="31"/>
      <c r="P34" s="31"/>
      <c r="Q34" s="31"/>
      <c r="R34" s="31"/>
      <c r="S34" s="31"/>
      <c r="T34" s="31"/>
      <c r="U34" s="31"/>
    </row>
    <row r="35" spans="1:21">
      <c r="A35" s="32"/>
      <c r="B35" s="31"/>
      <c r="C35" s="32"/>
      <c r="D35" s="31"/>
      <c r="E35" s="31"/>
      <c r="F35" s="31"/>
      <c r="G35" s="31"/>
      <c r="H35" s="31"/>
      <c r="I35" s="31"/>
      <c r="J35" s="31"/>
      <c r="K35" s="31"/>
      <c r="L35" s="31"/>
      <c r="M35" s="32"/>
      <c r="N35" s="31"/>
      <c r="O35" s="31"/>
      <c r="P35" s="31"/>
      <c r="Q35" s="31"/>
      <c r="R35" s="31"/>
      <c r="S35" s="31"/>
      <c r="T35" s="31"/>
      <c r="U35" s="31"/>
    </row>
    <row r="36" spans="1:21">
      <c r="A36" s="32"/>
      <c r="B36" s="31"/>
      <c r="C36" s="32"/>
      <c r="D36" s="31"/>
      <c r="E36" s="31"/>
      <c r="F36" s="31"/>
      <c r="G36" s="31"/>
      <c r="H36" s="31"/>
      <c r="I36" s="31"/>
      <c r="J36" s="31"/>
      <c r="K36" s="31"/>
      <c r="L36" s="31"/>
      <c r="M36" s="32"/>
      <c r="N36" s="31"/>
      <c r="O36" s="31"/>
      <c r="P36" s="31"/>
      <c r="Q36" s="31"/>
      <c r="R36" s="31"/>
      <c r="S36" s="31"/>
      <c r="T36" s="31"/>
      <c r="U36" s="31"/>
    </row>
    <row r="37" spans="1:21">
      <c r="A37" s="32"/>
      <c r="B37" s="31"/>
      <c r="C37" s="32"/>
      <c r="D37" s="31"/>
      <c r="E37" s="31"/>
      <c r="F37" s="31"/>
      <c r="G37" s="31"/>
      <c r="H37" s="31"/>
      <c r="I37" s="31"/>
      <c r="J37" s="31"/>
      <c r="K37" s="31"/>
      <c r="L37" s="31"/>
      <c r="M37" s="32"/>
      <c r="N37" s="31"/>
      <c r="O37" s="31"/>
      <c r="P37" s="31"/>
      <c r="Q37" s="31"/>
      <c r="R37" s="31"/>
      <c r="S37" s="31"/>
      <c r="T37" s="31"/>
      <c r="U37" s="31"/>
    </row>
    <row r="38" spans="1:21">
      <c r="A38" s="32"/>
      <c r="B38" s="31"/>
      <c r="C38" s="32"/>
      <c r="D38" s="31"/>
      <c r="E38" s="31"/>
      <c r="F38" s="31"/>
      <c r="G38" s="31"/>
      <c r="H38" s="31"/>
      <c r="I38" s="31"/>
      <c r="J38" s="31"/>
      <c r="K38" s="31"/>
      <c r="L38" s="31"/>
      <c r="M38" s="32"/>
      <c r="N38" s="31"/>
      <c r="O38" s="31"/>
      <c r="P38" s="31"/>
      <c r="Q38" s="31"/>
      <c r="R38" s="31"/>
      <c r="S38" s="31"/>
      <c r="T38" s="31"/>
      <c r="U38" s="31"/>
    </row>
    <row r="39" spans="1:21">
      <c r="A39" s="32"/>
      <c r="B39" s="31"/>
      <c r="C39" s="32"/>
      <c r="D39" s="31"/>
      <c r="E39" s="31"/>
      <c r="F39" s="31"/>
      <c r="G39" s="31"/>
      <c r="H39" s="31"/>
      <c r="I39" s="31"/>
      <c r="J39" s="31"/>
      <c r="K39" s="31"/>
      <c r="L39" s="31"/>
      <c r="M39" s="32"/>
      <c r="N39" s="31"/>
      <c r="O39" s="31"/>
      <c r="P39" s="31"/>
      <c r="Q39" s="31"/>
      <c r="R39" s="31"/>
      <c r="S39" s="31"/>
      <c r="T39" s="31"/>
      <c r="U39" s="31"/>
    </row>
    <row r="40" spans="1:21">
      <c r="A40" s="32"/>
      <c r="B40" s="31"/>
      <c r="C40" s="32"/>
      <c r="D40" s="31"/>
      <c r="E40" s="31"/>
      <c r="F40" s="31"/>
      <c r="G40" s="31"/>
      <c r="H40" s="31"/>
      <c r="I40" s="31"/>
      <c r="J40" s="31"/>
      <c r="K40" s="31"/>
      <c r="L40" s="31"/>
      <c r="M40" s="32"/>
      <c r="N40" s="31"/>
      <c r="O40" s="31"/>
      <c r="P40" s="31"/>
      <c r="Q40" s="31"/>
      <c r="R40" s="31"/>
      <c r="S40" s="31"/>
      <c r="T40" s="31"/>
      <c r="U40" s="31"/>
    </row>
    <row r="41" spans="1:21">
      <c r="A41" s="32"/>
      <c r="B41" s="31"/>
      <c r="C41" s="32"/>
      <c r="D41" s="31"/>
      <c r="E41" s="31"/>
      <c r="F41" s="31"/>
      <c r="G41" s="31"/>
      <c r="H41" s="31"/>
      <c r="I41" s="31"/>
      <c r="J41" s="31"/>
      <c r="K41" s="31"/>
      <c r="L41" s="31"/>
      <c r="M41" s="32"/>
      <c r="N41" s="31"/>
      <c r="O41" s="31"/>
      <c r="P41" s="31"/>
      <c r="Q41" s="31"/>
      <c r="R41" s="31"/>
      <c r="S41" s="31"/>
      <c r="T41" s="31"/>
      <c r="U41" s="31"/>
    </row>
    <row r="42" spans="1:21">
      <c r="A42" s="32"/>
      <c r="B42" s="31"/>
      <c r="C42" s="32"/>
      <c r="D42" s="31"/>
      <c r="E42" s="31"/>
      <c r="F42" s="31"/>
      <c r="G42" s="31"/>
      <c r="H42" s="31"/>
      <c r="I42" s="31"/>
      <c r="J42" s="31"/>
      <c r="K42" s="31"/>
      <c r="L42" s="31"/>
      <c r="M42" s="32"/>
      <c r="N42" s="31"/>
      <c r="O42" s="31"/>
      <c r="P42" s="31"/>
      <c r="Q42" s="31"/>
      <c r="R42" s="31"/>
      <c r="S42" s="31"/>
      <c r="T42" s="31"/>
      <c r="U42" s="31"/>
    </row>
    <row r="43" spans="1:21">
      <c r="A43" s="32"/>
      <c r="B43" s="31"/>
      <c r="C43" s="32"/>
      <c r="D43" s="31"/>
      <c r="E43" s="31"/>
      <c r="F43" s="31"/>
      <c r="G43" s="31"/>
      <c r="H43" s="31"/>
      <c r="I43" s="31"/>
      <c r="J43" s="31"/>
      <c r="K43" s="31"/>
      <c r="L43" s="31"/>
      <c r="M43" s="32"/>
      <c r="N43" s="31"/>
      <c r="O43" s="31"/>
      <c r="P43" s="31"/>
      <c r="Q43" s="31"/>
      <c r="R43" s="31"/>
      <c r="S43" s="31"/>
      <c r="T43" s="31"/>
      <c r="U43" s="31"/>
    </row>
    <row r="44" spans="1:21">
      <c r="A44" s="32"/>
      <c r="B44" s="31"/>
      <c r="C44" s="32"/>
      <c r="D44" s="31"/>
      <c r="E44" s="31"/>
      <c r="F44" s="31"/>
      <c r="G44" s="31"/>
      <c r="H44" s="31"/>
      <c r="I44" s="31"/>
      <c r="J44" s="31"/>
      <c r="K44" s="31"/>
      <c r="L44" s="31"/>
      <c r="M44" s="32"/>
      <c r="N44" s="31"/>
      <c r="O44" s="31"/>
      <c r="P44" s="31"/>
      <c r="Q44" s="31"/>
      <c r="R44" s="31"/>
      <c r="S44" s="31"/>
      <c r="T44" s="31"/>
      <c r="U44" s="31"/>
    </row>
    <row r="45" spans="1:21">
      <c r="A45" s="32"/>
      <c r="B45" s="31"/>
      <c r="C45" s="32"/>
      <c r="D45" s="31"/>
      <c r="E45" s="31"/>
      <c r="F45" s="31"/>
      <c r="G45" s="31"/>
      <c r="H45" s="31"/>
      <c r="I45" s="31"/>
      <c r="J45" s="31"/>
      <c r="K45" s="31"/>
      <c r="L45" s="31"/>
      <c r="M45" s="32"/>
      <c r="N45" s="31"/>
      <c r="O45" s="31"/>
      <c r="P45" s="31"/>
      <c r="Q45" s="31"/>
      <c r="R45" s="31"/>
      <c r="S45" s="31"/>
      <c r="T45" s="31"/>
      <c r="U45" s="31"/>
    </row>
    <row r="46" spans="1:21">
      <c r="A46" s="32"/>
      <c r="B46" s="31"/>
      <c r="C46" s="32"/>
      <c r="D46" s="31"/>
      <c r="E46" s="31"/>
      <c r="F46" s="31"/>
      <c r="G46" s="31"/>
      <c r="H46" s="31"/>
      <c r="I46" s="31"/>
      <c r="J46" s="31"/>
      <c r="K46" s="31"/>
      <c r="L46" s="31"/>
      <c r="M46" s="32"/>
      <c r="N46" s="31"/>
      <c r="O46" s="31"/>
      <c r="P46" s="31"/>
      <c r="Q46" s="31"/>
      <c r="R46" s="31"/>
      <c r="S46" s="31"/>
      <c r="T46" s="31"/>
      <c r="U46" s="31"/>
    </row>
    <row r="47" spans="1:21">
      <c r="A47" s="32"/>
      <c r="B47" s="31"/>
      <c r="C47" s="32"/>
      <c r="D47" s="31"/>
      <c r="E47" s="31"/>
      <c r="F47" s="31"/>
      <c r="G47" s="31"/>
      <c r="H47" s="31"/>
      <c r="I47" s="31"/>
      <c r="J47" s="31"/>
      <c r="K47" s="31"/>
      <c r="L47" s="31"/>
      <c r="M47" s="32"/>
      <c r="N47" s="31"/>
      <c r="O47" s="31"/>
      <c r="P47" s="31"/>
      <c r="Q47" s="31"/>
      <c r="R47" s="31"/>
      <c r="S47" s="31"/>
      <c r="T47" s="31"/>
      <c r="U47" s="31"/>
    </row>
    <row r="48" spans="1:21">
      <c r="A48" s="32"/>
      <c r="B48" s="31"/>
      <c r="C48" s="32"/>
      <c r="D48" s="31"/>
      <c r="E48" s="31"/>
      <c r="F48" s="31"/>
      <c r="G48" s="31"/>
      <c r="H48" s="31"/>
      <c r="I48" s="31"/>
      <c r="J48" s="31"/>
      <c r="K48" s="31"/>
      <c r="L48" s="31"/>
      <c r="M48" s="32"/>
      <c r="N48" s="31"/>
      <c r="O48" s="31"/>
      <c r="P48" s="31"/>
      <c r="Q48" s="31"/>
      <c r="R48" s="31"/>
      <c r="S48" s="31"/>
      <c r="T48" s="31"/>
      <c r="U48" s="31"/>
    </row>
    <row r="49" spans="1:21">
      <c r="A49" s="32"/>
      <c r="B49" s="31"/>
      <c r="C49" s="32"/>
      <c r="D49" s="31"/>
      <c r="E49" s="31"/>
      <c r="F49" s="31"/>
      <c r="G49" s="31"/>
      <c r="H49" s="31"/>
      <c r="I49" s="31"/>
      <c r="J49" s="31"/>
      <c r="K49" s="31"/>
      <c r="L49" s="31"/>
      <c r="M49" s="32"/>
      <c r="N49" s="31"/>
      <c r="O49" s="31"/>
      <c r="P49" s="31"/>
      <c r="Q49" s="31"/>
      <c r="R49" s="31"/>
      <c r="S49" s="31"/>
      <c r="T49" s="31"/>
      <c r="U49" s="31"/>
    </row>
    <row r="50" spans="1:21">
      <c r="A50" s="32"/>
      <c r="B50" s="31"/>
      <c r="C50" s="32"/>
      <c r="D50" s="31"/>
      <c r="E50" s="31"/>
      <c r="F50" s="31"/>
      <c r="G50" s="31"/>
      <c r="H50" s="31"/>
      <c r="I50" s="31"/>
      <c r="J50" s="31"/>
      <c r="K50" s="31"/>
      <c r="L50" s="31"/>
      <c r="M50" s="32"/>
      <c r="N50" s="31"/>
      <c r="O50" s="31"/>
      <c r="P50" s="31"/>
      <c r="Q50" s="31"/>
      <c r="R50" s="31"/>
      <c r="S50" s="31"/>
      <c r="T50" s="31"/>
      <c r="U50" s="31"/>
    </row>
    <row r="51" spans="1:21">
      <c r="A51" s="32"/>
      <c r="B51" s="31"/>
      <c r="C51" s="32"/>
      <c r="D51" s="31"/>
      <c r="E51" s="31"/>
      <c r="F51" s="31"/>
      <c r="G51" s="31"/>
      <c r="H51" s="31"/>
      <c r="I51" s="31"/>
      <c r="J51" s="31"/>
      <c r="K51" s="31"/>
      <c r="L51" s="31"/>
      <c r="M51" s="32"/>
      <c r="N51" s="31"/>
      <c r="O51" s="31"/>
      <c r="P51" s="31"/>
      <c r="Q51" s="31"/>
      <c r="R51" s="31"/>
      <c r="S51" s="31"/>
      <c r="T51" s="31"/>
      <c r="U51" s="31"/>
    </row>
    <row r="52" spans="1:21">
      <c r="A52" s="32"/>
      <c r="B52" s="31"/>
      <c r="C52" s="32"/>
      <c r="D52" s="31"/>
      <c r="E52" s="31"/>
      <c r="F52" s="31"/>
      <c r="G52" s="31"/>
      <c r="H52" s="31"/>
      <c r="I52" s="31"/>
      <c r="J52" s="31"/>
      <c r="K52" s="31"/>
      <c r="L52" s="31"/>
      <c r="M52" s="32"/>
      <c r="N52" s="31"/>
      <c r="O52" s="31"/>
      <c r="P52" s="31"/>
      <c r="Q52" s="31"/>
      <c r="R52" s="31"/>
      <c r="S52" s="31"/>
      <c r="T52" s="31"/>
      <c r="U52" s="31"/>
    </row>
    <row r="53" spans="1:21">
      <c r="A53" s="32"/>
      <c r="B53" s="31"/>
      <c r="C53" s="32"/>
      <c r="D53" s="31"/>
      <c r="E53" s="31"/>
      <c r="F53" s="31"/>
      <c r="G53" s="31"/>
      <c r="H53" s="31"/>
      <c r="I53" s="31"/>
      <c r="J53" s="31"/>
      <c r="K53" s="31"/>
      <c r="L53" s="31"/>
      <c r="M53" s="32"/>
      <c r="N53" s="31"/>
      <c r="O53" s="31"/>
      <c r="P53" s="31"/>
      <c r="Q53" s="31"/>
      <c r="R53" s="31"/>
      <c r="S53" s="31"/>
      <c r="T53" s="31"/>
      <c r="U53" s="31"/>
    </row>
    <row r="54" spans="1:21">
      <c r="A54" s="32"/>
      <c r="B54" s="31"/>
      <c r="C54" s="32"/>
      <c r="D54" s="31"/>
      <c r="E54" s="31"/>
      <c r="F54" s="31"/>
      <c r="G54" s="31"/>
      <c r="H54" s="31"/>
      <c r="I54" s="31"/>
      <c r="J54" s="31"/>
      <c r="K54" s="31"/>
      <c r="L54" s="31"/>
      <c r="M54" s="32"/>
      <c r="N54" s="31"/>
      <c r="O54" s="31"/>
      <c r="P54" s="31"/>
      <c r="Q54" s="31"/>
      <c r="R54" s="31"/>
      <c r="S54" s="31"/>
      <c r="T54" s="31"/>
      <c r="U54" s="31"/>
    </row>
    <row r="55" spans="1:21">
      <c r="A55" s="32"/>
      <c r="B55" s="31"/>
      <c r="C55" s="32"/>
      <c r="D55" s="31"/>
      <c r="E55" s="31"/>
      <c r="F55" s="31"/>
      <c r="G55" s="31"/>
      <c r="H55" s="31"/>
      <c r="I55" s="31"/>
      <c r="J55" s="31"/>
      <c r="K55" s="31"/>
      <c r="L55" s="31"/>
      <c r="M55" s="32"/>
      <c r="N55" s="31"/>
      <c r="O55" s="31"/>
      <c r="P55" s="31"/>
      <c r="Q55" s="31"/>
      <c r="R55" s="31"/>
      <c r="S55" s="31"/>
      <c r="T55" s="31"/>
      <c r="U55" s="31"/>
    </row>
    <row r="56" spans="1:21">
      <c r="N56" s="1"/>
      <c r="O56" s="1"/>
    </row>
    <row r="57" spans="1:21">
      <c r="O57" s="1"/>
    </row>
    <row r="58" spans="1:21">
      <c r="N58" s="1"/>
      <c r="O58" s="1"/>
    </row>
    <row r="59" spans="1:21">
      <c r="O59" s="1"/>
    </row>
    <row r="60" spans="1:21">
      <c r="O60" s="1"/>
    </row>
    <row r="61" spans="1:21">
      <c r="O61" s="1"/>
      <c r="P61" s="1"/>
    </row>
    <row r="62" spans="1:21">
      <c r="O62" s="1"/>
      <c r="P62" s="1"/>
    </row>
    <row r="63" spans="1:21">
      <c r="O63" s="1"/>
      <c r="P63" s="1"/>
    </row>
    <row r="64" spans="1:21">
      <c r="O64" s="1"/>
      <c r="P64" s="1"/>
    </row>
    <row r="65" spans="14:16">
      <c r="O65" s="1"/>
    </row>
    <row r="66" spans="14:16">
      <c r="O66" s="1"/>
    </row>
    <row r="67" spans="14:16">
      <c r="O67" s="1"/>
    </row>
    <row r="68" spans="14:16">
      <c r="O68" s="1"/>
    </row>
    <row r="69" spans="14:16">
      <c r="N69" s="1"/>
      <c r="O69" s="1"/>
      <c r="P69" s="1"/>
    </row>
    <row r="70" spans="14:16">
      <c r="O70" s="1"/>
      <c r="P70" s="1"/>
    </row>
    <row r="71" spans="14:16">
      <c r="O71" s="1"/>
      <c r="P71" s="1"/>
    </row>
    <row r="72" spans="14:16">
      <c r="O72" s="1"/>
      <c r="P72" s="1"/>
    </row>
    <row r="73" spans="14:16">
      <c r="O73" s="1"/>
      <c r="P73" s="1"/>
    </row>
    <row r="74" spans="14:16">
      <c r="O74" s="1"/>
      <c r="P7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27A5-B073-4D5D-A7E8-1DBAA5C8EC0A}">
  <sheetPr codeName="Sheet2"/>
  <dimension ref="A1:AC387"/>
  <sheetViews>
    <sheetView topLeftCell="E1" zoomScale="70" zoomScaleNormal="70" workbookViewId="0">
      <selection activeCell="M13" sqref="M13"/>
    </sheetView>
  </sheetViews>
  <sheetFormatPr defaultColWidth="9.140625" defaultRowHeight="12.75"/>
  <cols>
    <col min="1" max="1" width="10.85546875" style="19" customWidth="1"/>
    <col min="2" max="2" width="16.28515625" style="19" customWidth="1"/>
    <col min="3" max="3" width="15.85546875" style="19" customWidth="1"/>
    <col min="4" max="4" width="13.28515625" style="19" customWidth="1"/>
    <col min="5" max="5" width="14.5703125" style="19" customWidth="1"/>
    <col min="6" max="6" width="12.5703125" style="19" customWidth="1"/>
    <col min="7" max="7" width="17.7109375" style="19" customWidth="1"/>
    <col min="8" max="8" width="15.140625" style="19" customWidth="1"/>
    <col min="9" max="9" width="15.7109375" style="19" customWidth="1"/>
    <col min="10" max="10" width="19" style="19" customWidth="1"/>
    <col min="11" max="11" width="19.140625" style="19" customWidth="1"/>
    <col min="12" max="12" width="23.7109375" style="19" customWidth="1"/>
    <col min="13" max="13" width="12.85546875" style="19" customWidth="1"/>
    <col min="14" max="15" width="29" style="19" customWidth="1"/>
    <col min="16" max="16" width="23.28515625" style="19" customWidth="1"/>
    <col min="17" max="17" width="24.85546875" style="19" customWidth="1"/>
    <col min="18" max="18" width="18.5703125" style="19" customWidth="1"/>
    <col min="19" max="19" width="15.28515625" style="19" customWidth="1"/>
    <col min="20" max="21" width="22.140625" style="19" customWidth="1"/>
    <col min="22" max="22" width="18.42578125" style="19" customWidth="1"/>
    <col min="23" max="23" width="17" style="19" customWidth="1"/>
    <col min="24" max="24" width="18.42578125" style="19" customWidth="1"/>
    <col min="25" max="25" width="18.85546875" style="19" customWidth="1"/>
    <col min="26" max="26" width="15.28515625" style="19" customWidth="1"/>
    <col min="27" max="27" width="12.28515625" style="19" customWidth="1"/>
    <col min="28" max="16384" width="9.140625" style="19"/>
  </cols>
  <sheetData>
    <row r="1" spans="1:29" ht="91.5" customHeight="1">
      <c r="A1" s="33" t="s">
        <v>274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5" t="s">
        <v>275</v>
      </c>
      <c r="M1" s="35"/>
      <c r="N1" s="17" t="s">
        <v>276</v>
      </c>
      <c r="O1" s="18"/>
      <c r="P1" s="18"/>
      <c r="Z1" s="36" t="s">
        <v>277</v>
      </c>
      <c r="AA1" s="36"/>
    </row>
    <row r="2" spans="1:29" ht="29.25" customHeight="1">
      <c r="A2" s="37" t="s">
        <v>278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5" t="s">
        <v>279</v>
      </c>
      <c r="M2" s="35"/>
      <c r="N2" s="20" t="str">
        <f>B5</f>
        <v>/0/543</v>
      </c>
      <c r="O2" s="18"/>
      <c r="P2" s="18"/>
    </row>
    <row r="3" spans="1:29" ht="51" customHeight="1">
      <c r="A3" s="21" t="s">
        <v>280</v>
      </c>
      <c r="B3" s="21" t="s">
        <v>0</v>
      </c>
      <c r="C3" s="21" t="s">
        <v>1</v>
      </c>
      <c r="D3" s="22" t="s">
        <v>2</v>
      </c>
      <c r="E3" s="22" t="s">
        <v>3</v>
      </c>
      <c r="F3" s="22" t="s">
        <v>4</v>
      </c>
      <c r="G3" s="22" t="s">
        <v>5</v>
      </c>
      <c r="H3" s="22" t="s">
        <v>6</v>
      </c>
      <c r="I3" s="21" t="s">
        <v>7</v>
      </c>
      <c r="J3" s="21" t="s">
        <v>8</v>
      </c>
      <c r="K3" s="21" t="s">
        <v>9</v>
      </c>
      <c r="L3" s="21" t="s">
        <v>10</v>
      </c>
      <c r="M3" s="22" t="s">
        <v>11</v>
      </c>
      <c r="N3" s="21" t="s">
        <v>12</v>
      </c>
      <c r="O3" s="21" t="s">
        <v>13</v>
      </c>
      <c r="P3" s="21" t="s">
        <v>281</v>
      </c>
      <c r="Q3" s="21" t="s">
        <v>14</v>
      </c>
      <c r="R3" s="21" t="s">
        <v>15</v>
      </c>
      <c r="S3" s="22" t="s">
        <v>16</v>
      </c>
      <c r="T3" s="21" t="s">
        <v>17</v>
      </c>
      <c r="U3" s="21" t="s">
        <v>18</v>
      </c>
      <c r="V3" s="21" t="s">
        <v>19</v>
      </c>
      <c r="W3" s="21" t="s">
        <v>20</v>
      </c>
      <c r="X3" s="21" t="s">
        <v>21</v>
      </c>
      <c r="Y3" s="21" t="s">
        <v>22</v>
      </c>
      <c r="Z3" s="21" t="s">
        <v>23</v>
      </c>
      <c r="AA3" s="22" t="s">
        <v>24</v>
      </c>
      <c r="AB3" s="23"/>
      <c r="AC3" s="23"/>
    </row>
    <row r="4" spans="1:29" s="24" customFormat="1" ht="23.25" hidden="1" customHeight="1">
      <c r="A4" s="24" t="s">
        <v>282</v>
      </c>
      <c r="B4" s="24" t="s">
        <v>283</v>
      </c>
      <c r="C4" s="24" t="s">
        <v>284</v>
      </c>
      <c r="D4" s="24" t="s">
        <v>285</v>
      </c>
      <c r="E4" s="24" t="s">
        <v>286</v>
      </c>
      <c r="F4" s="24" t="s">
        <v>287</v>
      </c>
      <c r="G4" s="24" t="s">
        <v>288</v>
      </c>
      <c r="H4" s="24" t="s">
        <v>289</v>
      </c>
      <c r="I4" s="24" t="s">
        <v>290</v>
      </c>
      <c r="J4" s="25" t="s">
        <v>291</v>
      </c>
      <c r="K4" s="24" t="s">
        <v>292</v>
      </c>
      <c r="L4" s="24" t="s">
        <v>293</v>
      </c>
      <c r="M4" s="24" t="s">
        <v>294</v>
      </c>
      <c r="N4" s="24" t="s">
        <v>295</v>
      </c>
      <c r="O4" s="24" t="s">
        <v>296</v>
      </c>
      <c r="P4" s="24" t="s">
        <v>297</v>
      </c>
      <c r="Q4" s="24" t="s">
        <v>298</v>
      </c>
      <c r="R4" s="24" t="s">
        <v>299</v>
      </c>
      <c r="S4" s="24" t="s">
        <v>300</v>
      </c>
      <c r="T4" s="24" t="s">
        <v>301</v>
      </c>
      <c r="U4" s="24" t="s">
        <v>302</v>
      </c>
      <c r="V4" s="24" t="s">
        <v>303</v>
      </c>
      <c r="W4" s="24" t="s">
        <v>304</v>
      </c>
      <c r="X4" s="24" t="s">
        <v>305</v>
      </c>
      <c r="Y4" s="24" t="s">
        <v>306</v>
      </c>
      <c r="Z4" s="24" t="s">
        <v>307</v>
      </c>
      <c r="AA4" s="24" t="s">
        <v>308</v>
      </c>
    </row>
    <row r="5" spans="1:29" s="18" customFormat="1" ht="15">
      <c r="A5" s="16">
        <f>ROWS($A$5:B5:C5)</f>
        <v>1</v>
      </c>
      <c r="B5" s="16" t="str">
        <f>ASSETs!AU2</f>
        <v>/0/543</v>
      </c>
      <c r="C5" s="26" t="s">
        <v>309</v>
      </c>
      <c r="D5">
        <f>IF(TIM!Q2=TIM!Q2,TIM!Q2,"")</f>
        <v>0</v>
      </c>
      <c r="E5" s="19"/>
      <c r="F5" s="19"/>
      <c r="H5" s="19"/>
      <c r="I5" t="str">
        <f>IFERROR(VLOOKUP(TIM!E2,ASSETs!$AA$6:$AB$7,2,FALSE),"")</f>
        <v/>
      </c>
      <c r="J5" s="2">
        <f>(IF(TIM!B2=TIM!B2,TIM!B2,""))</f>
        <v>0</v>
      </c>
      <c r="L5">
        <f>IF(TIM!C2=TIM!C2,TIM!C2,"")</f>
        <v>0</v>
      </c>
      <c r="M5" t="str">
        <f>ASSETs!W2</f>
        <v/>
      </c>
      <c r="O5">
        <f>IF(TIM!G2=TIM!G2,TIM!G2,"")</f>
        <v>0</v>
      </c>
      <c r="P5" s="27"/>
      <c r="Q5" t="str">
        <f>ASSETs!$AD$2</f>
        <v>Phang-nga</v>
      </c>
      <c r="R5">
        <f>ASSETs!$AE$2</f>
        <v>99</v>
      </c>
      <c r="S5" s="11">
        <v>146</v>
      </c>
      <c r="T5" s="3">
        <f>IF(TIM!F2=TIM!F2,TIM!F2,"")</f>
        <v>0</v>
      </c>
      <c r="U5" s="18">
        <f>ASSETs!X2</f>
        <v>0</v>
      </c>
      <c r="V5" t="str">
        <f>ASSETs!$AA$2</f>
        <v>Phuket</v>
      </c>
      <c r="W5" s="3">
        <f>ASSETs!$AB$2</f>
        <v>99</v>
      </c>
      <c r="X5" s="6" t="str">
        <f>ASSETs!AN2</f>
        <v>/0/543</v>
      </c>
      <c r="Y5" t="str">
        <f>ASSETs!$AF$2</f>
        <v>12.00</v>
      </c>
      <c r="Z5" s="18">
        <v>1</v>
      </c>
    </row>
    <row r="6" spans="1:29" s="18" customFormat="1" ht="15">
      <c r="A6" s="16">
        <f>ROWS($A$5:B6:C6)</f>
        <v>2</v>
      </c>
      <c r="B6" s="16" t="str">
        <f>ASSETs!AU3</f>
        <v>/0/543</v>
      </c>
      <c r="C6" s="26" t="s">
        <v>309</v>
      </c>
      <c r="D6">
        <f>IF(TIM!Q3=TIM!Q3,TIM!Q3,"")</f>
        <v>0</v>
      </c>
      <c r="E6" s="19"/>
      <c r="F6" s="19"/>
      <c r="G6" s="19"/>
      <c r="H6" s="19"/>
      <c r="I6" t="str">
        <f>IFERROR(VLOOKUP(TIM!E3,ASSETs!$AA$6:$AB$7,2,FALSE),"")</f>
        <v/>
      </c>
      <c r="J6" s="2">
        <f>(IF(TIM!B3=TIM!B3,TIM!B3,""))</f>
        <v>0</v>
      </c>
      <c r="K6" s="19"/>
      <c r="L6">
        <f>IF(TIM!C3=TIM!C3,TIM!C3,"")</f>
        <v>0</v>
      </c>
      <c r="M6" t="str">
        <f>ASSETs!W3</f>
        <v/>
      </c>
      <c r="O6">
        <f>IF(TIM!G3=TIM!G3,TIM!G3,"")</f>
        <v>0</v>
      </c>
      <c r="Q6" t="str">
        <f>ASSETs!$AD$2</f>
        <v>Phang-nga</v>
      </c>
      <c r="R6">
        <f>ASSETs!$AE$2</f>
        <v>99</v>
      </c>
      <c r="S6" s="11">
        <v>146</v>
      </c>
      <c r="T6" s="3">
        <f>IF(TIM!F3=TIM!F3,TIM!F3,"")</f>
        <v>0</v>
      </c>
      <c r="U6" s="18">
        <f>ASSETs!X3</f>
        <v>0</v>
      </c>
      <c r="V6" t="str">
        <f>ASSETs!$AA$2</f>
        <v>Phuket</v>
      </c>
      <c r="W6" s="3">
        <f>ASSETs!$AB$2</f>
        <v>99</v>
      </c>
      <c r="X6" s="6" t="str">
        <f>ASSETs!AN3</f>
        <v>/0/543</v>
      </c>
      <c r="Y6" t="str">
        <f>ASSETs!$AF$2</f>
        <v>12.00</v>
      </c>
      <c r="Z6" s="18">
        <v>1</v>
      </c>
      <c r="AA6" s="19"/>
    </row>
    <row r="7" spans="1:29" s="18" customFormat="1" ht="15">
      <c r="A7" s="16">
        <f>ROWS($A$5:B7:C7)</f>
        <v>3</v>
      </c>
      <c r="B7" s="16" t="str">
        <f>ASSETs!AU4</f>
        <v>/0/543</v>
      </c>
      <c r="C7" s="26" t="s">
        <v>309</v>
      </c>
      <c r="D7">
        <f>IF(TIM!Q4=TIM!Q4,TIM!Q4,"")</f>
        <v>0</v>
      </c>
      <c r="E7" s="19"/>
      <c r="F7" s="19"/>
      <c r="H7" s="19"/>
      <c r="I7" t="str">
        <f>IFERROR(VLOOKUP(TIM!E4,ASSETs!$AA$6:$AB$7,2,FALSE),"")</f>
        <v/>
      </c>
      <c r="J7" s="2">
        <f>(IF(TIM!B4=TIM!B4,TIM!B4,""))</f>
        <v>0</v>
      </c>
      <c r="L7">
        <f>IF(TIM!C4=TIM!C4,TIM!C4,"")</f>
        <v>0</v>
      </c>
      <c r="M7" t="str">
        <f>ASSETs!W4</f>
        <v/>
      </c>
      <c r="O7">
        <f>IF(TIM!G4=TIM!G4,TIM!G4,"")</f>
        <v>0</v>
      </c>
      <c r="Q7" t="str">
        <f>ASSETs!$AD$2</f>
        <v>Phang-nga</v>
      </c>
      <c r="R7">
        <f>ASSETs!$AE$2</f>
        <v>99</v>
      </c>
      <c r="S7" s="11">
        <v>146</v>
      </c>
      <c r="T7" s="3">
        <f>IF(TIM!F4=TIM!F4,TIM!F4,"")</f>
        <v>0</v>
      </c>
      <c r="U7" s="18">
        <f>ASSETs!X4</f>
        <v>0</v>
      </c>
      <c r="V7" t="str">
        <f>ASSETs!$AA$2</f>
        <v>Phuket</v>
      </c>
      <c r="W7" s="3">
        <f>ASSETs!$AB$2</f>
        <v>99</v>
      </c>
      <c r="X7" s="6" t="str">
        <f>ASSETs!AN4</f>
        <v>/0/543</v>
      </c>
      <c r="Y7" t="str">
        <f>ASSETs!$AF$2</f>
        <v>12.00</v>
      </c>
      <c r="Z7" s="18">
        <v>1</v>
      </c>
    </row>
    <row r="8" spans="1:29" s="18" customFormat="1" ht="15">
      <c r="A8" s="16">
        <f>ROWS($A$5:B8:C8)</f>
        <v>4</v>
      </c>
      <c r="B8" s="16" t="str">
        <f>ASSETs!AU5</f>
        <v>/0/543</v>
      </c>
      <c r="C8" s="26" t="s">
        <v>309</v>
      </c>
      <c r="D8">
        <f>IF(TIM!Q5=TIM!Q5,TIM!Q5,"")</f>
        <v>0</v>
      </c>
      <c r="F8" s="19"/>
      <c r="H8" s="19"/>
      <c r="I8" t="str">
        <f>IFERROR(VLOOKUP(TIM!E5,ASSETs!$AA$6:$AB$7,2,FALSE),"")</f>
        <v/>
      </c>
      <c r="J8" s="2">
        <f>(IF(TIM!B5=TIM!B5,TIM!B5,""))</f>
        <v>0</v>
      </c>
      <c r="L8">
        <f>IF(TIM!C5=TIM!C5,TIM!C5,"")</f>
        <v>0</v>
      </c>
      <c r="M8" t="str">
        <f>ASSETs!W5</f>
        <v/>
      </c>
      <c r="N8" s="27"/>
      <c r="O8">
        <f>IF(TIM!G5=TIM!G5,TIM!G5,"")</f>
        <v>0</v>
      </c>
      <c r="Q8" t="str">
        <f>ASSETs!$AD$2</f>
        <v>Phang-nga</v>
      </c>
      <c r="R8">
        <f>ASSETs!$AE$2</f>
        <v>99</v>
      </c>
      <c r="S8" s="11">
        <v>146</v>
      </c>
      <c r="T8" s="3">
        <f>IF(TIM!F5=TIM!F5,TIM!F5,"")</f>
        <v>0</v>
      </c>
      <c r="U8" s="18">
        <f>ASSETs!X5</f>
        <v>0</v>
      </c>
      <c r="V8" t="str">
        <f>ASSETs!$AA$2</f>
        <v>Phuket</v>
      </c>
      <c r="W8" s="3">
        <f>ASSETs!$AB$2</f>
        <v>99</v>
      </c>
      <c r="X8" s="6" t="str">
        <f>ASSETs!AN5</f>
        <v>/0/543</v>
      </c>
      <c r="Y8" t="str">
        <f>ASSETs!$AF$2</f>
        <v>12.00</v>
      </c>
      <c r="Z8" s="18">
        <v>1</v>
      </c>
      <c r="AA8" s="19"/>
    </row>
    <row r="9" spans="1:29" s="18" customFormat="1" ht="15">
      <c r="A9" s="16">
        <f>ROWS($A$5:B9:C9)</f>
        <v>5</v>
      </c>
      <c r="B9" s="16" t="str">
        <f>ASSETs!AU6</f>
        <v>/0/543</v>
      </c>
      <c r="C9" s="26" t="s">
        <v>309</v>
      </c>
      <c r="D9">
        <f>IF(TIM!Q6=TIM!Q6,TIM!Q6,"")</f>
        <v>0</v>
      </c>
      <c r="F9" s="19"/>
      <c r="H9" s="19"/>
      <c r="I9" t="str">
        <f>IFERROR(VLOOKUP(TIM!E6,ASSETs!$AA$6:$AB$7,2,FALSE),"")</f>
        <v/>
      </c>
      <c r="J9" s="2">
        <f>(IF(TIM!B6=TIM!B6,TIM!B6,""))</f>
        <v>0</v>
      </c>
      <c r="L9">
        <f>IF(TIM!C6=TIM!C6,TIM!C6,"")</f>
        <v>0</v>
      </c>
      <c r="M9" t="str">
        <f>ASSETs!W6</f>
        <v/>
      </c>
      <c r="N9" s="27"/>
      <c r="O9">
        <f>IF(TIM!G6=TIM!G6,TIM!G6,"")</f>
        <v>0</v>
      </c>
      <c r="Q9" t="str">
        <f>ASSETs!$AD$2</f>
        <v>Phang-nga</v>
      </c>
      <c r="R9">
        <f>ASSETs!$AE$2</f>
        <v>99</v>
      </c>
      <c r="S9" s="11">
        <v>146</v>
      </c>
      <c r="T9" s="3">
        <f>IF(TIM!F6=TIM!F6,TIM!F6,"")</f>
        <v>0</v>
      </c>
      <c r="U9" s="18">
        <f>ASSETs!X6</f>
        <v>0</v>
      </c>
      <c r="V9" t="str">
        <f>ASSETs!$AA$2</f>
        <v>Phuket</v>
      </c>
      <c r="W9" s="3">
        <f>ASSETs!$AB$2</f>
        <v>99</v>
      </c>
      <c r="X9" s="6" t="str">
        <f>ASSETs!AN6</f>
        <v>/0/543</v>
      </c>
      <c r="Y9" t="str">
        <f>ASSETs!$AF$2</f>
        <v>12.00</v>
      </c>
      <c r="Z9" s="18">
        <v>1</v>
      </c>
      <c r="AA9" s="19"/>
    </row>
    <row r="10" spans="1:29" s="18" customFormat="1" ht="15">
      <c r="A10" s="16">
        <f>ROWS($A$5:B10:C10)</f>
        <v>6</v>
      </c>
      <c r="B10" s="16" t="str">
        <f>ASSETs!AU7</f>
        <v>/0/543</v>
      </c>
      <c r="C10" s="26" t="s">
        <v>309</v>
      </c>
      <c r="D10">
        <f>IF(TIM!Q7=TIM!Q7,TIM!Q7,"")</f>
        <v>0</v>
      </c>
      <c r="I10" t="str">
        <f>IFERROR(VLOOKUP(TIM!E7,ASSETs!$AA$6:$AB$7,2,FALSE),"")</f>
        <v/>
      </c>
      <c r="J10" s="2">
        <f>(IF(TIM!B7=TIM!B7,TIM!B7,""))</f>
        <v>0</v>
      </c>
      <c r="L10">
        <f>IF(TIM!C7=TIM!C7,TIM!C7,"")</f>
        <v>0</v>
      </c>
      <c r="M10" t="str">
        <f>ASSETs!W7</f>
        <v/>
      </c>
      <c r="N10" s="27"/>
      <c r="O10">
        <f>IF(TIM!G7=TIM!G7,TIM!G7,"")</f>
        <v>0</v>
      </c>
      <c r="Q10" t="str">
        <f>ASSETs!$AD$2</f>
        <v>Phang-nga</v>
      </c>
      <c r="R10">
        <f>ASSETs!$AE$2</f>
        <v>99</v>
      </c>
      <c r="S10" s="11">
        <v>146</v>
      </c>
      <c r="T10" s="3">
        <f>IF(TIM!F7=TIM!F7,TIM!F7,"")</f>
        <v>0</v>
      </c>
      <c r="U10" s="18">
        <f>ASSETs!X7</f>
        <v>0</v>
      </c>
      <c r="V10" t="str">
        <f>ASSETs!$AA$2</f>
        <v>Phuket</v>
      </c>
      <c r="W10" s="3">
        <f>ASSETs!$AB$2</f>
        <v>99</v>
      </c>
      <c r="X10" s="6" t="str">
        <f>ASSETs!AN7</f>
        <v>/0/543</v>
      </c>
      <c r="Y10" t="str">
        <f>ASSETs!$AF$2</f>
        <v>12.00</v>
      </c>
      <c r="Z10" s="18">
        <v>1</v>
      </c>
      <c r="AA10" s="19"/>
    </row>
    <row r="11" spans="1:29" s="18" customFormat="1" ht="15">
      <c r="A11" s="16">
        <f>ROWS($A$5:B11:C11)</f>
        <v>7</v>
      </c>
      <c r="B11" s="16" t="str">
        <f>ASSETs!AU8</f>
        <v>/0/543</v>
      </c>
      <c r="C11" s="26" t="s">
        <v>309</v>
      </c>
      <c r="D11">
        <f>IF(TIM!Q8=TIM!Q8,TIM!Q8,"")</f>
        <v>0</v>
      </c>
      <c r="I11" t="str">
        <f>IFERROR(VLOOKUP(TIM!E8,ASSETs!$AA$6:$AB$7,2,FALSE),"")</f>
        <v/>
      </c>
      <c r="J11" s="2">
        <f>(IF(TIM!B8=TIM!B8,TIM!B8,""))</f>
        <v>0</v>
      </c>
      <c r="L11">
        <f>IF(TIM!C8=TIM!C8,TIM!C8,"")</f>
        <v>0</v>
      </c>
      <c r="M11" t="str">
        <f>ASSETs!W8</f>
        <v/>
      </c>
      <c r="N11" s="27"/>
      <c r="O11">
        <f>IF(TIM!G8=TIM!G8,TIM!G8,"")</f>
        <v>0</v>
      </c>
      <c r="Q11" t="str">
        <f>ASSETs!$AD$2</f>
        <v>Phang-nga</v>
      </c>
      <c r="R11">
        <f>ASSETs!$AE$2</f>
        <v>99</v>
      </c>
      <c r="S11" s="11">
        <v>146</v>
      </c>
      <c r="T11" s="3">
        <f>IF(TIM!F8=TIM!F8,TIM!F8,"")</f>
        <v>0</v>
      </c>
      <c r="U11" s="18">
        <f>ASSETs!X8</f>
        <v>0</v>
      </c>
      <c r="V11" t="str">
        <f>ASSETs!$AA$2</f>
        <v>Phuket</v>
      </c>
      <c r="W11" s="3">
        <f>ASSETs!$AB$2</f>
        <v>99</v>
      </c>
      <c r="X11" s="6" t="str">
        <f>ASSETs!AN8</f>
        <v>/0/543</v>
      </c>
      <c r="Y11" t="str">
        <f>ASSETs!$AF$2</f>
        <v>12.00</v>
      </c>
      <c r="Z11" s="18">
        <v>1</v>
      </c>
      <c r="AA11" s="19"/>
    </row>
    <row r="12" spans="1:29" s="18" customFormat="1" ht="15">
      <c r="A12" s="16">
        <f>ROWS($A$5:B12:C12)</f>
        <v>8</v>
      </c>
      <c r="B12" s="16" t="str">
        <f>ASSETs!AU9</f>
        <v>/0/543</v>
      </c>
      <c r="C12" s="26" t="s">
        <v>309</v>
      </c>
      <c r="D12">
        <f>IF(TIM!Q9=TIM!Q9,TIM!Q9,"")</f>
        <v>0</v>
      </c>
      <c r="E12" s="19"/>
      <c r="F12" s="19"/>
      <c r="G12" s="19"/>
      <c r="H12" s="19"/>
      <c r="I12" t="str">
        <f>IFERROR(VLOOKUP(TIM!E9,ASSETs!$AA$6:$AB$7,2,FALSE),"")</f>
        <v/>
      </c>
      <c r="J12" s="2">
        <f>(IF(TIM!B9=TIM!B9,TIM!B9,""))</f>
        <v>0</v>
      </c>
      <c r="K12" s="19"/>
      <c r="L12">
        <f>IF(TIM!C9=TIM!C9,TIM!C9,"")</f>
        <v>0</v>
      </c>
      <c r="M12" t="str">
        <f>ASSETs!W9</f>
        <v/>
      </c>
      <c r="O12">
        <f>IF(TIM!G9=TIM!G9,TIM!G9,"")</f>
        <v>0</v>
      </c>
      <c r="Q12" t="str">
        <f>ASSETs!$AD$2</f>
        <v>Phang-nga</v>
      </c>
      <c r="R12">
        <f>ASSETs!$AE$2</f>
        <v>99</v>
      </c>
      <c r="S12" s="11">
        <v>146</v>
      </c>
      <c r="T12" s="3">
        <f>IF(TIM!F9=TIM!F9,TIM!F9,"")</f>
        <v>0</v>
      </c>
      <c r="U12" s="18">
        <f>ASSETs!X9</f>
        <v>0</v>
      </c>
      <c r="V12" t="str">
        <f>ASSETs!$AA$2</f>
        <v>Phuket</v>
      </c>
      <c r="W12" s="3">
        <f>ASSETs!$AB$2</f>
        <v>99</v>
      </c>
      <c r="X12" s="6" t="str">
        <f>ASSETs!AN9</f>
        <v>/0/543</v>
      </c>
      <c r="Y12" t="str">
        <f>ASSETs!$AF$2</f>
        <v>12.00</v>
      </c>
      <c r="Z12" s="18">
        <v>1</v>
      </c>
      <c r="AA12" s="19"/>
    </row>
    <row r="13" spans="1:29" s="18" customFormat="1" ht="15">
      <c r="A13" s="16">
        <f>ROWS($A$5:B13:C13)</f>
        <v>9</v>
      </c>
      <c r="B13" s="16" t="str">
        <f>ASSETs!AU10</f>
        <v>/0/543</v>
      </c>
      <c r="C13" s="26" t="s">
        <v>309</v>
      </c>
      <c r="D13">
        <f>IF(TIM!Q10=TIM!Q10,TIM!Q10,"")</f>
        <v>0</v>
      </c>
      <c r="E13" s="19"/>
      <c r="F13" s="19"/>
      <c r="G13" s="19"/>
      <c r="H13" s="19"/>
      <c r="I13" t="str">
        <f>IFERROR(VLOOKUP(TIM!E10,ASSETs!$AA$6:$AB$7,2,FALSE),"")</f>
        <v/>
      </c>
      <c r="J13" s="2">
        <f>(IF(TIM!B10=TIM!B10,TIM!B10,""))</f>
        <v>0</v>
      </c>
      <c r="K13" s="19"/>
      <c r="L13">
        <f>IF(TIM!C10=TIM!C10,TIM!C10,"")</f>
        <v>0</v>
      </c>
      <c r="M13" t="str">
        <f>ASSETs!W10</f>
        <v/>
      </c>
      <c r="O13">
        <f>IF(TIM!G10=TIM!G10,TIM!G10,"")</f>
        <v>0</v>
      </c>
      <c r="Q13" t="str">
        <f>ASSETs!$AD$2</f>
        <v>Phang-nga</v>
      </c>
      <c r="R13">
        <f>ASSETs!$AE$2</f>
        <v>99</v>
      </c>
      <c r="S13" s="11">
        <v>146</v>
      </c>
      <c r="T13" s="3">
        <f>IF(TIM!F10=TIM!F10,TIM!F10,"")</f>
        <v>0</v>
      </c>
      <c r="U13" s="18">
        <f>ASSETs!X10</f>
        <v>0</v>
      </c>
      <c r="V13" t="str">
        <f>ASSETs!$AA$2</f>
        <v>Phuket</v>
      </c>
      <c r="W13" s="3">
        <f>ASSETs!$AB$2</f>
        <v>99</v>
      </c>
      <c r="X13" s="6" t="str">
        <f>ASSETs!AN10</f>
        <v>/0/543</v>
      </c>
      <c r="Y13" t="str">
        <f>ASSETs!$AF$2</f>
        <v>12.00</v>
      </c>
      <c r="Z13" s="18">
        <v>1</v>
      </c>
      <c r="AA13" s="19"/>
    </row>
    <row r="14" spans="1:29" s="18" customFormat="1" ht="15">
      <c r="A14" s="16">
        <f>ROWS($A$5:B14:C14)</f>
        <v>10</v>
      </c>
      <c r="B14" s="16" t="str">
        <f>ASSETs!AU11</f>
        <v>/0/543</v>
      </c>
      <c r="C14" s="26" t="s">
        <v>309</v>
      </c>
      <c r="D14">
        <f>IF(TIM!Q11=TIM!Q11,TIM!Q11,"")</f>
        <v>0</v>
      </c>
      <c r="I14" t="str">
        <f>IFERROR(VLOOKUP(TIM!E11,ASSETs!$AA$6:$AB$7,2,FALSE),"")</f>
        <v/>
      </c>
      <c r="J14" s="2">
        <f>(IF(TIM!B11=TIM!B11,TIM!B11,""))</f>
        <v>0</v>
      </c>
      <c r="L14">
        <f>IF(TIM!C11=TIM!C11,TIM!C11,"")</f>
        <v>0</v>
      </c>
      <c r="M14" t="str">
        <f>ASSETs!W11</f>
        <v/>
      </c>
      <c r="N14" s="27"/>
      <c r="O14">
        <f>IF(TIM!G11=TIM!G11,TIM!G11,"")</f>
        <v>0</v>
      </c>
      <c r="Q14" t="str">
        <f>ASSETs!$AD$2</f>
        <v>Phang-nga</v>
      </c>
      <c r="R14">
        <f>ASSETs!$AE$2</f>
        <v>99</v>
      </c>
      <c r="S14" s="11">
        <v>146</v>
      </c>
      <c r="T14" s="3">
        <f>IF(TIM!F11=TIM!F11,TIM!F11,"")</f>
        <v>0</v>
      </c>
      <c r="U14" s="18">
        <f>ASSETs!X11</f>
        <v>0</v>
      </c>
      <c r="V14" t="str">
        <f>ASSETs!$AA$2</f>
        <v>Phuket</v>
      </c>
      <c r="W14" s="3">
        <f>ASSETs!$AB$2</f>
        <v>99</v>
      </c>
      <c r="X14" s="6" t="str">
        <f>ASSETs!AN11</f>
        <v>/0/543</v>
      </c>
      <c r="Y14" t="str">
        <f>ASSETs!$AF$2</f>
        <v>12.00</v>
      </c>
      <c r="Z14" s="18">
        <v>1</v>
      </c>
      <c r="AA14" s="19"/>
    </row>
    <row r="15" spans="1:29" s="18" customFormat="1" ht="15">
      <c r="A15" s="16">
        <f>ROWS($A$5:B15:C15)</f>
        <v>11</v>
      </c>
      <c r="B15" s="16" t="str">
        <f>ASSETs!AU12</f>
        <v>/0/543</v>
      </c>
      <c r="C15" s="26" t="s">
        <v>309</v>
      </c>
      <c r="D15">
        <f>IF(TIM!Q12=TIM!Q12,TIM!Q12,"")</f>
        <v>0</v>
      </c>
      <c r="I15" t="str">
        <f>IFERROR(VLOOKUP(TIM!E12,ASSETs!$AA$6:$AB$7,2,FALSE),"")</f>
        <v/>
      </c>
      <c r="J15" s="2">
        <f>(IF(TIM!B12=TIM!B12,TIM!B12,""))</f>
        <v>0</v>
      </c>
      <c r="L15">
        <f>IF(TIM!C12=TIM!C12,TIM!C12,"")</f>
        <v>0</v>
      </c>
      <c r="M15" t="str">
        <f>ASSETs!W12</f>
        <v/>
      </c>
      <c r="N15" s="27"/>
      <c r="O15">
        <f>IF(TIM!G12=TIM!G12,TIM!G12,"")</f>
        <v>0</v>
      </c>
      <c r="Q15" t="str">
        <f>ASSETs!$AD$2</f>
        <v>Phang-nga</v>
      </c>
      <c r="R15">
        <f>ASSETs!$AE$2</f>
        <v>99</v>
      </c>
      <c r="S15" s="11">
        <v>146</v>
      </c>
      <c r="T15" s="3">
        <f>IF(TIM!F12=TIM!F12,TIM!F12,"")</f>
        <v>0</v>
      </c>
      <c r="U15" s="18">
        <f>ASSETs!X12</f>
        <v>0</v>
      </c>
      <c r="V15" t="str">
        <f>ASSETs!$AA$2</f>
        <v>Phuket</v>
      </c>
      <c r="W15" s="3">
        <f>ASSETs!$AB$2</f>
        <v>99</v>
      </c>
      <c r="X15" s="6" t="str">
        <f>ASSETs!AN12</f>
        <v>/0/543</v>
      </c>
      <c r="Y15" t="str">
        <f>ASSETs!$AF$2</f>
        <v>12.00</v>
      </c>
      <c r="Z15" s="18">
        <v>1</v>
      </c>
      <c r="AA15" s="19"/>
    </row>
    <row r="16" spans="1:29" s="18" customFormat="1" ht="15">
      <c r="A16" s="16">
        <f>ROWS($A$5:B16:C16)</f>
        <v>12</v>
      </c>
      <c r="B16" s="16" t="str">
        <f>ASSETs!AU13</f>
        <v>/0/543</v>
      </c>
      <c r="C16" s="26" t="s">
        <v>309</v>
      </c>
      <c r="D16">
        <f>IF(TIM!Q13=TIM!Q13,TIM!Q13,"")</f>
        <v>0</v>
      </c>
      <c r="F16" s="19"/>
      <c r="H16" s="19"/>
      <c r="I16" t="str">
        <f>IFERROR(VLOOKUP(TIM!E13,ASSETs!$AA$6:$AB$7,2,FALSE),"")</f>
        <v/>
      </c>
      <c r="J16" s="2">
        <f>(IF(TIM!B13=TIM!B13,TIM!B13,""))</f>
        <v>0</v>
      </c>
      <c r="L16">
        <f>IF(TIM!C13=TIM!C13,TIM!C13,"")</f>
        <v>0</v>
      </c>
      <c r="M16" t="str">
        <f>ASSETs!W13</f>
        <v/>
      </c>
      <c r="N16" s="27"/>
      <c r="O16">
        <f>IF(TIM!G13=TIM!G13,TIM!G13,"")</f>
        <v>0</v>
      </c>
      <c r="Q16" t="str">
        <f>ASSETs!$AD$2</f>
        <v>Phang-nga</v>
      </c>
      <c r="R16">
        <f>ASSETs!$AE$2</f>
        <v>99</v>
      </c>
      <c r="S16" s="11">
        <v>146</v>
      </c>
      <c r="T16" s="3">
        <f>IF(TIM!F13=TIM!F13,TIM!F13,"")</f>
        <v>0</v>
      </c>
      <c r="U16" s="18">
        <f>ASSETs!X13</f>
        <v>0</v>
      </c>
      <c r="V16" t="str">
        <f>ASSETs!$AA$2</f>
        <v>Phuket</v>
      </c>
      <c r="W16" s="3">
        <f>ASSETs!$AB$2</f>
        <v>99</v>
      </c>
      <c r="X16" s="6" t="str">
        <f>ASSETs!AN13</f>
        <v>/0/543</v>
      </c>
      <c r="Y16" t="str">
        <f>ASSETs!$AF$2</f>
        <v>12.00</v>
      </c>
      <c r="Z16" s="18">
        <v>1</v>
      </c>
      <c r="AA16" s="19"/>
    </row>
    <row r="17" spans="1:27" s="18" customFormat="1" ht="15">
      <c r="A17" s="16">
        <f>ROWS($A$5:B17:C17)</f>
        <v>13</v>
      </c>
      <c r="B17" s="16" t="str">
        <f>ASSETs!AU14</f>
        <v>/0/543</v>
      </c>
      <c r="C17" s="26" t="s">
        <v>309</v>
      </c>
      <c r="D17">
        <f>IF(TIM!Q14=TIM!Q14,TIM!Q14,"")</f>
        <v>0</v>
      </c>
      <c r="F17" s="19"/>
      <c r="H17" s="19"/>
      <c r="I17" t="str">
        <f>IFERROR(VLOOKUP(TIM!E14,ASSETs!$AA$6:$AB$7,2,FALSE),"")</f>
        <v/>
      </c>
      <c r="J17" s="2">
        <f>(IF(TIM!B14=TIM!B14,TIM!B14,""))</f>
        <v>0</v>
      </c>
      <c r="L17">
        <f>IF(TIM!C14=TIM!C14,TIM!C14,"")</f>
        <v>0</v>
      </c>
      <c r="M17" t="str">
        <f>ASSETs!W14</f>
        <v/>
      </c>
      <c r="N17" s="27"/>
      <c r="O17">
        <f>IF(TIM!G14=TIM!G14,TIM!G14,"")</f>
        <v>0</v>
      </c>
      <c r="Q17" t="str">
        <f>ASSETs!$AD$2</f>
        <v>Phang-nga</v>
      </c>
      <c r="R17">
        <f>ASSETs!$AE$2</f>
        <v>99</v>
      </c>
      <c r="S17" s="11">
        <v>146</v>
      </c>
      <c r="T17" s="3">
        <f>IF(TIM!F14=TIM!F14,TIM!F14,"")</f>
        <v>0</v>
      </c>
      <c r="U17" s="18">
        <f>ASSETs!X14</f>
        <v>0</v>
      </c>
      <c r="V17" t="str">
        <f>ASSETs!$AA$2</f>
        <v>Phuket</v>
      </c>
      <c r="W17" s="3">
        <f>ASSETs!$AB$2</f>
        <v>99</v>
      </c>
      <c r="X17" s="6" t="str">
        <f>ASSETs!AN14</f>
        <v>/0/543</v>
      </c>
      <c r="Y17" t="str">
        <f>ASSETs!$AF$2</f>
        <v>12.00</v>
      </c>
      <c r="Z17" s="18">
        <v>1</v>
      </c>
      <c r="AA17" s="19"/>
    </row>
    <row r="18" spans="1:27" s="18" customFormat="1" ht="15">
      <c r="A18" s="16">
        <f>ROWS($A$5:B18:C18)</f>
        <v>14</v>
      </c>
      <c r="B18" s="16" t="str">
        <f>ASSETs!AU15</f>
        <v>/0/543</v>
      </c>
      <c r="C18" s="26" t="s">
        <v>309</v>
      </c>
      <c r="D18">
        <f>IF(TIM!Q15=TIM!Q15,TIM!Q15,"")</f>
        <v>0</v>
      </c>
      <c r="I18" t="str">
        <f>IFERROR(VLOOKUP(TIM!E15,ASSETs!$AA$6:$AB$7,2,FALSE),"")</f>
        <v/>
      </c>
      <c r="J18" s="2">
        <f>(IF(TIM!B15=TIM!B15,TIM!B15,""))</f>
        <v>0</v>
      </c>
      <c r="L18">
        <f>IF(TIM!C15=TIM!C15,TIM!C15,"")</f>
        <v>0</v>
      </c>
      <c r="M18" t="str">
        <f>ASSETs!W15</f>
        <v/>
      </c>
      <c r="N18" s="27"/>
      <c r="O18">
        <f>IF(TIM!G15=TIM!G15,TIM!G15,"")</f>
        <v>0</v>
      </c>
      <c r="Q18" t="str">
        <f>ASSETs!$AD$2</f>
        <v>Phang-nga</v>
      </c>
      <c r="R18">
        <f>ASSETs!$AE$2</f>
        <v>99</v>
      </c>
      <c r="S18" s="11">
        <v>146</v>
      </c>
      <c r="T18" s="3">
        <f>IF(TIM!F15=TIM!F15,TIM!F15,"")</f>
        <v>0</v>
      </c>
      <c r="U18" s="18">
        <f>ASSETs!X15</f>
        <v>0</v>
      </c>
      <c r="V18" t="str">
        <f>ASSETs!$AA$2</f>
        <v>Phuket</v>
      </c>
      <c r="W18" s="3">
        <f>ASSETs!$AB$2</f>
        <v>99</v>
      </c>
      <c r="X18" s="6" t="str">
        <f>ASSETs!AN15</f>
        <v>/0/543</v>
      </c>
      <c r="Y18" t="str">
        <f>ASSETs!$AF$2</f>
        <v>12.00</v>
      </c>
      <c r="Z18" s="18">
        <v>1</v>
      </c>
      <c r="AA18" s="19"/>
    </row>
    <row r="19" spans="1:27" s="18" customFormat="1" ht="15">
      <c r="A19" s="16">
        <f>ROWS($A$5:B19:C19)</f>
        <v>15</v>
      </c>
      <c r="B19" s="16" t="str">
        <f>ASSETs!AU16</f>
        <v>/0/543</v>
      </c>
      <c r="C19" s="26" t="s">
        <v>309</v>
      </c>
      <c r="D19">
        <f>IF(TIM!Q16=TIM!Q16,TIM!Q16,"")</f>
        <v>0</v>
      </c>
      <c r="E19" s="19"/>
      <c r="F19" s="19"/>
      <c r="G19" s="19"/>
      <c r="H19" s="19"/>
      <c r="I19" t="str">
        <f>IFERROR(VLOOKUP(TIM!E16,ASSETs!$AA$6:$AB$7,2,FALSE),"")</f>
        <v/>
      </c>
      <c r="J19" s="2">
        <f>(IF(TIM!B16=TIM!B16,TIM!B16,""))</f>
        <v>0</v>
      </c>
      <c r="K19" s="19"/>
      <c r="L19">
        <f>IF(TIM!C16=TIM!C16,TIM!C16,"")</f>
        <v>0</v>
      </c>
      <c r="M19" t="str">
        <f>ASSETs!W16</f>
        <v/>
      </c>
      <c r="O19">
        <f>IF(TIM!G16=TIM!G16,TIM!G16,"")</f>
        <v>0</v>
      </c>
      <c r="Q19" t="str">
        <f>ASSETs!$AD$2</f>
        <v>Phang-nga</v>
      </c>
      <c r="R19">
        <f>ASSETs!$AE$2</f>
        <v>99</v>
      </c>
      <c r="S19" s="11">
        <v>146</v>
      </c>
      <c r="T19" s="3">
        <f>IF(TIM!F16=TIM!F16,TIM!F16,"")</f>
        <v>0</v>
      </c>
      <c r="U19" s="18">
        <f>ASSETs!X16</f>
        <v>0</v>
      </c>
      <c r="V19" t="str">
        <f>ASSETs!$AA$2</f>
        <v>Phuket</v>
      </c>
      <c r="W19" s="3">
        <f>ASSETs!$AB$2</f>
        <v>99</v>
      </c>
      <c r="X19" s="6" t="str">
        <f>ASSETs!AN16</f>
        <v>/0/543</v>
      </c>
      <c r="Y19" t="str">
        <f>ASSETs!$AF$2</f>
        <v>12.00</v>
      </c>
      <c r="Z19" s="18">
        <v>1</v>
      </c>
      <c r="AA19" s="19"/>
    </row>
    <row r="20" spans="1:27" s="18" customFormat="1" ht="15">
      <c r="A20" s="16">
        <f>ROWS($A$5:B20:C20)</f>
        <v>16</v>
      </c>
      <c r="B20" s="16" t="str">
        <f>ASSETs!AU17</f>
        <v>/0/543</v>
      </c>
      <c r="C20" s="26" t="s">
        <v>309</v>
      </c>
      <c r="D20">
        <f>IF(TIM!Q17=TIM!Q17,TIM!Q17,"")</f>
        <v>0</v>
      </c>
      <c r="E20" s="19"/>
      <c r="F20" s="19"/>
      <c r="H20" s="19"/>
      <c r="I20" t="str">
        <f>IFERROR(VLOOKUP(TIM!E17,ASSETs!$AA$6:$AB$7,2,FALSE),"")</f>
        <v/>
      </c>
      <c r="J20" s="2">
        <f>(IF(TIM!B17=TIM!B17,TIM!B17,""))</f>
        <v>0</v>
      </c>
      <c r="L20">
        <f>IF(TIM!C17=TIM!C17,TIM!C17,"")</f>
        <v>0</v>
      </c>
      <c r="M20" t="str">
        <f>ASSETs!W17</f>
        <v/>
      </c>
      <c r="O20">
        <f>IF(TIM!G17=TIM!G17,TIM!G17,"")</f>
        <v>0</v>
      </c>
      <c r="Q20" t="str">
        <f>ASSETs!$AD$2</f>
        <v>Phang-nga</v>
      </c>
      <c r="R20">
        <f>ASSETs!$AE$2</f>
        <v>99</v>
      </c>
      <c r="S20" s="11">
        <v>146</v>
      </c>
      <c r="T20" s="3">
        <f>IF(TIM!F17=TIM!F17,TIM!F17,"")</f>
        <v>0</v>
      </c>
      <c r="U20" s="18">
        <f>ASSETs!X17</f>
        <v>0</v>
      </c>
      <c r="V20" t="str">
        <f>ASSETs!$AA$2</f>
        <v>Phuket</v>
      </c>
      <c r="W20" s="3">
        <f>ASSETs!$AB$2</f>
        <v>99</v>
      </c>
      <c r="X20" s="6" t="str">
        <f>ASSETs!AN17</f>
        <v>/0/543</v>
      </c>
      <c r="Y20" t="str">
        <f>ASSETs!$AF$2</f>
        <v>12.00</v>
      </c>
      <c r="Z20" s="18">
        <v>1</v>
      </c>
    </row>
    <row r="21" spans="1:27" s="18" customFormat="1" ht="15">
      <c r="A21" s="16">
        <f>ROWS($A$5:B21:C21)</f>
        <v>17</v>
      </c>
      <c r="B21" s="16" t="str">
        <f>ASSETs!AU18</f>
        <v>/0/543</v>
      </c>
      <c r="C21" s="26" t="s">
        <v>309</v>
      </c>
      <c r="D21">
        <f>IF(TIM!Q18=TIM!Q18,TIM!Q18,"")</f>
        <v>0</v>
      </c>
      <c r="E21" s="19"/>
      <c r="F21" s="19"/>
      <c r="G21" s="19"/>
      <c r="H21" s="19"/>
      <c r="I21" t="str">
        <f>IFERROR(VLOOKUP(TIM!E18,ASSETs!$AA$6:$AB$7,2,FALSE),"")</f>
        <v/>
      </c>
      <c r="J21" s="2">
        <f>(IF(TIM!B18=TIM!B18,TIM!B18,""))</f>
        <v>0</v>
      </c>
      <c r="K21" s="19"/>
      <c r="L21">
        <f>IF(TIM!C18=TIM!C18,TIM!C18,"")</f>
        <v>0</v>
      </c>
      <c r="M21" t="str">
        <f>ASSETs!W18</f>
        <v/>
      </c>
      <c r="O21">
        <f>IF(TIM!G18=TIM!G18,TIM!G18,"")</f>
        <v>0</v>
      </c>
      <c r="Q21" t="str">
        <f>ASSETs!$AD$2</f>
        <v>Phang-nga</v>
      </c>
      <c r="R21">
        <f>ASSETs!$AE$2</f>
        <v>99</v>
      </c>
      <c r="S21" s="11">
        <v>146</v>
      </c>
      <c r="T21" s="3">
        <f>IF(TIM!F18=TIM!F18,TIM!F18,"")</f>
        <v>0</v>
      </c>
      <c r="U21" s="18">
        <f>ASSETs!X18</f>
        <v>0</v>
      </c>
      <c r="V21" t="str">
        <f>ASSETs!$AA$2</f>
        <v>Phuket</v>
      </c>
      <c r="W21" s="3">
        <f>ASSETs!$AB$2</f>
        <v>99</v>
      </c>
      <c r="X21" s="6" t="str">
        <f>ASSETs!AN18</f>
        <v>/0/543</v>
      </c>
      <c r="Y21" t="str">
        <f>ASSETs!$AF$2</f>
        <v>12.00</v>
      </c>
      <c r="Z21" s="18">
        <v>1</v>
      </c>
      <c r="AA21" s="19"/>
    </row>
    <row r="22" spans="1:27" s="18" customFormat="1" ht="15">
      <c r="A22" s="16">
        <f>ROWS($A$5:B22:C22)</f>
        <v>18</v>
      </c>
      <c r="B22" s="16" t="str">
        <f>ASSETs!AU19</f>
        <v>/0/543</v>
      </c>
      <c r="C22" s="26" t="s">
        <v>309</v>
      </c>
      <c r="D22">
        <f>IF(TIM!Q19=TIM!Q19,TIM!Q19,"")</f>
        <v>0</v>
      </c>
      <c r="E22" s="19"/>
      <c r="F22" s="19"/>
      <c r="G22" s="19"/>
      <c r="H22" s="19"/>
      <c r="I22" t="str">
        <f>IFERROR(VLOOKUP(TIM!E19,ASSETs!$AA$6:$AB$7,2,FALSE),"")</f>
        <v/>
      </c>
      <c r="J22" s="2">
        <f>(IF(TIM!B19=TIM!B19,TIM!B19,""))</f>
        <v>0</v>
      </c>
      <c r="K22" s="19"/>
      <c r="L22">
        <f>IF(TIM!C19=TIM!C19,TIM!C19,"")</f>
        <v>0</v>
      </c>
      <c r="M22" t="str">
        <f>ASSETs!W19</f>
        <v/>
      </c>
      <c r="O22">
        <f>IF(TIM!G19=TIM!G19,TIM!G19,"")</f>
        <v>0</v>
      </c>
      <c r="Q22" t="str">
        <f>ASSETs!$AD$2</f>
        <v>Phang-nga</v>
      </c>
      <c r="R22">
        <f>ASSETs!$AE$2</f>
        <v>99</v>
      </c>
      <c r="S22" s="11">
        <v>146</v>
      </c>
      <c r="T22" s="3">
        <f>IF(TIM!F19=TIM!F19,TIM!F19,"")</f>
        <v>0</v>
      </c>
      <c r="U22" s="18">
        <f>ASSETs!X19</f>
        <v>0</v>
      </c>
      <c r="V22" t="str">
        <f>ASSETs!$AA$2</f>
        <v>Phuket</v>
      </c>
      <c r="W22" s="3">
        <f>ASSETs!$AB$2</f>
        <v>99</v>
      </c>
      <c r="X22" s="6" t="str">
        <f>ASSETs!AN19</f>
        <v>/0/543</v>
      </c>
      <c r="Y22" t="str">
        <f>ASSETs!$AF$2</f>
        <v>12.00</v>
      </c>
      <c r="Z22" s="18">
        <v>1</v>
      </c>
      <c r="AA22" s="19"/>
    </row>
    <row r="23" spans="1:27" s="18" customFormat="1" ht="15">
      <c r="A23" s="16">
        <f>ROWS($A$5:B23:C23)</f>
        <v>19</v>
      </c>
      <c r="B23" s="16" t="str">
        <f>ASSETs!AU20</f>
        <v>/0/543</v>
      </c>
      <c r="C23" s="26" t="s">
        <v>309</v>
      </c>
      <c r="D23">
        <f>IF(TIM!Q20=TIM!Q20,TIM!Q20,"")</f>
        <v>0</v>
      </c>
      <c r="F23" s="19"/>
      <c r="H23" s="19"/>
      <c r="I23" t="str">
        <f>IFERROR(VLOOKUP(TIM!E20,ASSETs!$AA$6:$AB$7,2,FALSE),"")</f>
        <v/>
      </c>
      <c r="J23" s="2">
        <f>(IF(TIM!B20=TIM!B20,TIM!B20,""))</f>
        <v>0</v>
      </c>
      <c r="L23">
        <f>IF(TIM!C20=TIM!C20,TIM!C20,"")</f>
        <v>0</v>
      </c>
      <c r="M23" t="str">
        <f>ASSETs!W20</f>
        <v/>
      </c>
      <c r="N23" s="27"/>
      <c r="O23">
        <f>IF(TIM!G20=TIM!G20,TIM!G20,"")</f>
        <v>0</v>
      </c>
      <c r="Q23" t="str">
        <f>ASSETs!$AD$2</f>
        <v>Phang-nga</v>
      </c>
      <c r="R23">
        <f>ASSETs!$AE$2</f>
        <v>99</v>
      </c>
      <c r="S23" s="11">
        <v>146</v>
      </c>
      <c r="T23" s="3">
        <f>IF(TIM!F20=TIM!F20,TIM!F20,"")</f>
        <v>0</v>
      </c>
      <c r="U23" s="18">
        <f>ASSETs!X20</f>
        <v>0</v>
      </c>
      <c r="V23" t="str">
        <f>ASSETs!$AA$2</f>
        <v>Phuket</v>
      </c>
      <c r="W23" s="3">
        <f>ASSETs!$AB$2</f>
        <v>99</v>
      </c>
      <c r="X23" s="6" t="str">
        <f>ASSETs!AN20</f>
        <v>/0/543</v>
      </c>
      <c r="Y23" t="str">
        <f>ASSETs!$AF$2</f>
        <v>12.00</v>
      </c>
      <c r="Z23" s="18">
        <v>1</v>
      </c>
      <c r="AA23" s="19"/>
    </row>
    <row r="24" spans="1:27" s="18" customFormat="1" ht="15">
      <c r="A24" s="16">
        <f>ROWS($A$5:B24:C24)</f>
        <v>20</v>
      </c>
      <c r="B24" s="16" t="str">
        <f>ASSETs!AU21</f>
        <v>/0/543</v>
      </c>
      <c r="C24" s="26" t="s">
        <v>309</v>
      </c>
      <c r="D24">
        <f>IF(TIM!Q21=TIM!Q21,TIM!Q21,"")</f>
        <v>0</v>
      </c>
      <c r="F24" s="19"/>
      <c r="H24" s="19"/>
      <c r="I24" t="str">
        <f>IFERROR(VLOOKUP(TIM!E21,ASSETs!$AA$6:$AB$7,2,FALSE),"")</f>
        <v/>
      </c>
      <c r="J24" s="2">
        <f>(IF(TIM!B21=TIM!B21,TIM!B21,""))</f>
        <v>0</v>
      </c>
      <c r="L24">
        <f>IF(TIM!C21=TIM!C21,TIM!C21,"")</f>
        <v>0</v>
      </c>
      <c r="M24" t="str">
        <f>ASSETs!W21</f>
        <v/>
      </c>
      <c r="N24" s="27"/>
      <c r="O24">
        <f>IF(TIM!G21=TIM!G21,TIM!G21,"")</f>
        <v>0</v>
      </c>
      <c r="Q24" t="str">
        <f>ASSETs!$AD$2</f>
        <v>Phang-nga</v>
      </c>
      <c r="R24">
        <f>ASSETs!$AE$2</f>
        <v>99</v>
      </c>
      <c r="S24" s="11">
        <v>146</v>
      </c>
      <c r="T24" s="3">
        <f>IF(TIM!F21=TIM!F21,TIM!F21,"")</f>
        <v>0</v>
      </c>
      <c r="U24" s="18">
        <f>ASSETs!X21</f>
        <v>0</v>
      </c>
      <c r="V24" t="str">
        <f>ASSETs!$AA$2</f>
        <v>Phuket</v>
      </c>
      <c r="W24" s="3">
        <f>ASSETs!$AB$2</f>
        <v>99</v>
      </c>
      <c r="X24" s="6" t="str">
        <f>ASSETs!AN21</f>
        <v>/0/543</v>
      </c>
      <c r="Y24" t="str">
        <f>ASSETs!$AF$2</f>
        <v>12.00</v>
      </c>
      <c r="Z24" s="18">
        <v>1</v>
      </c>
      <c r="AA24" s="19"/>
    </row>
    <row r="25" spans="1:27" s="18" customFormat="1" ht="15">
      <c r="A25" s="16">
        <f>ROWS($A$5:B25:C25)</f>
        <v>21</v>
      </c>
      <c r="B25" s="16" t="str">
        <f>ASSETs!AU22</f>
        <v>/0/543</v>
      </c>
      <c r="C25" s="26" t="s">
        <v>309</v>
      </c>
      <c r="D25">
        <f>IF(TIM!Q22=TIM!Q22,TIM!Q22,"")</f>
        <v>0</v>
      </c>
      <c r="F25" s="19"/>
      <c r="H25" s="19"/>
      <c r="I25" t="str">
        <f>IFERROR(VLOOKUP(TIM!E22,ASSETs!$AA$6:$AB$7,2,FALSE),"")</f>
        <v/>
      </c>
      <c r="J25" s="2">
        <f>(IF(TIM!B22=TIM!B22,TIM!B22,""))</f>
        <v>0</v>
      </c>
      <c r="L25">
        <f>IF(TIM!C22=TIM!C22,TIM!C22,"")</f>
        <v>0</v>
      </c>
      <c r="M25" t="str">
        <f>ASSETs!W22</f>
        <v/>
      </c>
      <c r="N25" s="27"/>
      <c r="O25">
        <f>IF(TIM!G22=TIM!G22,TIM!G22,"")</f>
        <v>0</v>
      </c>
      <c r="Q25" t="str">
        <f>ASSETs!$AD$2</f>
        <v>Phang-nga</v>
      </c>
      <c r="R25">
        <f>ASSETs!$AE$2</f>
        <v>99</v>
      </c>
      <c r="S25" s="11">
        <v>146</v>
      </c>
      <c r="T25" s="3">
        <f>IF(TIM!F22=TIM!F22,TIM!F22,"")</f>
        <v>0</v>
      </c>
      <c r="U25" s="18">
        <f>ASSETs!X22</f>
        <v>0</v>
      </c>
      <c r="V25" t="str">
        <f>ASSETs!$AA$2</f>
        <v>Phuket</v>
      </c>
      <c r="W25" s="3">
        <f>ASSETs!$AB$2</f>
        <v>99</v>
      </c>
      <c r="X25" s="6" t="str">
        <f>ASSETs!AN22</f>
        <v>/0/543</v>
      </c>
      <c r="Y25" t="str">
        <f>ASSETs!$AF$2</f>
        <v>12.00</v>
      </c>
      <c r="Z25" s="18">
        <v>1</v>
      </c>
      <c r="AA25" s="19"/>
    </row>
    <row r="26" spans="1:27" s="18" customFormat="1" ht="15">
      <c r="A26" s="16">
        <f>ROWS($A$5:B26:C26)</f>
        <v>22</v>
      </c>
      <c r="B26" s="16" t="str">
        <f>ASSETs!AU23</f>
        <v>/0/543</v>
      </c>
      <c r="C26" s="26" t="s">
        <v>309</v>
      </c>
      <c r="D26">
        <f>IF(TIM!Q23=TIM!Q23,TIM!Q23,"")</f>
        <v>0</v>
      </c>
      <c r="I26" t="str">
        <f>IFERROR(VLOOKUP(TIM!E23,ASSETs!$AA$6:$AB$7,2,FALSE),"")</f>
        <v/>
      </c>
      <c r="J26" s="2">
        <f>(IF(TIM!B23=TIM!B23,TIM!B23,""))</f>
        <v>0</v>
      </c>
      <c r="L26">
        <f>IF(TIM!C23=TIM!C23,TIM!C23,"")</f>
        <v>0</v>
      </c>
      <c r="M26" t="str">
        <f>ASSETs!W23</f>
        <v/>
      </c>
      <c r="N26" s="27"/>
      <c r="O26">
        <f>IF(TIM!G23=TIM!G23,TIM!G23,"")</f>
        <v>0</v>
      </c>
      <c r="Q26" t="str">
        <f>ASSETs!$AD$2</f>
        <v>Phang-nga</v>
      </c>
      <c r="R26">
        <f>ASSETs!$AE$2</f>
        <v>99</v>
      </c>
      <c r="S26" s="11">
        <v>146</v>
      </c>
      <c r="T26" s="3">
        <f>IF(TIM!F23=TIM!F23,TIM!F23,"")</f>
        <v>0</v>
      </c>
      <c r="U26" s="18">
        <f>ASSETs!X23</f>
        <v>0</v>
      </c>
      <c r="V26" t="str">
        <f>ASSETs!$AA$2</f>
        <v>Phuket</v>
      </c>
      <c r="W26" s="3">
        <f>ASSETs!$AB$2</f>
        <v>99</v>
      </c>
      <c r="X26" s="6" t="str">
        <f>ASSETs!AN23</f>
        <v>/0/543</v>
      </c>
      <c r="Y26" t="str">
        <f>ASSETs!$AF$2</f>
        <v>12.00</v>
      </c>
      <c r="Z26" s="18">
        <v>1</v>
      </c>
      <c r="AA26" s="19"/>
    </row>
    <row r="27" spans="1:27" s="18" customFormat="1" ht="15">
      <c r="A27" s="16">
        <f>ROWS($A$5:B27:C27)</f>
        <v>23</v>
      </c>
      <c r="B27" s="16" t="str">
        <f>ASSETs!AU24</f>
        <v>/0/543</v>
      </c>
      <c r="C27" s="26" t="s">
        <v>309</v>
      </c>
      <c r="D27">
        <f>IF(TIM!Q24=TIM!Q24,TIM!Q24,"")</f>
        <v>0</v>
      </c>
      <c r="E27" s="19"/>
      <c r="F27" s="19"/>
      <c r="H27" s="19"/>
      <c r="I27" t="str">
        <f>IFERROR(VLOOKUP(TIM!E24,ASSETs!$AA$6:$AB$7,2,FALSE),"")</f>
        <v/>
      </c>
      <c r="J27" s="2">
        <f>(IF(TIM!B24=TIM!B24,TIM!B24,""))</f>
        <v>0</v>
      </c>
      <c r="L27">
        <f>IF(TIM!C24=TIM!C24,TIM!C24,"")</f>
        <v>0</v>
      </c>
      <c r="M27" t="str">
        <f>ASSETs!W24</f>
        <v/>
      </c>
      <c r="O27">
        <f>IF(TIM!G24=TIM!G24,TIM!G24,"")</f>
        <v>0</v>
      </c>
      <c r="Q27" t="str">
        <f>ASSETs!$AD$2</f>
        <v>Phang-nga</v>
      </c>
      <c r="R27">
        <f>ASSETs!$AE$2</f>
        <v>99</v>
      </c>
      <c r="S27" s="11">
        <v>146</v>
      </c>
      <c r="T27" s="3">
        <f>IF(TIM!F24=TIM!F24,TIM!F24,"")</f>
        <v>0</v>
      </c>
      <c r="U27" s="18">
        <f>ASSETs!X24</f>
        <v>0</v>
      </c>
      <c r="V27" t="str">
        <f>ASSETs!$AA$2</f>
        <v>Phuket</v>
      </c>
      <c r="W27" s="3">
        <f>ASSETs!$AB$2</f>
        <v>99</v>
      </c>
      <c r="X27" s="6" t="str">
        <f>ASSETs!AN24</f>
        <v>/0/543</v>
      </c>
      <c r="Y27" t="str">
        <f>ASSETs!$AF$2</f>
        <v>12.00</v>
      </c>
      <c r="Z27" s="18">
        <v>1</v>
      </c>
    </row>
    <row r="28" spans="1:27" ht="15">
      <c r="A28" s="16">
        <f>ROWS($A$5:B28:C28)</f>
        <v>24</v>
      </c>
      <c r="B28" s="16" t="str">
        <f>ASSETs!AU25</f>
        <v>/0/543</v>
      </c>
      <c r="C28" s="26" t="s">
        <v>309</v>
      </c>
      <c r="D28">
        <f>IF(TIM!Q25=TIM!Q25,TIM!Q25,"")</f>
        <v>0</v>
      </c>
      <c r="I28" t="str">
        <f>IFERROR(VLOOKUP(TIM!E25,ASSETs!$AA$6:$AB$7,2,FALSE),"")</f>
        <v/>
      </c>
      <c r="J28" s="2">
        <f>(IF(TIM!B25=TIM!B25,TIM!B25,""))</f>
        <v>0</v>
      </c>
      <c r="L28">
        <f>IF(TIM!C25=TIM!C25,TIM!C25,"")</f>
        <v>0</v>
      </c>
      <c r="M28" t="str">
        <f>ASSETs!W25</f>
        <v/>
      </c>
      <c r="N28" s="18"/>
      <c r="O28">
        <f>IF(TIM!G25=TIM!G25,TIM!G25,"")</f>
        <v>0</v>
      </c>
      <c r="P28" s="18"/>
      <c r="Q28" t="str">
        <f>ASSETs!$AD$2</f>
        <v>Phang-nga</v>
      </c>
      <c r="R28">
        <f>ASSETs!$AE$2</f>
        <v>99</v>
      </c>
      <c r="S28" s="11">
        <v>146</v>
      </c>
      <c r="T28" s="3">
        <f>IF(TIM!F25=TIM!F25,TIM!F25,"")</f>
        <v>0</v>
      </c>
      <c r="U28" s="18">
        <f>ASSETs!X25</f>
        <v>0</v>
      </c>
      <c r="V28" t="str">
        <f>ASSETs!$AA$2</f>
        <v>Phuket</v>
      </c>
      <c r="W28" s="3">
        <f>ASSETs!$AB$2</f>
        <v>99</v>
      </c>
      <c r="X28" s="6" t="str">
        <f>ASSETs!AN25</f>
        <v>/0/543</v>
      </c>
      <c r="Y28" t="str">
        <f>ASSETs!$AF$2</f>
        <v>12.00</v>
      </c>
      <c r="Z28" s="18">
        <v>1</v>
      </c>
    </row>
    <row r="29" spans="1:27" ht="15">
      <c r="A29" s="16">
        <f>ROWS($A$5:B29:C29)</f>
        <v>25</v>
      </c>
      <c r="B29" s="16" t="str">
        <f>ASSETs!AU26</f>
        <v>/0/543</v>
      </c>
      <c r="C29" s="26" t="s">
        <v>309</v>
      </c>
      <c r="D29">
        <f>IF(TIM!Q26=TIM!Q26,TIM!Q26,"")</f>
        <v>0</v>
      </c>
      <c r="I29" t="str">
        <f>IFERROR(VLOOKUP(TIM!E26,ASSETs!$AA$6:$AB$7,2,FALSE),"")</f>
        <v/>
      </c>
      <c r="J29" s="2">
        <f>(IF(TIM!B26=TIM!B26,TIM!B26,""))</f>
        <v>0</v>
      </c>
      <c r="L29">
        <f>IF(TIM!C26=TIM!C26,TIM!C26,"")</f>
        <v>0</v>
      </c>
      <c r="M29" t="str">
        <f>ASSETs!W26</f>
        <v/>
      </c>
      <c r="N29" s="18"/>
      <c r="O29">
        <f>IF(TIM!G26=TIM!G26,TIM!G26,"")</f>
        <v>0</v>
      </c>
      <c r="P29" s="18"/>
      <c r="Q29" t="str">
        <f>ASSETs!$AD$2</f>
        <v>Phang-nga</v>
      </c>
      <c r="R29">
        <f>ASSETs!$AE$2</f>
        <v>99</v>
      </c>
      <c r="S29" s="11">
        <v>146</v>
      </c>
      <c r="T29" s="3">
        <f>IF(TIM!F26=TIM!F26,TIM!F26,"")</f>
        <v>0</v>
      </c>
      <c r="U29" s="18">
        <f>ASSETs!X26</f>
        <v>0</v>
      </c>
      <c r="V29" t="str">
        <f>ASSETs!$AA$2</f>
        <v>Phuket</v>
      </c>
      <c r="W29" s="3">
        <f>ASSETs!$AB$2</f>
        <v>99</v>
      </c>
      <c r="X29" s="6" t="str">
        <f>ASSETs!AN26</f>
        <v>/0/543</v>
      </c>
      <c r="Y29" t="str">
        <f>ASSETs!$AF$2</f>
        <v>12.00</v>
      </c>
      <c r="Z29" s="18">
        <v>1</v>
      </c>
    </row>
    <row r="30" spans="1:27" ht="15">
      <c r="A30" s="16">
        <f>ROWS($A$5:B30:C30)</f>
        <v>26</v>
      </c>
      <c r="B30" s="16" t="str">
        <f>ASSETs!AU27</f>
        <v>/0/543</v>
      </c>
      <c r="C30" s="26" t="s">
        <v>309</v>
      </c>
      <c r="D30">
        <f>IF(TIM!Q27=TIM!Q27,TIM!Q27,"")</f>
        <v>0</v>
      </c>
      <c r="I30" t="str">
        <f>IFERROR(VLOOKUP(TIM!E27,ASSETs!$AA$6:$AB$7,2,FALSE),"")</f>
        <v/>
      </c>
      <c r="J30" s="2">
        <f>(IF(TIM!B27=TIM!B27,TIM!B27,""))</f>
        <v>0</v>
      </c>
      <c r="L30">
        <f>IF(TIM!C27=TIM!C27,TIM!C27,"")</f>
        <v>0</v>
      </c>
      <c r="M30" t="str">
        <f>ASSETs!W27</f>
        <v/>
      </c>
      <c r="N30" s="18"/>
      <c r="O30">
        <f>IF(TIM!G27=TIM!G27,TIM!G27,"")</f>
        <v>0</v>
      </c>
      <c r="P30" s="18"/>
      <c r="Q30" t="str">
        <f>ASSETs!$AD$2</f>
        <v>Phang-nga</v>
      </c>
      <c r="R30">
        <f>ASSETs!$AE$2</f>
        <v>99</v>
      </c>
      <c r="S30" s="11">
        <v>146</v>
      </c>
      <c r="T30" s="3">
        <f>IF(TIM!F27=TIM!F27,TIM!F27,"")</f>
        <v>0</v>
      </c>
      <c r="U30" s="18">
        <f>ASSETs!X27</f>
        <v>0</v>
      </c>
      <c r="V30" t="str">
        <f>ASSETs!$AA$2</f>
        <v>Phuket</v>
      </c>
      <c r="W30" s="3">
        <f>ASSETs!$AB$2</f>
        <v>99</v>
      </c>
      <c r="X30" s="6" t="str">
        <f>ASSETs!AN27</f>
        <v>/0/543</v>
      </c>
      <c r="Y30" t="str">
        <f>ASSETs!$AF$2</f>
        <v>12.00</v>
      </c>
      <c r="Z30" s="18">
        <v>1</v>
      </c>
    </row>
    <row r="31" spans="1:27" ht="15">
      <c r="A31" s="16">
        <f>ROWS($A$5:B31:C31)</f>
        <v>27</v>
      </c>
      <c r="B31" s="16" t="str">
        <f>ASSETs!AU28</f>
        <v>/0/543</v>
      </c>
      <c r="C31" s="26" t="s">
        <v>309</v>
      </c>
      <c r="D31">
        <f>IF(TIM!Q28=TIM!Q28,TIM!Q28,"")</f>
        <v>0</v>
      </c>
      <c r="I31" t="str">
        <f>IFERROR(VLOOKUP(TIM!E28,ASSETs!$AA$6:$AB$7,2,FALSE),"")</f>
        <v/>
      </c>
      <c r="J31" s="2">
        <f>(IF(TIM!B28=TIM!B28,TIM!B28,""))</f>
        <v>0</v>
      </c>
      <c r="L31">
        <f>IF(TIM!C28=TIM!C28,TIM!C28,"")</f>
        <v>0</v>
      </c>
      <c r="M31" t="str">
        <f>ASSETs!W28</f>
        <v/>
      </c>
      <c r="N31" s="18"/>
      <c r="O31">
        <f>IF(TIM!G28=TIM!G28,TIM!G28,"")</f>
        <v>0</v>
      </c>
      <c r="P31" s="18"/>
      <c r="Q31" t="str">
        <f>ASSETs!$AD$2</f>
        <v>Phang-nga</v>
      </c>
      <c r="R31">
        <f>ASSETs!$AE$2</f>
        <v>99</v>
      </c>
      <c r="S31" s="11">
        <v>146</v>
      </c>
      <c r="T31" s="3">
        <f>IF(TIM!F28=TIM!F28,TIM!F28,"")</f>
        <v>0</v>
      </c>
      <c r="U31" s="18">
        <f>ASSETs!X28</f>
        <v>0</v>
      </c>
      <c r="V31" t="str">
        <f>ASSETs!$AA$2</f>
        <v>Phuket</v>
      </c>
      <c r="W31" s="3">
        <f>ASSETs!$AB$2</f>
        <v>99</v>
      </c>
      <c r="X31" s="6" t="str">
        <f>ASSETs!AN28</f>
        <v>/0/543</v>
      </c>
      <c r="Y31" t="str">
        <f>ASSETs!$AF$2</f>
        <v>12.00</v>
      </c>
      <c r="Z31" s="18">
        <v>1</v>
      </c>
    </row>
    <row r="32" spans="1:27" ht="15">
      <c r="A32" s="16">
        <f>ROWS($A$5:B32:C32)</f>
        <v>28</v>
      </c>
      <c r="B32" s="16" t="str">
        <f>ASSETs!AU29</f>
        <v>/0/543</v>
      </c>
      <c r="C32" s="26" t="s">
        <v>309</v>
      </c>
      <c r="D32">
        <f>IF(TIM!Q29=TIM!Q29,TIM!Q29,"")</f>
        <v>0</v>
      </c>
      <c r="E32" s="18"/>
      <c r="F32" s="18"/>
      <c r="G32" s="18"/>
      <c r="H32" s="18"/>
      <c r="I32" t="str">
        <f>IFERROR(VLOOKUP(TIM!E29,ASSETs!$AA$6:$AB$7,2,FALSE),"")</f>
        <v/>
      </c>
      <c r="J32" s="2">
        <f>(IF(TIM!B29=TIM!B29,TIM!B29,""))</f>
        <v>0</v>
      </c>
      <c r="K32" s="18"/>
      <c r="L32">
        <f>IF(TIM!C29=TIM!C29,TIM!C29,"")</f>
        <v>0</v>
      </c>
      <c r="M32" t="str">
        <f>ASSETs!W29</f>
        <v/>
      </c>
      <c r="N32" s="27"/>
      <c r="O32">
        <f>IF(TIM!G29=TIM!G29,TIM!G29,"")</f>
        <v>0</v>
      </c>
      <c r="P32" s="18"/>
      <c r="Q32" t="str">
        <f>ASSETs!$AD$2</f>
        <v>Phang-nga</v>
      </c>
      <c r="R32">
        <f>ASSETs!$AE$2</f>
        <v>99</v>
      </c>
      <c r="S32" s="11">
        <v>146</v>
      </c>
      <c r="T32" s="3">
        <f>IF(TIM!F29=TIM!F29,TIM!F29,"")</f>
        <v>0</v>
      </c>
      <c r="U32" s="18">
        <f>ASSETs!X29</f>
        <v>0</v>
      </c>
      <c r="V32" t="str">
        <f>ASSETs!$AA$2</f>
        <v>Phuket</v>
      </c>
      <c r="W32" s="3">
        <f>ASSETs!$AB$2</f>
        <v>99</v>
      </c>
      <c r="X32" s="6" t="str">
        <f>ASSETs!AN29</f>
        <v>/0/543</v>
      </c>
      <c r="Y32" t="str">
        <f>ASSETs!$AF$2</f>
        <v>12.00</v>
      </c>
      <c r="Z32" s="18">
        <v>1</v>
      </c>
    </row>
    <row r="33" spans="1:27" ht="15">
      <c r="A33" s="16">
        <f>ROWS($A$5:B33:C33)</f>
        <v>29</v>
      </c>
      <c r="B33" s="16" t="str">
        <f>ASSETs!AU30</f>
        <v>/0/543</v>
      </c>
      <c r="C33" s="26" t="s">
        <v>309</v>
      </c>
      <c r="D33">
        <f>IF(TIM!Q30=TIM!Q30,TIM!Q30,"")</f>
        <v>0</v>
      </c>
      <c r="E33" s="18"/>
      <c r="G33" s="18"/>
      <c r="I33" t="str">
        <f>IFERROR(VLOOKUP(TIM!E30,ASSETs!$AA$6:$AB$7,2,FALSE),"")</f>
        <v/>
      </c>
      <c r="J33" s="2">
        <f>(IF(TIM!B30=TIM!B30,TIM!B30,""))</f>
        <v>0</v>
      </c>
      <c r="K33" s="18"/>
      <c r="L33">
        <f>IF(TIM!C30=TIM!C30,TIM!C30,"")</f>
        <v>0</v>
      </c>
      <c r="M33" t="str">
        <f>ASSETs!W30</f>
        <v/>
      </c>
      <c r="N33" s="27"/>
      <c r="O33">
        <f>IF(TIM!G30=TIM!G30,TIM!G30,"")</f>
        <v>0</v>
      </c>
      <c r="P33" s="18"/>
      <c r="Q33" t="str">
        <f>ASSETs!$AD$2</f>
        <v>Phang-nga</v>
      </c>
      <c r="R33">
        <f>ASSETs!$AE$2</f>
        <v>99</v>
      </c>
      <c r="S33" s="11">
        <v>146</v>
      </c>
      <c r="T33" s="3">
        <f>IF(TIM!F30=TIM!F30,TIM!F30,"")</f>
        <v>0</v>
      </c>
      <c r="U33" s="18">
        <f>ASSETs!X30</f>
        <v>0</v>
      </c>
      <c r="V33" t="str">
        <f>ASSETs!$AA$2</f>
        <v>Phuket</v>
      </c>
      <c r="W33" s="3">
        <f>ASSETs!$AB$2</f>
        <v>99</v>
      </c>
      <c r="X33" s="6" t="str">
        <f>ASSETs!AN30</f>
        <v>/0/543</v>
      </c>
      <c r="Y33" t="str">
        <f>ASSETs!$AF$2</f>
        <v>12.00</v>
      </c>
      <c r="Z33" s="18">
        <v>1</v>
      </c>
    </row>
    <row r="34" spans="1:27" ht="12" customHeight="1">
      <c r="A34" s="16">
        <f>ROWS($A$5:B34:C34)</f>
        <v>30</v>
      </c>
      <c r="B34" s="16" t="str">
        <f>ASSETs!AU31</f>
        <v>/0/543</v>
      </c>
      <c r="C34" s="26" t="s">
        <v>309</v>
      </c>
      <c r="D34">
        <f>IF(TIM!Q31=TIM!Q31,TIM!Q31,"")</f>
        <v>0</v>
      </c>
      <c r="I34" t="str">
        <f>IFERROR(VLOOKUP(TIM!E31,ASSETs!$AA$6:$AB$7,2,FALSE),"")</f>
        <v/>
      </c>
      <c r="J34" s="2">
        <f>(IF(TIM!B31=TIM!B31,TIM!B31,""))</f>
        <v>0</v>
      </c>
      <c r="L34">
        <f>IF(TIM!C31=TIM!C31,TIM!C31,"")</f>
        <v>0</v>
      </c>
      <c r="M34" t="str">
        <f>ASSETs!W31</f>
        <v/>
      </c>
      <c r="N34" s="18"/>
      <c r="O34">
        <f>IF(TIM!G31=TIM!G31,TIM!G31,"")</f>
        <v>0</v>
      </c>
      <c r="P34" s="18"/>
      <c r="Q34" t="str">
        <f>ASSETs!$AD$2</f>
        <v>Phang-nga</v>
      </c>
      <c r="R34">
        <f>ASSETs!$AE$2</f>
        <v>99</v>
      </c>
      <c r="S34" s="11">
        <v>146</v>
      </c>
      <c r="T34" s="3">
        <f>IF(TIM!F31=TIM!F31,TIM!F31,"")</f>
        <v>0</v>
      </c>
      <c r="U34" s="18">
        <f>ASSETs!X31</f>
        <v>0</v>
      </c>
      <c r="V34" t="str">
        <f>ASSETs!$AA$2</f>
        <v>Phuket</v>
      </c>
      <c r="W34" s="3">
        <f>ASSETs!$AB$2</f>
        <v>99</v>
      </c>
      <c r="X34" s="6" t="str">
        <f>ASSETs!AN31</f>
        <v>/0/543</v>
      </c>
      <c r="Y34" t="str">
        <f>ASSETs!$AF$2</f>
        <v>12.00</v>
      </c>
      <c r="Z34" s="18">
        <v>1</v>
      </c>
    </row>
    <row r="35" spans="1:27" ht="15">
      <c r="A35" s="16">
        <f>ROWS($A$5:B35:C35)</f>
        <v>31</v>
      </c>
      <c r="B35" s="16" t="str">
        <f>ASSETs!AU32</f>
        <v>/0/543</v>
      </c>
      <c r="C35" s="26" t="s">
        <v>309</v>
      </c>
      <c r="D35">
        <f>IF(TIM!Q32=TIM!Q32,TIM!Q32,"")</f>
        <v>0</v>
      </c>
      <c r="I35" t="str">
        <f>IFERROR(VLOOKUP(TIM!E32,ASSETs!$AA$6:$AB$7,2,FALSE),"")</f>
        <v/>
      </c>
      <c r="J35" s="2">
        <f>(IF(TIM!B32=TIM!B32,TIM!B32,""))</f>
        <v>0</v>
      </c>
      <c r="L35">
        <f>IF(TIM!C32=TIM!C32,TIM!C32,"")</f>
        <v>0</v>
      </c>
      <c r="M35" t="str">
        <f>ASSETs!W32</f>
        <v/>
      </c>
      <c r="N35" s="18"/>
      <c r="O35">
        <f>IF(TIM!G32=TIM!G32,TIM!G32,"")</f>
        <v>0</v>
      </c>
      <c r="P35" s="18"/>
      <c r="Q35" t="str">
        <f>ASSETs!$AD$2</f>
        <v>Phang-nga</v>
      </c>
      <c r="R35">
        <f>ASSETs!$AE$2</f>
        <v>99</v>
      </c>
      <c r="S35" s="11">
        <v>146</v>
      </c>
      <c r="T35" s="3">
        <f>IF(TIM!F32=TIM!F32,TIM!F32,"")</f>
        <v>0</v>
      </c>
      <c r="U35" s="18">
        <f>ASSETs!X32</f>
        <v>0</v>
      </c>
      <c r="V35" t="str">
        <f>ASSETs!$AA$2</f>
        <v>Phuket</v>
      </c>
      <c r="W35" s="3">
        <f>ASSETs!$AB$2</f>
        <v>99</v>
      </c>
      <c r="X35" s="6" t="str">
        <f>ASSETs!AN32</f>
        <v>/0/543</v>
      </c>
      <c r="Y35" t="str">
        <f>ASSETs!$AF$2</f>
        <v>12.00</v>
      </c>
      <c r="Z35" s="18">
        <v>1</v>
      </c>
    </row>
    <row r="36" spans="1:27" ht="15">
      <c r="A36" s="16">
        <f>ROWS($A$5:B36:C36)</f>
        <v>32</v>
      </c>
      <c r="B36" s="16" t="str">
        <f>ASSETs!AU33</f>
        <v>/0/543</v>
      </c>
      <c r="C36" s="26" t="s">
        <v>309</v>
      </c>
      <c r="D36">
        <f>IF(TIM!Q33=TIM!Q33,TIM!Q33,"")</f>
        <v>0</v>
      </c>
      <c r="G36" s="18"/>
      <c r="I36" t="str">
        <f>IFERROR(VLOOKUP(TIM!E33,ASSETs!$AA$6:$AB$7,2,FALSE),"")</f>
        <v/>
      </c>
      <c r="J36" s="2">
        <f>(IF(TIM!B33=TIM!B33,TIM!B33,""))</f>
        <v>0</v>
      </c>
      <c r="K36" s="18"/>
      <c r="L36">
        <f>IF(TIM!C33=TIM!C33,TIM!C33,"")</f>
        <v>0</v>
      </c>
      <c r="M36" t="str">
        <f>ASSETs!W33</f>
        <v/>
      </c>
      <c r="N36" s="18"/>
      <c r="O36">
        <f>IF(TIM!G33=TIM!G33,TIM!G33,"")</f>
        <v>0</v>
      </c>
      <c r="P36" s="18"/>
      <c r="Q36" t="str">
        <f>ASSETs!$AD$2</f>
        <v>Phang-nga</v>
      </c>
      <c r="R36">
        <f>ASSETs!$AE$2</f>
        <v>99</v>
      </c>
      <c r="S36" s="11">
        <v>146</v>
      </c>
      <c r="T36" s="3">
        <f>IF(TIM!F33=TIM!F33,TIM!F33,"")</f>
        <v>0</v>
      </c>
      <c r="U36" s="18">
        <f>ASSETs!X33</f>
        <v>0</v>
      </c>
      <c r="V36" t="str">
        <f>ASSETs!$AA$2</f>
        <v>Phuket</v>
      </c>
      <c r="W36" s="3">
        <f>ASSETs!$AB$2</f>
        <v>99</v>
      </c>
      <c r="X36" s="6" t="str">
        <f>ASSETs!AN33</f>
        <v>/0/543</v>
      </c>
      <c r="Y36" t="str">
        <f>ASSETs!$AF$2</f>
        <v>12.00</v>
      </c>
      <c r="Z36" s="18">
        <v>1</v>
      </c>
      <c r="AA36" s="18"/>
    </row>
    <row r="37" spans="1:27" ht="15">
      <c r="A37" s="16">
        <f>ROWS($A$5:B37:C37)</f>
        <v>33</v>
      </c>
      <c r="B37" s="16" t="str">
        <f>ASSETs!AU34</f>
        <v>/0/543</v>
      </c>
      <c r="C37" s="26" t="s">
        <v>309</v>
      </c>
      <c r="D37">
        <f>IF(TIM!Q34=TIM!Q34,TIM!Q34,"")</f>
        <v>0</v>
      </c>
      <c r="I37" t="str">
        <f>IFERROR(VLOOKUP(TIM!E34,ASSETs!$AA$6:$AB$7,2,FALSE),"")</f>
        <v/>
      </c>
      <c r="J37" s="2">
        <f>(IF(TIM!B34=TIM!B34,TIM!B34,""))</f>
        <v>0</v>
      </c>
      <c r="L37">
        <f>IF(TIM!C34=TIM!C34,TIM!C34,"")</f>
        <v>0</v>
      </c>
      <c r="M37" t="str">
        <f>ASSETs!W34</f>
        <v/>
      </c>
      <c r="N37" s="18"/>
      <c r="O37">
        <f>IF(TIM!G34=TIM!G34,TIM!G34,"")</f>
        <v>0</v>
      </c>
      <c r="P37" s="18"/>
      <c r="Q37" t="str">
        <f>ASSETs!$AD$2</f>
        <v>Phang-nga</v>
      </c>
      <c r="R37">
        <f>ASSETs!$AE$2</f>
        <v>99</v>
      </c>
      <c r="S37" s="11">
        <v>146</v>
      </c>
      <c r="T37" s="3">
        <f>IF(TIM!F34=TIM!F34,TIM!F34,"")</f>
        <v>0</v>
      </c>
      <c r="U37" s="18">
        <f>ASSETs!X34</f>
        <v>0</v>
      </c>
      <c r="V37" t="str">
        <f>ASSETs!$AA$2</f>
        <v>Phuket</v>
      </c>
      <c r="W37" s="3">
        <f>ASSETs!$AB$2</f>
        <v>99</v>
      </c>
      <c r="X37" s="6" t="str">
        <f>ASSETs!AN34</f>
        <v>/0/543</v>
      </c>
      <c r="Y37" t="str">
        <f>ASSETs!$AF$2</f>
        <v>12.00</v>
      </c>
      <c r="Z37" s="18">
        <v>1</v>
      </c>
    </row>
    <row r="38" spans="1:27" ht="15">
      <c r="A38" s="16">
        <f>ROWS($A$5:B38:C38)</f>
        <v>34</v>
      </c>
      <c r="B38" s="16" t="str">
        <f>ASSETs!AU35</f>
        <v>/0/543</v>
      </c>
      <c r="C38" s="26" t="s">
        <v>309</v>
      </c>
      <c r="D38">
        <f>IF(TIM!Q35=TIM!Q35,TIM!Q35,"")</f>
        <v>0</v>
      </c>
      <c r="I38" t="str">
        <f>IFERROR(VLOOKUP(TIM!E35,ASSETs!$AA$6:$AB$7,2,FALSE),"")</f>
        <v/>
      </c>
      <c r="J38" s="2">
        <f>(IF(TIM!B35=TIM!B35,TIM!B35,""))</f>
        <v>0</v>
      </c>
      <c r="L38">
        <f>IF(TIM!C35=TIM!C35,TIM!C35,"")</f>
        <v>0</v>
      </c>
      <c r="M38" t="str">
        <f>ASSETs!W35</f>
        <v/>
      </c>
      <c r="N38" s="18"/>
      <c r="O38">
        <f>IF(TIM!G35=TIM!G35,TIM!G35,"")</f>
        <v>0</v>
      </c>
      <c r="P38" s="18"/>
      <c r="Q38" t="str">
        <f>ASSETs!$AD$2</f>
        <v>Phang-nga</v>
      </c>
      <c r="R38">
        <f>ASSETs!$AE$2</f>
        <v>99</v>
      </c>
      <c r="S38" s="11">
        <v>146</v>
      </c>
      <c r="T38" s="3">
        <f>IF(TIM!F35=TIM!F35,TIM!F35,"")</f>
        <v>0</v>
      </c>
      <c r="U38" s="18">
        <f>ASSETs!X35</f>
        <v>0</v>
      </c>
      <c r="V38" t="str">
        <f>ASSETs!$AA$2</f>
        <v>Phuket</v>
      </c>
      <c r="W38" s="3">
        <f>ASSETs!$AB$2</f>
        <v>99</v>
      </c>
      <c r="X38" s="6" t="str">
        <f>ASSETs!AN35</f>
        <v>/0/543</v>
      </c>
      <c r="Y38" t="str">
        <f>ASSETs!$AF$2</f>
        <v>12.00</v>
      </c>
      <c r="Z38" s="18">
        <v>1</v>
      </c>
    </row>
    <row r="39" spans="1:27" ht="15">
      <c r="A39" s="16">
        <f>ROWS($A$5:B39:C39)</f>
        <v>35</v>
      </c>
      <c r="B39" s="16" t="str">
        <f>ASSETs!AU36</f>
        <v>/0/543</v>
      </c>
      <c r="C39" s="26" t="s">
        <v>309</v>
      </c>
      <c r="D39">
        <f>IF(TIM!Q36=TIM!Q36,TIM!Q36,"")</f>
        <v>0</v>
      </c>
      <c r="I39" t="str">
        <f>IFERROR(VLOOKUP(TIM!E36,ASSETs!$AA$6:$AB$7,2,FALSE),"")</f>
        <v/>
      </c>
      <c r="J39" s="2">
        <f>(IF(TIM!B36=TIM!B36,TIM!B36,""))</f>
        <v>0</v>
      </c>
      <c r="L39">
        <f>IF(TIM!C36=TIM!C36,TIM!C36,"")</f>
        <v>0</v>
      </c>
      <c r="M39" t="str">
        <f>ASSETs!W36</f>
        <v/>
      </c>
      <c r="N39" s="18"/>
      <c r="O39">
        <f>IF(TIM!G36=TIM!G36,TIM!G36,"")</f>
        <v>0</v>
      </c>
      <c r="P39" s="18"/>
      <c r="Q39" t="str">
        <f>ASSETs!$AD$2</f>
        <v>Phang-nga</v>
      </c>
      <c r="R39">
        <f>ASSETs!$AE$2</f>
        <v>99</v>
      </c>
      <c r="S39" s="11">
        <v>146</v>
      </c>
      <c r="T39" s="3">
        <f>IF(TIM!F36=TIM!F36,TIM!F36,"")</f>
        <v>0</v>
      </c>
      <c r="U39" s="18">
        <f>ASSETs!X36</f>
        <v>0</v>
      </c>
      <c r="V39" t="str">
        <f>ASSETs!$AA$2</f>
        <v>Phuket</v>
      </c>
      <c r="W39" s="3">
        <f>ASSETs!$AB$2</f>
        <v>99</v>
      </c>
      <c r="X39" s="6" t="str">
        <f>ASSETs!AN36</f>
        <v>/0/543</v>
      </c>
      <c r="Y39" t="str">
        <f>ASSETs!$AF$2</f>
        <v>12.00</v>
      </c>
      <c r="Z39" s="18">
        <v>1</v>
      </c>
    </row>
    <row r="40" spans="1:27" ht="15">
      <c r="A40" s="16">
        <f>ROWS($A$5:B40:C40)</f>
        <v>36</v>
      </c>
      <c r="B40" s="16" t="str">
        <f>ASSETs!AU37</f>
        <v>/0/543</v>
      </c>
      <c r="C40" s="26" t="s">
        <v>309</v>
      </c>
      <c r="D40">
        <f>IF(TIM!Q37=TIM!Q37,TIM!Q37,"")</f>
        <v>0</v>
      </c>
      <c r="I40" t="str">
        <f>IFERROR(VLOOKUP(TIM!E37,ASSETs!$AA$6:$AB$7,2,FALSE),"")</f>
        <v/>
      </c>
      <c r="J40" s="2">
        <f>(IF(TIM!B37=TIM!B37,TIM!B37,""))</f>
        <v>0</v>
      </c>
      <c r="L40">
        <f>IF(TIM!C37=TIM!C37,TIM!C37,"")</f>
        <v>0</v>
      </c>
      <c r="M40" t="str">
        <f>ASSETs!W37</f>
        <v/>
      </c>
      <c r="N40" s="18"/>
      <c r="O40">
        <f>IF(TIM!G37=TIM!G37,TIM!G37,"")</f>
        <v>0</v>
      </c>
      <c r="P40" s="18"/>
      <c r="Q40" t="str">
        <f>ASSETs!$AD$2</f>
        <v>Phang-nga</v>
      </c>
      <c r="R40">
        <f>ASSETs!$AE$2</f>
        <v>99</v>
      </c>
      <c r="S40" s="11">
        <v>146</v>
      </c>
      <c r="T40" s="3">
        <f>IF(TIM!F37=TIM!F37,TIM!F37,"")</f>
        <v>0</v>
      </c>
      <c r="U40" s="18">
        <f>ASSETs!X37</f>
        <v>0</v>
      </c>
      <c r="V40" t="str">
        <f>ASSETs!$AA$2</f>
        <v>Phuket</v>
      </c>
      <c r="W40" s="3">
        <f>ASSETs!$AB$2</f>
        <v>99</v>
      </c>
      <c r="X40" s="6" t="str">
        <f>ASSETs!AN37</f>
        <v>/0/543</v>
      </c>
      <c r="Y40" t="str">
        <f>ASSETs!$AF$2</f>
        <v>12.00</v>
      </c>
      <c r="Z40" s="18">
        <v>1</v>
      </c>
    </row>
    <row r="41" spans="1:27" ht="15">
      <c r="A41" s="16">
        <f>ROWS($A$5:B41:C41)</f>
        <v>37</v>
      </c>
      <c r="B41" s="16" t="str">
        <f>ASSETs!AU38</f>
        <v>/0/543</v>
      </c>
      <c r="C41" s="26" t="s">
        <v>309</v>
      </c>
      <c r="D41">
        <f>IF(TIM!Q38=TIM!Q38,TIM!Q38,"")</f>
        <v>0</v>
      </c>
      <c r="I41" t="str">
        <f>IFERROR(VLOOKUP(TIM!E38,ASSETs!$AA$6:$AB$7,2,FALSE),"")</f>
        <v/>
      </c>
      <c r="J41" s="2">
        <f>(IF(TIM!B38=TIM!B38,TIM!B38,""))</f>
        <v>0</v>
      </c>
      <c r="L41">
        <f>IF(TIM!C38=TIM!C38,TIM!C38,"")</f>
        <v>0</v>
      </c>
      <c r="M41" t="str">
        <f>ASSETs!W38</f>
        <v/>
      </c>
      <c r="N41" s="18"/>
      <c r="O41">
        <f>IF(TIM!G38=TIM!G38,TIM!G38,"")</f>
        <v>0</v>
      </c>
      <c r="P41" s="18"/>
      <c r="Q41" t="str">
        <f>ASSETs!$AD$2</f>
        <v>Phang-nga</v>
      </c>
      <c r="R41">
        <f>ASSETs!$AE$2</f>
        <v>99</v>
      </c>
      <c r="S41" s="11">
        <v>146</v>
      </c>
      <c r="T41" s="3">
        <f>IF(TIM!F38=TIM!F38,TIM!F38,"")</f>
        <v>0</v>
      </c>
      <c r="U41" s="18">
        <f>ASSETs!X38</f>
        <v>0</v>
      </c>
      <c r="V41" t="str">
        <f>ASSETs!$AA$2</f>
        <v>Phuket</v>
      </c>
      <c r="W41" s="3">
        <f>ASSETs!$AB$2</f>
        <v>99</v>
      </c>
      <c r="X41" s="6" t="str">
        <f>ASSETs!AN38</f>
        <v>/0/543</v>
      </c>
      <c r="Y41" t="str">
        <f>ASSETs!$AF$2</f>
        <v>12.00</v>
      </c>
      <c r="Z41" s="18">
        <v>1</v>
      </c>
    </row>
    <row r="42" spans="1:27" ht="15">
      <c r="A42" s="16">
        <f>ROWS($A$5:B42:C42)</f>
        <v>38</v>
      </c>
      <c r="B42" s="16" t="str">
        <f>ASSETs!AU39</f>
        <v>/0/543</v>
      </c>
      <c r="C42" s="26" t="s">
        <v>309</v>
      </c>
      <c r="D42">
        <f>IF(TIM!Q39=TIM!Q39,TIM!Q39,"")</f>
        <v>0</v>
      </c>
      <c r="G42" s="18"/>
      <c r="I42" t="str">
        <f>IFERROR(VLOOKUP(TIM!E39,ASSETs!$AA$6:$AB$7,2,FALSE),"")</f>
        <v/>
      </c>
      <c r="J42" s="2">
        <f>(IF(TIM!B39=TIM!B39,TIM!B39,""))</f>
        <v>0</v>
      </c>
      <c r="K42" s="18"/>
      <c r="L42">
        <f>IF(TIM!C39=TIM!C39,TIM!C39,"")</f>
        <v>0</v>
      </c>
      <c r="M42" t="str">
        <f>ASSETs!W39</f>
        <v/>
      </c>
      <c r="N42" s="18"/>
      <c r="O42">
        <f>IF(TIM!G39=TIM!G39,TIM!G39,"")</f>
        <v>0</v>
      </c>
      <c r="P42" s="18"/>
      <c r="Q42" t="str">
        <f>ASSETs!$AD$2</f>
        <v>Phang-nga</v>
      </c>
      <c r="R42">
        <f>ASSETs!$AE$2</f>
        <v>99</v>
      </c>
      <c r="S42" s="11">
        <v>146</v>
      </c>
      <c r="T42" s="3">
        <f>IF(TIM!F39=TIM!F39,TIM!F39,"")</f>
        <v>0</v>
      </c>
      <c r="U42" s="18">
        <f>ASSETs!X39</f>
        <v>0</v>
      </c>
      <c r="V42" t="str">
        <f>ASSETs!$AA$2</f>
        <v>Phuket</v>
      </c>
      <c r="W42" s="3">
        <f>ASSETs!$AB$2</f>
        <v>99</v>
      </c>
      <c r="X42" s="6" t="str">
        <f>ASSETs!AN39</f>
        <v>/0/543</v>
      </c>
      <c r="Y42" t="str">
        <f>ASSETs!$AF$2</f>
        <v>12.00</v>
      </c>
      <c r="Z42" s="18">
        <v>1</v>
      </c>
      <c r="AA42" s="18"/>
    </row>
    <row r="43" spans="1:27" ht="15">
      <c r="A43" s="16">
        <f>ROWS($A$5:B43:C43)</f>
        <v>39</v>
      </c>
      <c r="B43" s="16" t="str">
        <f>ASSETs!AU40</f>
        <v>/0/543</v>
      </c>
      <c r="C43" s="26" t="s">
        <v>309</v>
      </c>
      <c r="D43">
        <f>IF(TIM!Q40=TIM!Q40,TIM!Q40,"")</f>
        <v>0</v>
      </c>
      <c r="I43" t="str">
        <f>IFERROR(VLOOKUP(TIM!E40,ASSETs!$AA$6:$AB$7,2,FALSE),"")</f>
        <v/>
      </c>
      <c r="J43" s="2">
        <f>(IF(TIM!B40=TIM!B40,TIM!B40,""))</f>
        <v>0</v>
      </c>
      <c r="L43">
        <f>IF(TIM!C40=TIM!C40,TIM!C40,"")</f>
        <v>0</v>
      </c>
      <c r="M43" t="str">
        <f>ASSETs!W40</f>
        <v/>
      </c>
      <c r="N43" s="18"/>
      <c r="O43">
        <f>IF(TIM!G40=TIM!G40,TIM!G40,"")</f>
        <v>0</v>
      </c>
      <c r="P43" s="18"/>
      <c r="Q43" t="str">
        <f>ASSETs!$AD$2</f>
        <v>Phang-nga</v>
      </c>
      <c r="R43">
        <f>ASSETs!$AE$2</f>
        <v>99</v>
      </c>
      <c r="S43" s="11">
        <v>146</v>
      </c>
      <c r="T43" s="3">
        <f>IF(TIM!F40=TIM!F40,TIM!F40,"")</f>
        <v>0</v>
      </c>
      <c r="U43" s="18">
        <f>ASSETs!X40</f>
        <v>0</v>
      </c>
      <c r="V43" t="str">
        <f>ASSETs!$AA$2</f>
        <v>Phuket</v>
      </c>
      <c r="W43" s="3">
        <f>ASSETs!$AB$2</f>
        <v>99</v>
      </c>
      <c r="X43" s="6" t="str">
        <f>ASSETs!AN40</f>
        <v>/0/543</v>
      </c>
      <c r="Y43" t="str">
        <f>ASSETs!$AF$2</f>
        <v>12.00</v>
      </c>
      <c r="Z43" s="18">
        <v>1</v>
      </c>
    </row>
    <row r="44" spans="1:27" ht="15">
      <c r="A44" s="16">
        <f>ROWS($A$5:B44:C44)</f>
        <v>40</v>
      </c>
      <c r="B44" s="16" t="str">
        <f>ASSETs!AU41</f>
        <v>/0/543</v>
      </c>
      <c r="C44" s="26" t="s">
        <v>309</v>
      </c>
      <c r="D44">
        <f>IF(TIM!Q41=TIM!Q41,TIM!Q41,"")</f>
        <v>0</v>
      </c>
      <c r="I44" t="str">
        <f>IFERROR(VLOOKUP(TIM!E41,ASSETs!$AA$6:$AB$7,2,FALSE),"")</f>
        <v/>
      </c>
      <c r="J44" s="2">
        <f>(IF(TIM!B41=TIM!B41,TIM!B41,""))</f>
        <v>0</v>
      </c>
      <c r="L44">
        <f>IF(TIM!C41=TIM!C41,TIM!C41,"")</f>
        <v>0</v>
      </c>
      <c r="M44" t="str">
        <f>ASSETs!W41</f>
        <v/>
      </c>
      <c r="N44" s="18"/>
      <c r="O44">
        <f>IF(TIM!G41=TIM!G41,TIM!G41,"")</f>
        <v>0</v>
      </c>
      <c r="P44" s="18"/>
      <c r="Q44" t="str">
        <f>ASSETs!$AD$2</f>
        <v>Phang-nga</v>
      </c>
      <c r="R44">
        <f>ASSETs!$AE$2</f>
        <v>99</v>
      </c>
      <c r="S44" s="11">
        <v>146</v>
      </c>
      <c r="T44" s="3">
        <f>IF(TIM!F41=TIM!F41,TIM!F41,"")</f>
        <v>0</v>
      </c>
      <c r="U44" s="18">
        <f>ASSETs!X41</f>
        <v>0</v>
      </c>
      <c r="V44" t="str">
        <f>ASSETs!$AA$2</f>
        <v>Phuket</v>
      </c>
      <c r="W44" s="3">
        <f>ASSETs!$AB$2</f>
        <v>99</v>
      </c>
      <c r="X44" s="6" t="str">
        <f>ASSETs!AN41</f>
        <v>/0/543</v>
      </c>
      <c r="Y44" t="str">
        <f>ASSETs!$AF$2</f>
        <v>12.00</v>
      </c>
      <c r="Z44" s="18">
        <v>1</v>
      </c>
    </row>
    <row r="45" spans="1:27" ht="15">
      <c r="A45" s="16">
        <f>ROWS($A$5:B45:C45)</f>
        <v>41</v>
      </c>
      <c r="B45" s="16" t="str">
        <f>ASSETs!AU42</f>
        <v>/0/543</v>
      </c>
      <c r="C45" s="26" t="s">
        <v>309</v>
      </c>
      <c r="D45">
        <f>IF(TIM!Q42=TIM!Q42,TIM!Q42,"")</f>
        <v>0</v>
      </c>
      <c r="G45" s="18"/>
      <c r="I45" t="str">
        <f>IFERROR(VLOOKUP(TIM!E42,ASSETs!$AA$6:$AB$7,2,FALSE),"")</f>
        <v/>
      </c>
      <c r="J45" s="2">
        <f>(IF(TIM!B42=TIM!B42,TIM!B42,""))</f>
        <v>0</v>
      </c>
      <c r="K45" s="18"/>
      <c r="L45">
        <f>IF(TIM!C42=TIM!C42,TIM!C42,"")</f>
        <v>0</v>
      </c>
      <c r="M45" t="str">
        <f>ASSETs!W42</f>
        <v/>
      </c>
      <c r="N45" s="18"/>
      <c r="O45">
        <f>IF(TIM!G42=TIM!G42,TIM!G42,"")</f>
        <v>0</v>
      </c>
      <c r="P45" s="18"/>
      <c r="Q45" t="str">
        <f>ASSETs!$AD$2</f>
        <v>Phang-nga</v>
      </c>
      <c r="R45">
        <f>ASSETs!$AE$2</f>
        <v>99</v>
      </c>
      <c r="S45" s="11">
        <v>146</v>
      </c>
      <c r="T45" s="3">
        <f>IF(TIM!F42=TIM!F42,TIM!F42,"")</f>
        <v>0</v>
      </c>
      <c r="U45" s="18">
        <f>ASSETs!X42</f>
        <v>0</v>
      </c>
      <c r="V45" t="str">
        <f>ASSETs!$AA$2</f>
        <v>Phuket</v>
      </c>
      <c r="W45" s="3">
        <f>ASSETs!$AB$2</f>
        <v>99</v>
      </c>
      <c r="X45" s="6" t="str">
        <f>ASSETs!AN42</f>
        <v>/0/543</v>
      </c>
      <c r="Y45" t="str">
        <f>ASSETs!$AF$2</f>
        <v>12.00</v>
      </c>
      <c r="Z45" s="18">
        <v>1</v>
      </c>
      <c r="AA45" s="18"/>
    </row>
    <row r="46" spans="1:27" ht="15">
      <c r="A46" s="16">
        <f>ROWS($A$5:B46:C46)</f>
        <v>42</v>
      </c>
      <c r="B46" s="16" t="str">
        <f>ASSETs!AU43</f>
        <v>/0/543</v>
      </c>
      <c r="C46" s="26" t="s">
        <v>309</v>
      </c>
      <c r="D46">
        <f>IF(TIM!Q43=TIM!Q43,TIM!Q43,"")</f>
        <v>0</v>
      </c>
      <c r="I46" t="str">
        <f>IFERROR(VLOOKUP(TIM!E43,ASSETs!$AA$6:$AB$7,2,FALSE),"")</f>
        <v/>
      </c>
      <c r="J46" s="2">
        <f>(IF(TIM!B43=TIM!B43,TIM!B43,""))</f>
        <v>0</v>
      </c>
      <c r="L46">
        <f>IF(TIM!C43=TIM!C43,TIM!C43,"")</f>
        <v>0</v>
      </c>
      <c r="M46" t="str">
        <f>ASSETs!W43</f>
        <v/>
      </c>
      <c r="N46" s="18"/>
      <c r="O46">
        <f>IF(TIM!G43=TIM!G43,TIM!G43,"")</f>
        <v>0</v>
      </c>
      <c r="P46" s="18"/>
      <c r="Q46" t="str">
        <f>ASSETs!$AD$2</f>
        <v>Phang-nga</v>
      </c>
      <c r="R46">
        <f>ASSETs!$AE$2</f>
        <v>99</v>
      </c>
      <c r="S46" s="11">
        <v>146</v>
      </c>
      <c r="T46" s="3">
        <f>IF(TIM!F43=TIM!F43,TIM!F43,"")</f>
        <v>0</v>
      </c>
      <c r="U46" s="18">
        <f>ASSETs!X43</f>
        <v>0</v>
      </c>
      <c r="V46" t="str">
        <f>ASSETs!$AA$2</f>
        <v>Phuket</v>
      </c>
      <c r="W46" s="3">
        <f>ASSETs!$AB$2</f>
        <v>99</v>
      </c>
      <c r="X46" s="6" t="str">
        <f>ASSETs!AN43</f>
        <v>/0/543</v>
      </c>
      <c r="Y46" t="str">
        <f>ASSETs!$AF$2</f>
        <v>12.00</v>
      </c>
      <c r="Z46" s="18">
        <v>1</v>
      </c>
    </row>
    <row r="47" spans="1:27" ht="15">
      <c r="A47" s="16">
        <f>ROWS($A$5:B47:C47)</f>
        <v>43</v>
      </c>
      <c r="B47" s="16" t="str">
        <f>ASSETs!AU44</f>
        <v>/0/543</v>
      </c>
      <c r="C47" s="26" t="s">
        <v>309</v>
      </c>
      <c r="D47">
        <f>IF(TIM!Q44=TIM!Q44,TIM!Q44,"")</f>
        <v>0</v>
      </c>
      <c r="I47" t="str">
        <f>IFERROR(VLOOKUP(TIM!E44,ASSETs!$AA$6:$AB$7,2,FALSE),"")</f>
        <v/>
      </c>
      <c r="J47" s="2">
        <f>(IF(TIM!B44=TIM!B44,TIM!B44,""))</f>
        <v>0</v>
      </c>
      <c r="L47">
        <f>IF(TIM!C44=TIM!C44,TIM!C44,"")</f>
        <v>0</v>
      </c>
      <c r="M47" t="str">
        <f>ASSETs!W44</f>
        <v/>
      </c>
      <c r="N47" s="18"/>
      <c r="O47">
        <f>IF(TIM!G44=TIM!G44,TIM!G44,"")</f>
        <v>0</v>
      </c>
      <c r="P47" s="18"/>
      <c r="Q47" t="str">
        <f>ASSETs!$AD$2</f>
        <v>Phang-nga</v>
      </c>
      <c r="R47">
        <f>ASSETs!$AE$2</f>
        <v>99</v>
      </c>
      <c r="S47" s="11">
        <v>146</v>
      </c>
      <c r="T47" s="3">
        <f>IF(TIM!F44=TIM!F44,TIM!F44,"")</f>
        <v>0</v>
      </c>
      <c r="U47" s="18">
        <f>ASSETs!X44</f>
        <v>0</v>
      </c>
      <c r="V47" t="str">
        <f>ASSETs!$AA$2</f>
        <v>Phuket</v>
      </c>
      <c r="W47" s="3">
        <f>ASSETs!$AB$2</f>
        <v>99</v>
      </c>
      <c r="X47" s="6" t="str">
        <f>ASSETs!AN44</f>
        <v>/0/543</v>
      </c>
      <c r="Y47" t="str">
        <f>ASSETs!$AF$2</f>
        <v>12.00</v>
      </c>
      <c r="Z47" s="18">
        <v>1</v>
      </c>
    </row>
    <row r="48" spans="1:27" ht="15">
      <c r="A48" s="16">
        <f>ROWS($A$5:B48:C48)</f>
        <v>44</v>
      </c>
      <c r="B48" s="16" t="str">
        <f>ASSETs!AU45</f>
        <v>/0/543</v>
      </c>
      <c r="C48" s="26" t="s">
        <v>309</v>
      </c>
      <c r="D48">
        <f>IF(TIM!Q45=TIM!Q45,TIM!Q45,"")</f>
        <v>0</v>
      </c>
      <c r="I48" t="str">
        <f>IFERROR(VLOOKUP(TIM!E45,ASSETs!$AA$6:$AB$7,2,FALSE),"")</f>
        <v/>
      </c>
      <c r="J48" s="2">
        <f>(IF(TIM!B45=TIM!B45,TIM!B45,""))</f>
        <v>0</v>
      </c>
      <c r="L48">
        <f>IF(TIM!C45=TIM!C45,TIM!C45,"")</f>
        <v>0</v>
      </c>
      <c r="M48" t="str">
        <f>ASSETs!W45</f>
        <v/>
      </c>
      <c r="N48" s="18"/>
      <c r="O48">
        <f>IF(TIM!G45=TIM!G45,TIM!G45,"")</f>
        <v>0</v>
      </c>
      <c r="P48" s="18"/>
      <c r="Q48" t="str">
        <f>ASSETs!$AD$2</f>
        <v>Phang-nga</v>
      </c>
      <c r="R48">
        <f>ASSETs!$AE$2</f>
        <v>99</v>
      </c>
      <c r="S48" s="11">
        <v>146</v>
      </c>
      <c r="T48" s="3">
        <f>IF(TIM!F45=TIM!F45,TIM!F45,"")</f>
        <v>0</v>
      </c>
      <c r="U48" s="18">
        <f>ASSETs!X45</f>
        <v>0</v>
      </c>
      <c r="V48" t="str">
        <f>ASSETs!$AA$2</f>
        <v>Phuket</v>
      </c>
      <c r="W48" s="3">
        <f>ASSETs!$AB$2</f>
        <v>99</v>
      </c>
      <c r="X48" s="6" t="str">
        <f>ASSETs!AN45</f>
        <v>/0/543</v>
      </c>
      <c r="Y48" t="str">
        <f>ASSETs!$AF$2</f>
        <v>12.00</v>
      </c>
      <c r="Z48" s="18">
        <v>1</v>
      </c>
    </row>
    <row r="49" spans="1:27" ht="15">
      <c r="A49" s="16">
        <f>ROWS($A$5:B49:C49)</f>
        <v>45</v>
      </c>
      <c r="B49" s="16" t="str">
        <f>ASSETs!AU46</f>
        <v>/0/543</v>
      </c>
      <c r="C49" s="26" t="s">
        <v>309</v>
      </c>
      <c r="D49">
        <f>IF(TIM!Q46=TIM!Q46,TIM!Q46,"")</f>
        <v>0</v>
      </c>
      <c r="G49" s="18"/>
      <c r="I49" t="str">
        <f>IFERROR(VLOOKUP(TIM!E46,ASSETs!$AA$6:$AB$7,2,FALSE),"")</f>
        <v/>
      </c>
      <c r="J49" s="2">
        <f>(IF(TIM!B46=TIM!B46,TIM!B46,""))</f>
        <v>0</v>
      </c>
      <c r="K49" s="18"/>
      <c r="L49">
        <f>IF(TIM!C46=TIM!C46,TIM!C46,"")</f>
        <v>0</v>
      </c>
      <c r="M49" t="str">
        <f>ASSETs!W46</f>
        <v/>
      </c>
      <c r="N49" s="18"/>
      <c r="O49">
        <f>IF(TIM!G46=TIM!G46,TIM!G46,"")</f>
        <v>0</v>
      </c>
      <c r="P49" s="18"/>
      <c r="Q49" t="str">
        <f>ASSETs!$AD$2</f>
        <v>Phang-nga</v>
      </c>
      <c r="R49">
        <f>ASSETs!$AE$2</f>
        <v>99</v>
      </c>
      <c r="S49" s="11">
        <v>146</v>
      </c>
      <c r="T49" s="3">
        <f>IF(TIM!F46=TIM!F46,TIM!F46,"")</f>
        <v>0</v>
      </c>
      <c r="U49" s="18">
        <f>ASSETs!X46</f>
        <v>0</v>
      </c>
      <c r="V49" t="str">
        <f>ASSETs!$AA$2</f>
        <v>Phuket</v>
      </c>
      <c r="W49" s="3">
        <f>ASSETs!$AB$2</f>
        <v>99</v>
      </c>
      <c r="X49" s="6" t="str">
        <f>ASSETs!AN46</f>
        <v>/0/543</v>
      </c>
      <c r="Y49" t="str">
        <f>ASSETs!$AF$2</f>
        <v>12.00</v>
      </c>
      <c r="Z49" s="18">
        <v>1</v>
      </c>
      <c r="AA49" s="18"/>
    </row>
    <row r="50" spans="1:27" ht="15">
      <c r="A50" s="16">
        <f>ROWS($A$5:B50:C50)</f>
        <v>46</v>
      </c>
      <c r="B50" s="16" t="str">
        <f>ASSETs!AU47</f>
        <v>/0/543</v>
      </c>
      <c r="C50" s="26" t="s">
        <v>309</v>
      </c>
      <c r="D50">
        <f>IF(TIM!Q47=TIM!Q47,TIM!Q47,"")</f>
        <v>0</v>
      </c>
      <c r="I50" t="str">
        <f>IFERROR(VLOOKUP(TIM!E47,ASSETs!$AA$6:$AB$7,2,FALSE),"")</f>
        <v/>
      </c>
      <c r="J50" s="2">
        <f>(IF(TIM!B47=TIM!B47,TIM!B47,""))</f>
        <v>0</v>
      </c>
      <c r="L50">
        <f>IF(TIM!C47=TIM!C47,TIM!C47,"")</f>
        <v>0</v>
      </c>
      <c r="M50" t="str">
        <f>ASSETs!W47</f>
        <v/>
      </c>
      <c r="N50" s="18"/>
      <c r="O50">
        <f>IF(TIM!G47=TIM!G47,TIM!G47,"")</f>
        <v>0</v>
      </c>
      <c r="P50" s="18"/>
      <c r="Q50" t="str">
        <f>ASSETs!$AD$2</f>
        <v>Phang-nga</v>
      </c>
      <c r="R50">
        <f>ASSETs!$AE$2</f>
        <v>99</v>
      </c>
      <c r="S50" s="11">
        <v>146</v>
      </c>
      <c r="T50" s="3">
        <f>IF(TIM!F47=TIM!F47,TIM!F47,"")</f>
        <v>0</v>
      </c>
      <c r="U50" s="18">
        <f>ASSETs!X47</f>
        <v>0</v>
      </c>
      <c r="V50" t="str">
        <f>ASSETs!$AA$2</f>
        <v>Phuket</v>
      </c>
      <c r="W50" s="3">
        <f>ASSETs!$AB$2</f>
        <v>99</v>
      </c>
      <c r="X50" s="6" t="str">
        <f>ASSETs!AN47</f>
        <v>/0/543</v>
      </c>
      <c r="Y50" t="str">
        <f>ASSETs!$AF$2</f>
        <v>12.00</v>
      </c>
      <c r="Z50" s="18">
        <v>1</v>
      </c>
    </row>
    <row r="51" spans="1:27" ht="15">
      <c r="A51" s="16">
        <f>ROWS($A$5:B51:C51)</f>
        <v>47</v>
      </c>
      <c r="B51" s="16" t="str">
        <f>ASSETs!AU48</f>
        <v>/0/543</v>
      </c>
      <c r="C51" s="26" t="s">
        <v>309</v>
      </c>
      <c r="D51">
        <f>IF(TIM!Q48=TIM!Q48,TIM!Q48,"")</f>
        <v>0</v>
      </c>
      <c r="I51" t="str">
        <f>IFERROR(VLOOKUP(TIM!E48,ASSETs!$AA$6:$AB$7,2,FALSE),"")</f>
        <v/>
      </c>
      <c r="J51" s="2">
        <f>(IF(TIM!B48=TIM!B48,TIM!B48,""))</f>
        <v>0</v>
      </c>
      <c r="L51">
        <f>IF(TIM!C48=TIM!C48,TIM!C48,"")</f>
        <v>0</v>
      </c>
      <c r="M51" t="str">
        <f>ASSETs!W48</f>
        <v/>
      </c>
      <c r="N51" s="18"/>
      <c r="O51">
        <f>IF(TIM!G48=TIM!G48,TIM!G48,"")</f>
        <v>0</v>
      </c>
      <c r="P51" s="18"/>
      <c r="Q51" t="str">
        <f>ASSETs!$AD$2</f>
        <v>Phang-nga</v>
      </c>
      <c r="R51">
        <f>ASSETs!$AE$2</f>
        <v>99</v>
      </c>
      <c r="S51" s="11">
        <v>146</v>
      </c>
      <c r="T51" s="3">
        <f>IF(TIM!F48=TIM!F48,TIM!F48,"")</f>
        <v>0</v>
      </c>
      <c r="U51" s="18">
        <f>ASSETs!X48</f>
        <v>0</v>
      </c>
      <c r="V51" t="str">
        <f>ASSETs!$AA$2</f>
        <v>Phuket</v>
      </c>
      <c r="W51" s="3">
        <f>ASSETs!$AB$2</f>
        <v>99</v>
      </c>
      <c r="X51" s="6" t="str">
        <f>ASSETs!AN48</f>
        <v>/0/543</v>
      </c>
      <c r="Y51" t="str">
        <f>ASSETs!$AF$2</f>
        <v>12.00</v>
      </c>
      <c r="Z51" s="18">
        <v>1</v>
      </c>
    </row>
    <row r="52" spans="1:27" ht="15">
      <c r="A52" s="16">
        <f>ROWS($A$5:B52:C52)</f>
        <v>48</v>
      </c>
      <c r="B52" s="16" t="str">
        <f>ASSETs!AU49</f>
        <v>/0/543</v>
      </c>
      <c r="C52" s="26" t="s">
        <v>309</v>
      </c>
      <c r="D52">
        <f>IF(TIM!Q49=TIM!Q49,TIM!Q49,"")</f>
        <v>0</v>
      </c>
      <c r="I52" t="str">
        <f>IFERROR(VLOOKUP(TIM!E49,ASSETs!$AA$6:$AB$7,2,FALSE),"")</f>
        <v/>
      </c>
      <c r="J52" s="2">
        <f>(IF(TIM!B49=TIM!B49,TIM!B49,""))</f>
        <v>0</v>
      </c>
      <c r="L52">
        <f>IF(TIM!C49=TIM!C49,TIM!C49,"")</f>
        <v>0</v>
      </c>
      <c r="M52" t="str">
        <f>ASSETs!W49</f>
        <v/>
      </c>
      <c r="N52" s="18"/>
      <c r="O52">
        <f>IF(TIM!G49=TIM!G49,TIM!G49,"")</f>
        <v>0</v>
      </c>
      <c r="P52" s="18"/>
      <c r="Q52" t="str">
        <f>ASSETs!$AD$2</f>
        <v>Phang-nga</v>
      </c>
      <c r="R52">
        <f>ASSETs!$AE$2</f>
        <v>99</v>
      </c>
      <c r="S52" s="11">
        <v>146</v>
      </c>
      <c r="T52" s="3">
        <f>IF(TIM!F49=TIM!F49,TIM!F49,"")</f>
        <v>0</v>
      </c>
      <c r="U52" s="18">
        <f>ASSETs!X49</f>
        <v>0</v>
      </c>
      <c r="V52" t="str">
        <f>ASSETs!$AA$2</f>
        <v>Phuket</v>
      </c>
      <c r="W52" s="3">
        <f>ASSETs!$AB$2</f>
        <v>99</v>
      </c>
      <c r="X52" s="6" t="str">
        <f>ASSETs!AN49</f>
        <v>/0/543</v>
      </c>
      <c r="Y52" t="str">
        <f>ASSETs!$AF$2</f>
        <v>12.00</v>
      </c>
      <c r="Z52" s="18">
        <v>1</v>
      </c>
    </row>
    <row r="53" spans="1:27" ht="15">
      <c r="A53" s="16">
        <f>ROWS($A$5:B53:C53)</f>
        <v>49</v>
      </c>
      <c r="B53" s="16" t="str">
        <f>ASSETs!AU50</f>
        <v>/0/543</v>
      </c>
      <c r="C53" s="26" t="s">
        <v>309</v>
      </c>
      <c r="D53">
        <f>IF(TIM!Q50=TIM!Q50,TIM!Q50,"")</f>
        <v>0</v>
      </c>
      <c r="I53" t="str">
        <f>IFERROR(VLOOKUP(TIM!E50,ASSETs!$AA$6:$AB$7,2,FALSE),"")</f>
        <v/>
      </c>
      <c r="J53" s="2">
        <f>(IF(TIM!B50=TIM!B50,TIM!B50,""))</f>
        <v>0</v>
      </c>
      <c r="L53">
        <f>IF(TIM!C50=TIM!C50,TIM!C50,"")</f>
        <v>0</v>
      </c>
      <c r="M53" t="str">
        <f>ASSETs!W50</f>
        <v/>
      </c>
      <c r="N53" s="18"/>
      <c r="O53">
        <f>IF(TIM!G50=TIM!G50,TIM!G50,"")</f>
        <v>0</v>
      </c>
      <c r="P53" s="18"/>
      <c r="Q53" t="str">
        <f>ASSETs!$AD$2</f>
        <v>Phang-nga</v>
      </c>
      <c r="R53">
        <f>ASSETs!$AE$2</f>
        <v>99</v>
      </c>
      <c r="S53" s="11">
        <v>146</v>
      </c>
      <c r="T53" s="3">
        <f>IF(TIM!F50=TIM!F50,TIM!F50,"")</f>
        <v>0</v>
      </c>
      <c r="U53" s="18">
        <f>ASSETs!X50</f>
        <v>0</v>
      </c>
      <c r="V53" t="str">
        <f>ASSETs!$AA$2</f>
        <v>Phuket</v>
      </c>
      <c r="W53" s="3">
        <f>ASSETs!$AB$2</f>
        <v>99</v>
      </c>
      <c r="X53" s="6" t="str">
        <f>ASSETs!AN50</f>
        <v>/0/543</v>
      </c>
      <c r="Y53" t="str">
        <f>ASSETs!$AF$2</f>
        <v>12.00</v>
      </c>
      <c r="Z53" s="18">
        <v>1</v>
      </c>
    </row>
    <row r="54" spans="1:27" ht="15">
      <c r="A54" s="16">
        <f>ROWS($A$5:B54:C54)</f>
        <v>50</v>
      </c>
      <c r="B54" s="16" t="str">
        <f>ASSETs!AU51</f>
        <v>/0/543</v>
      </c>
      <c r="C54" s="26" t="s">
        <v>309</v>
      </c>
      <c r="D54">
        <f>IF(TIM!Q51=TIM!Q51,TIM!Q51,"")</f>
        <v>0</v>
      </c>
      <c r="I54" t="str">
        <f>IFERROR(VLOOKUP(TIM!E51,ASSETs!$AA$6:$AB$7,2,FALSE),"")</f>
        <v/>
      </c>
      <c r="J54" s="2">
        <f>(IF(TIM!B51=TIM!B51,TIM!B51,""))</f>
        <v>0</v>
      </c>
      <c r="L54">
        <f>IF(TIM!C51=TIM!C51,TIM!C51,"")</f>
        <v>0</v>
      </c>
      <c r="M54" t="str">
        <f>ASSETs!W51</f>
        <v/>
      </c>
      <c r="N54" s="18"/>
      <c r="O54">
        <f>IF(TIM!G51=TIM!G51,TIM!G51,"")</f>
        <v>0</v>
      </c>
      <c r="P54" s="18"/>
      <c r="Q54" t="str">
        <f>ASSETs!$AD$2</f>
        <v>Phang-nga</v>
      </c>
      <c r="R54">
        <f>ASSETs!$AE$2</f>
        <v>99</v>
      </c>
      <c r="S54" s="11">
        <v>146</v>
      </c>
      <c r="T54" s="3">
        <f>IF(TIM!F51=TIM!F51,TIM!F51,"")</f>
        <v>0</v>
      </c>
      <c r="U54" s="18">
        <f>ASSETs!X51</f>
        <v>0</v>
      </c>
      <c r="V54" t="str">
        <f>ASSETs!$AA$2</f>
        <v>Phuket</v>
      </c>
      <c r="W54" s="3">
        <f>ASSETs!$AB$2</f>
        <v>99</v>
      </c>
      <c r="X54" s="6" t="str">
        <f>ASSETs!AN51</f>
        <v>/0/543</v>
      </c>
      <c r="Y54" t="str">
        <f>ASSETs!$AF$2</f>
        <v>12.00</v>
      </c>
      <c r="Z54" s="18">
        <v>1</v>
      </c>
    </row>
    <row r="55" spans="1:27" ht="15">
      <c r="A55" s="16">
        <f>ROWS($A$5:B55:C55)</f>
        <v>51</v>
      </c>
      <c r="B55" s="16" t="str">
        <f>ASSETs!AU52</f>
        <v>/0/543</v>
      </c>
      <c r="C55" s="26" t="s">
        <v>309</v>
      </c>
      <c r="D55">
        <f>IF(TIM!Q52=TIM!Q52,TIM!Q52,"")</f>
        <v>0</v>
      </c>
      <c r="I55" t="str">
        <f>IFERROR(VLOOKUP(TIM!E52,ASSETs!$AA$6:$AB$7,2,FALSE),"")</f>
        <v/>
      </c>
      <c r="J55" s="2">
        <f>(IF(TIM!B52=TIM!B52,TIM!B52,""))</f>
        <v>0</v>
      </c>
      <c r="L55">
        <f>IF(TIM!C52=TIM!C52,TIM!C52,"")</f>
        <v>0</v>
      </c>
      <c r="M55" t="str">
        <f>ASSETs!W52</f>
        <v/>
      </c>
      <c r="N55" s="18"/>
      <c r="O55">
        <f>IF(TIM!G52=TIM!G52,TIM!G52,"")</f>
        <v>0</v>
      </c>
      <c r="P55" s="18"/>
      <c r="Q55" t="str">
        <f>ASSETs!$AD$2</f>
        <v>Phang-nga</v>
      </c>
      <c r="R55">
        <f>ASSETs!$AE$2</f>
        <v>99</v>
      </c>
      <c r="S55" s="11">
        <v>146</v>
      </c>
      <c r="T55" s="3">
        <f>IF(TIM!F52=TIM!F52,TIM!F52,"")</f>
        <v>0</v>
      </c>
      <c r="U55" s="18">
        <f>ASSETs!X52</f>
        <v>0</v>
      </c>
      <c r="V55" t="str">
        <f>ASSETs!$AA$2</f>
        <v>Phuket</v>
      </c>
      <c r="W55" s="3">
        <f>ASSETs!$AB$2</f>
        <v>99</v>
      </c>
      <c r="X55" s="6" t="str">
        <f>ASSETs!AN52</f>
        <v>/0/543</v>
      </c>
      <c r="Y55" t="str">
        <f>ASSETs!$AF$2</f>
        <v>12.00</v>
      </c>
      <c r="Z55" s="18">
        <v>1</v>
      </c>
    </row>
    <row r="56" spans="1:27" ht="15">
      <c r="A56" s="16">
        <f>ROWS($A$5:B56:C56)</f>
        <v>52</v>
      </c>
      <c r="B56" s="16" t="str">
        <f>ASSETs!AU53</f>
        <v>/0/543</v>
      </c>
      <c r="C56" s="26" t="s">
        <v>309</v>
      </c>
      <c r="D56">
        <f>IF(TIM!Q53=TIM!Q53,TIM!Q53,"")</f>
        <v>0</v>
      </c>
      <c r="I56" t="str">
        <f>IFERROR(VLOOKUP(TIM!E53,ASSETs!$AA$6:$AB$7,2,FALSE),"")</f>
        <v/>
      </c>
      <c r="J56" s="2">
        <f>(IF(TIM!B53=TIM!B53,TIM!B53,""))</f>
        <v>0</v>
      </c>
      <c r="L56">
        <f>IF(TIM!C53=TIM!C53,TIM!C53,"")</f>
        <v>0</v>
      </c>
      <c r="M56" t="str">
        <f>ASSETs!W53</f>
        <v/>
      </c>
      <c r="N56" s="18"/>
      <c r="O56">
        <f>IF(TIM!G53=TIM!G53,TIM!G53,"")</f>
        <v>0</v>
      </c>
      <c r="P56" s="18"/>
      <c r="Q56" t="str">
        <f>ASSETs!$AD$2</f>
        <v>Phang-nga</v>
      </c>
      <c r="R56">
        <f>ASSETs!$AE$2</f>
        <v>99</v>
      </c>
      <c r="S56" s="11">
        <v>146</v>
      </c>
      <c r="T56" s="3">
        <f>IF(TIM!F53=TIM!F53,TIM!F53,"")</f>
        <v>0</v>
      </c>
      <c r="U56" s="18">
        <f>ASSETs!X53</f>
        <v>0</v>
      </c>
      <c r="V56" t="str">
        <f>ASSETs!$AA$2</f>
        <v>Phuket</v>
      </c>
      <c r="W56" s="3">
        <f>ASSETs!$AB$2</f>
        <v>99</v>
      </c>
      <c r="X56" s="6" t="str">
        <f>ASSETs!AN53</f>
        <v>/0/543</v>
      </c>
      <c r="Y56" t="str">
        <f>ASSETs!$AF$2</f>
        <v>12.00</v>
      </c>
      <c r="Z56" s="18">
        <v>1</v>
      </c>
    </row>
    <row r="57" spans="1:27" ht="15">
      <c r="A57" s="16">
        <f>ROWS($A$5:B57:C57)</f>
        <v>53</v>
      </c>
      <c r="B57" s="16" t="str">
        <f>ASSETs!AU54</f>
        <v>/0/543</v>
      </c>
      <c r="C57" s="26" t="s">
        <v>309</v>
      </c>
      <c r="D57">
        <f>IF(TIM!Q54=TIM!Q54,TIM!Q54,"")</f>
        <v>0</v>
      </c>
      <c r="I57" t="str">
        <f>IFERROR(VLOOKUP(TIM!E54,ASSETs!$AA$6:$AB$7,2,FALSE),"")</f>
        <v/>
      </c>
      <c r="J57" s="2">
        <f>(IF(TIM!B54=TIM!B54,TIM!B54,""))</f>
        <v>0</v>
      </c>
      <c r="L57">
        <f>IF(TIM!C54=TIM!C54,TIM!C54,"")</f>
        <v>0</v>
      </c>
      <c r="M57" t="str">
        <f>ASSETs!W54</f>
        <v/>
      </c>
      <c r="N57" s="18"/>
      <c r="O57">
        <f>IF(TIM!G54=TIM!G54,TIM!G54,"")</f>
        <v>0</v>
      </c>
      <c r="P57" s="18"/>
      <c r="Q57" t="str">
        <f>ASSETs!$AD$2</f>
        <v>Phang-nga</v>
      </c>
      <c r="R57">
        <f>ASSETs!$AE$2</f>
        <v>99</v>
      </c>
      <c r="S57" s="11">
        <v>146</v>
      </c>
      <c r="T57" s="3">
        <f>IF(TIM!F54=TIM!F54,TIM!F54,"")</f>
        <v>0</v>
      </c>
      <c r="U57" s="18">
        <f>ASSETs!X54</f>
        <v>0</v>
      </c>
      <c r="V57" t="str">
        <f>ASSETs!$AA$2</f>
        <v>Phuket</v>
      </c>
      <c r="W57" s="3">
        <f>ASSETs!$AB$2</f>
        <v>99</v>
      </c>
      <c r="X57" s="6" t="str">
        <f>ASSETs!AN54</f>
        <v>/0/543</v>
      </c>
      <c r="Y57" t="str">
        <f>ASSETs!$AF$2</f>
        <v>12.00</v>
      </c>
      <c r="Z57" s="18">
        <v>1</v>
      </c>
    </row>
    <row r="58" spans="1:27" ht="15">
      <c r="A58" s="16">
        <f>ROWS($A$5:B58:C58)</f>
        <v>54</v>
      </c>
      <c r="B58" s="16" t="str">
        <f>ASSETs!AU55</f>
        <v>/0/543</v>
      </c>
      <c r="C58" s="26" t="s">
        <v>309</v>
      </c>
      <c r="D58">
        <f>IF(TIM!Q55=TIM!Q55,TIM!Q55,"")</f>
        <v>0</v>
      </c>
      <c r="I58" t="str">
        <f>IFERROR(VLOOKUP(TIM!E55,ASSETs!$AA$6:$AB$7,2,FALSE),"")</f>
        <v/>
      </c>
      <c r="J58" s="2">
        <f>(IF(TIM!B55=TIM!B55,TIM!B55,""))</f>
        <v>0</v>
      </c>
      <c r="L58">
        <f>IF(TIM!C55=TIM!C55,TIM!C55,"")</f>
        <v>0</v>
      </c>
      <c r="M58" t="str">
        <f>ASSETs!W55</f>
        <v/>
      </c>
      <c r="N58" s="18"/>
      <c r="O58">
        <f>IF(TIM!G55=TIM!G55,TIM!G55,"")</f>
        <v>0</v>
      </c>
      <c r="P58" s="18"/>
      <c r="Q58" t="str">
        <f>ASSETs!$AD$2</f>
        <v>Phang-nga</v>
      </c>
      <c r="R58">
        <f>ASSETs!$AE$2</f>
        <v>99</v>
      </c>
      <c r="S58" s="11">
        <v>146</v>
      </c>
      <c r="T58" s="3">
        <f>IF(TIM!F55=TIM!F55,TIM!F55,"")</f>
        <v>0</v>
      </c>
      <c r="U58" s="18">
        <f>ASSETs!X55</f>
        <v>0</v>
      </c>
      <c r="V58" t="str">
        <f>ASSETs!$AA$2</f>
        <v>Phuket</v>
      </c>
      <c r="W58" s="3">
        <f>ASSETs!$AB$2</f>
        <v>99</v>
      </c>
      <c r="X58" s="6" t="str">
        <f>ASSETs!AN55</f>
        <v>/0/543</v>
      </c>
      <c r="Y58" t="str">
        <f>ASSETs!$AF$2</f>
        <v>12.00</v>
      </c>
      <c r="Z58" s="18">
        <v>1</v>
      </c>
    </row>
    <row r="59" spans="1:27" ht="15">
      <c r="A59" s="16">
        <f>ROWS($A$5:B59:C59)</f>
        <v>55</v>
      </c>
      <c r="B59" s="16" t="str">
        <f>ASSETs!AU56</f>
        <v>/0/543</v>
      </c>
      <c r="C59" s="26" t="s">
        <v>309</v>
      </c>
      <c r="D59">
        <f>IF(TIM!Q56=TIM!Q56,TIM!Q56,"")</f>
        <v>0</v>
      </c>
      <c r="G59" s="18"/>
      <c r="I59" t="str">
        <f>IFERROR(VLOOKUP(TIM!E56,ASSETs!$AA$6:$AB$7,2,FALSE),"")</f>
        <v/>
      </c>
      <c r="J59" s="2">
        <f>(IF(TIM!B56=TIM!B56,TIM!B56,""))</f>
        <v>0</v>
      </c>
      <c r="K59" s="18"/>
      <c r="L59">
        <f>IF(TIM!C56=TIM!C56,TIM!C56,"")</f>
        <v>0</v>
      </c>
      <c r="M59" t="str">
        <f>ASSETs!W56</f>
        <v/>
      </c>
      <c r="N59" s="18"/>
      <c r="O59">
        <f>IF(TIM!G56=TIM!G56,TIM!G56,"")</f>
        <v>0</v>
      </c>
      <c r="P59" s="18"/>
      <c r="Q59" t="str">
        <f>ASSETs!$AD$2</f>
        <v>Phang-nga</v>
      </c>
      <c r="R59">
        <f>ASSETs!$AE$2</f>
        <v>99</v>
      </c>
      <c r="S59" s="11">
        <v>146</v>
      </c>
      <c r="T59" s="3">
        <f>IF(TIM!F56=TIM!F56,TIM!F56,"")</f>
        <v>0</v>
      </c>
      <c r="U59" s="18">
        <f>ASSETs!X56</f>
        <v>0</v>
      </c>
      <c r="V59" t="str">
        <f>ASSETs!$AA$2</f>
        <v>Phuket</v>
      </c>
      <c r="W59" s="3">
        <f>ASSETs!$AB$2</f>
        <v>99</v>
      </c>
      <c r="X59" s="6" t="str">
        <f>ASSETs!AN56</f>
        <v>/0/543</v>
      </c>
      <c r="Y59" t="str">
        <f>ASSETs!$AF$2</f>
        <v>12.00</v>
      </c>
      <c r="Z59" s="18">
        <v>1</v>
      </c>
      <c r="AA59" s="18"/>
    </row>
    <row r="60" spans="1:27" ht="15">
      <c r="A60" s="16">
        <f>ROWS($A$5:B60:C60)</f>
        <v>56</v>
      </c>
      <c r="B60" s="16" t="str">
        <f>ASSETs!AU57</f>
        <v>/0/543</v>
      </c>
      <c r="C60" s="26" t="s">
        <v>309</v>
      </c>
      <c r="D60">
        <f>IF(TIM!Q57=TIM!Q57,TIM!Q57,"")</f>
        <v>0</v>
      </c>
      <c r="I60" t="str">
        <f>IFERROR(VLOOKUP(TIM!E57,ASSETs!$AA$6:$AB$7,2,FALSE),"")</f>
        <v/>
      </c>
      <c r="J60" s="2">
        <f>(IF(TIM!B57=TIM!B57,TIM!B57,""))</f>
        <v>0</v>
      </c>
      <c r="L60">
        <f>IF(TIM!C57=TIM!C57,TIM!C57,"")</f>
        <v>0</v>
      </c>
      <c r="M60" t="str">
        <f>ASSETs!W57</f>
        <v/>
      </c>
      <c r="N60" s="18"/>
      <c r="O60">
        <f>IF(TIM!G57=TIM!G57,TIM!G57,"")</f>
        <v>0</v>
      </c>
      <c r="P60" s="18"/>
      <c r="Q60" t="str">
        <f>ASSETs!$AD$2</f>
        <v>Phang-nga</v>
      </c>
      <c r="R60">
        <f>ASSETs!$AE$2</f>
        <v>99</v>
      </c>
      <c r="S60" s="11">
        <v>146</v>
      </c>
      <c r="T60" s="3">
        <f>IF(TIM!F57=TIM!F57,TIM!F57,"")</f>
        <v>0</v>
      </c>
      <c r="U60" s="18">
        <f>ASSETs!X57</f>
        <v>0</v>
      </c>
      <c r="V60" t="str">
        <f>ASSETs!$AA$2</f>
        <v>Phuket</v>
      </c>
      <c r="W60" s="3">
        <f>ASSETs!$AB$2</f>
        <v>99</v>
      </c>
      <c r="X60" s="6" t="str">
        <f>ASSETs!AN57</f>
        <v>/0/543</v>
      </c>
      <c r="Y60" t="str">
        <f>ASSETs!$AF$2</f>
        <v>12.00</v>
      </c>
      <c r="Z60" s="18">
        <v>1</v>
      </c>
    </row>
    <row r="61" spans="1:27" ht="15">
      <c r="A61" s="16">
        <f>ROWS($A$5:B61:C61)</f>
        <v>57</v>
      </c>
      <c r="B61" s="16" t="str">
        <f>ASSETs!AU58</f>
        <v>/0/543</v>
      </c>
      <c r="C61" s="26" t="s">
        <v>309</v>
      </c>
      <c r="D61">
        <f>IF(TIM!Q58=TIM!Q58,TIM!Q58,"")</f>
        <v>0</v>
      </c>
      <c r="I61" t="str">
        <f>IFERROR(VLOOKUP(TIM!E58,ASSETs!$AA$6:$AB$7,2,FALSE),"")</f>
        <v/>
      </c>
      <c r="J61" s="2">
        <f>(IF(TIM!B58=TIM!B58,TIM!B58,""))</f>
        <v>0</v>
      </c>
      <c r="L61">
        <f>IF(TIM!C58=TIM!C58,TIM!C58,"")</f>
        <v>0</v>
      </c>
      <c r="M61" t="str">
        <f>ASSETs!W58</f>
        <v/>
      </c>
      <c r="N61" s="18"/>
      <c r="O61">
        <f>IF(TIM!G58=TIM!G58,TIM!G58,"")</f>
        <v>0</v>
      </c>
      <c r="P61" s="18"/>
      <c r="Q61" t="str">
        <f>ASSETs!$AD$2</f>
        <v>Phang-nga</v>
      </c>
      <c r="R61">
        <f>ASSETs!$AE$2</f>
        <v>99</v>
      </c>
      <c r="S61" s="11">
        <v>146</v>
      </c>
      <c r="T61" s="3">
        <f>IF(TIM!F58=TIM!F58,TIM!F58,"")</f>
        <v>0</v>
      </c>
      <c r="U61" s="18">
        <f>ASSETs!X58</f>
        <v>0</v>
      </c>
      <c r="V61" t="str">
        <f>ASSETs!$AA$2</f>
        <v>Phuket</v>
      </c>
      <c r="W61" s="3">
        <f>ASSETs!$AB$2</f>
        <v>99</v>
      </c>
      <c r="X61" s="6" t="str">
        <f>ASSETs!AN58</f>
        <v>/0/543</v>
      </c>
      <c r="Y61" t="str">
        <f>ASSETs!$AF$2</f>
        <v>12.00</v>
      </c>
      <c r="Z61" s="18">
        <v>1</v>
      </c>
    </row>
    <row r="62" spans="1:27" ht="15">
      <c r="A62" s="16">
        <f>ROWS($A$5:B62:C62)</f>
        <v>58</v>
      </c>
      <c r="B62" s="16" t="str">
        <f>ASSETs!AU59</f>
        <v>/0/543</v>
      </c>
      <c r="C62" s="26" t="s">
        <v>309</v>
      </c>
      <c r="D62">
        <f>IF(TIM!Q59=TIM!Q59,TIM!Q59,"")</f>
        <v>0</v>
      </c>
      <c r="I62" t="str">
        <f>IFERROR(VLOOKUP(TIM!E59,ASSETs!$AA$6:$AB$7,2,FALSE),"")</f>
        <v/>
      </c>
      <c r="J62" s="2">
        <f>(IF(TIM!B59=TIM!B59,TIM!B59,""))</f>
        <v>0</v>
      </c>
      <c r="L62">
        <f>IF(TIM!C59=TIM!C59,TIM!C59,"")</f>
        <v>0</v>
      </c>
      <c r="M62" t="str">
        <f>ASSETs!W59</f>
        <v/>
      </c>
      <c r="N62" s="18"/>
      <c r="O62">
        <f>IF(TIM!G59=TIM!G59,TIM!G59,"")</f>
        <v>0</v>
      </c>
      <c r="P62" s="18"/>
      <c r="Q62" t="str">
        <f>ASSETs!$AD$2</f>
        <v>Phang-nga</v>
      </c>
      <c r="R62">
        <f>ASSETs!$AE$2</f>
        <v>99</v>
      </c>
      <c r="S62" s="11">
        <v>146</v>
      </c>
      <c r="T62" s="3">
        <f>IF(TIM!F59=TIM!F59,TIM!F59,"")</f>
        <v>0</v>
      </c>
      <c r="U62" s="18">
        <f>ASSETs!X59</f>
        <v>0</v>
      </c>
      <c r="V62" t="str">
        <f>ASSETs!$AA$2</f>
        <v>Phuket</v>
      </c>
      <c r="W62" s="3">
        <f>ASSETs!$AB$2</f>
        <v>99</v>
      </c>
      <c r="X62" s="6" t="str">
        <f>ASSETs!AN59</f>
        <v>/0/543</v>
      </c>
      <c r="Y62" t="str">
        <f>ASSETs!$AF$2</f>
        <v>12.00</v>
      </c>
      <c r="Z62" s="18">
        <v>1</v>
      </c>
    </row>
    <row r="63" spans="1:27" ht="15">
      <c r="A63" s="16">
        <f>ROWS($A$5:B63:C63)</f>
        <v>59</v>
      </c>
      <c r="B63" s="16" t="str">
        <f>ASSETs!AU60</f>
        <v>/0/543</v>
      </c>
      <c r="C63" s="26" t="s">
        <v>309</v>
      </c>
      <c r="D63">
        <f>IF(TIM!Q60=TIM!Q60,TIM!Q60,"")</f>
        <v>0</v>
      </c>
      <c r="I63" t="str">
        <f>IFERROR(VLOOKUP(TIM!E60,ASSETs!$AA$6:$AB$7,2,FALSE),"")</f>
        <v/>
      </c>
      <c r="J63" s="2">
        <f>(IF(TIM!B60=TIM!B60,TIM!B60,""))</f>
        <v>0</v>
      </c>
      <c r="L63">
        <f>IF(TIM!C60=TIM!C60,TIM!C60,"")</f>
        <v>0</v>
      </c>
      <c r="M63" t="str">
        <f>ASSETs!W60</f>
        <v/>
      </c>
      <c r="N63" s="18"/>
      <c r="O63">
        <f>IF(TIM!G60=TIM!G60,TIM!G60,"")</f>
        <v>0</v>
      </c>
      <c r="P63" s="18"/>
      <c r="Q63" t="str">
        <f>ASSETs!$AD$2</f>
        <v>Phang-nga</v>
      </c>
      <c r="R63">
        <f>ASSETs!$AE$2</f>
        <v>99</v>
      </c>
      <c r="S63" s="11">
        <v>146</v>
      </c>
      <c r="T63" s="3">
        <f>IF(TIM!F60=TIM!F60,TIM!F60,"")</f>
        <v>0</v>
      </c>
      <c r="U63" s="18">
        <f>ASSETs!X60</f>
        <v>0</v>
      </c>
      <c r="V63" t="str">
        <f>ASSETs!$AA$2</f>
        <v>Phuket</v>
      </c>
      <c r="W63" s="3">
        <f>ASSETs!$AB$2</f>
        <v>99</v>
      </c>
      <c r="X63" s="6" t="str">
        <f>ASSETs!AN60</f>
        <v>/0/543</v>
      </c>
      <c r="Y63" t="str">
        <f>ASSETs!$AF$2</f>
        <v>12.00</v>
      </c>
      <c r="Z63" s="18">
        <v>1</v>
      </c>
    </row>
    <row r="64" spans="1:27" ht="15">
      <c r="A64" s="16">
        <f>ROWS($A$5:B64:C64)</f>
        <v>60</v>
      </c>
      <c r="B64" s="16" t="str">
        <f>ASSETs!AU61</f>
        <v>/0/543</v>
      </c>
      <c r="C64" s="26" t="s">
        <v>309</v>
      </c>
      <c r="D64">
        <f>IF(TIM!Q61=TIM!Q61,TIM!Q61,"")</f>
        <v>0</v>
      </c>
      <c r="I64" t="str">
        <f>IFERROR(VLOOKUP(TIM!E61,ASSETs!$AA$6:$AB$7,2,FALSE),"")</f>
        <v/>
      </c>
      <c r="J64" s="2">
        <f>(IF(TIM!B61=TIM!B61,TIM!B61,""))</f>
        <v>0</v>
      </c>
      <c r="L64">
        <f>IF(TIM!C61=TIM!C61,TIM!C61,"")</f>
        <v>0</v>
      </c>
      <c r="M64" t="str">
        <f>ASSETs!W61</f>
        <v/>
      </c>
      <c r="N64" s="18"/>
      <c r="O64">
        <f>IF(TIM!G61=TIM!G61,TIM!G61,"")</f>
        <v>0</v>
      </c>
      <c r="P64" s="18"/>
      <c r="Q64" t="str">
        <f>ASSETs!$AD$2</f>
        <v>Phang-nga</v>
      </c>
      <c r="R64">
        <f>ASSETs!$AE$2</f>
        <v>99</v>
      </c>
      <c r="S64" s="11">
        <v>146</v>
      </c>
      <c r="T64" s="3">
        <f>IF(TIM!F61=TIM!F61,TIM!F61,"")</f>
        <v>0</v>
      </c>
      <c r="U64" s="18">
        <f>ASSETs!X61</f>
        <v>0</v>
      </c>
      <c r="V64" t="str">
        <f>ASSETs!$AA$2</f>
        <v>Phuket</v>
      </c>
      <c r="W64" s="3">
        <f>ASSETs!$AB$2</f>
        <v>99</v>
      </c>
      <c r="X64" s="6" t="str">
        <f>ASSETs!AN61</f>
        <v>/0/543</v>
      </c>
      <c r="Y64" t="str">
        <f>ASSETs!$AF$2</f>
        <v>12.00</v>
      </c>
      <c r="Z64" s="18">
        <v>1</v>
      </c>
    </row>
    <row r="65" spans="1:27" ht="15">
      <c r="A65" s="16">
        <f>ROWS($A$5:B65:C65)</f>
        <v>61</v>
      </c>
      <c r="B65" s="16" t="str">
        <f>ASSETs!AU62</f>
        <v>/0/543</v>
      </c>
      <c r="C65" s="26" t="s">
        <v>309</v>
      </c>
      <c r="D65">
        <f>IF(TIM!Q62=TIM!Q62,TIM!Q62,"")</f>
        <v>0</v>
      </c>
      <c r="I65" t="str">
        <f>IFERROR(VLOOKUP(TIM!E62,ASSETs!$AA$6:$AB$7,2,FALSE),"")</f>
        <v/>
      </c>
      <c r="J65" s="2">
        <f>(IF(TIM!B62=TIM!B62,TIM!B62,""))</f>
        <v>0</v>
      </c>
      <c r="L65">
        <f>IF(TIM!C62=TIM!C62,TIM!C62,"")</f>
        <v>0</v>
      </c>
      <c r="M65" t="str">
        <f>ASSETs!W62</f>
        <v/>
      </c>
      <c r="N65" s="18"/>
      <c r="O65">
        <f>IF(TIM!G62=TIM!G62,TIM!G62,"")</f>
        <v>0</v>
      </c>
      <c r="P65" s="18"/>
      <c r="Q65" t="str">
        <f>ASSETs!$AD$2</f>
        <v>Phang-nga</v>
      </c>
      <c r="R65">
        <f>ASSETs!$AE$2</f>
        <v>99</v>
      </c>
      <c r="S65" s="11">
        <v>146</v>
      </c>
      <c r="T65" s="3">
        <f>IF(TIM!F62=TIM!F62,TIM!F62,"")</f>
        <v>0</v>
      </c>
      <c r="U65" s="18">
        <f>ASSETs!X62</f>
        <v>0</v>
      </c>
      <c r="V65" t="str">
        <f>ASSETs!$AA$2</f>
        <v>Phuket</v>
      </c>
      <c r="W65" s="3">
        <f>ASSETs!$AB$2</f>
        <v>99</v>
      </c>
      <c r="X65" s="6" t="str">
        <f>ASSETs!AN62</f>
        <v>/0/543</v>
      </c>
      <c r="Y65" t="str">
        <f>ASSETs!$AF$2</f>
        <v>12.00</v>
      </c>
      <c r="Z65" s="18">
        <v>1</v>
      </c>
    </row>
    <row r="66" spans="1:27" ht="15">
      <c r="A66" s="16">
        <f>ROWS($A$5:B66:C66)</f>
        <v>62</v>
      </c>
      <c r="B66" s="16" t="str">
        <f>ASSETs!AU63</f>
        <v>/0/543</v>
      </c>
      <c r="C66" s="26" t="s">
        <v>309</v>
      </c>
      <c r="D66">
        <f>IF(TIM!Q63=TIM!Q63,TIM!Q63,"")</f>
        <v>0</v>
      </c>
      <c r="I66" t="str">
        <f>IFERROR(VLOOKUP(TIM!E63,ASSETs!$AA$6:$AB$7,2,FALSE),"")</f>
        <v/>
      </c>
      <c r="J66" s="2">
        <f>(IF(TIM!B63=TIM!B63,TIM!B63,""))</f>
        <v>0</v>
      </c>
      <c r="L66">
        <f>IF(TIM!C63=TIM!C63,TIM!C63,"")</f>
        <v>0</v>
      </c>
      <c r="M66" t="str">
        <f>ASSETs!W63</f>
        <v/>
      </c>
      <c r="N66" s="18"/>
      <c r="O66">
        <f>IF(TIM!G63=TIM!G63,TIM!G63,"")</f>
        <v>0</v>
      </c>
      <c r="P66" s="18"/>
      <c r="Q66" t="str">
        <f>ASSETs!$AD$2</f>
        <v>Phang-nga</v>
      </c>
      <c r="R66">
        <f>ASSETs!$AE$2</f>
        <v>99</v>
      </c>
      <c r="S66" s="11">
        <v>146</v>
      </c>
      <c r="T66" s="3">
        <f>IF(TIM!F63=TIM!F63,TIM!F63,"")</f>
        <v>0</v>
      </c>
      <c r="U66" s="18">
        <f>ASSETs!X63</f>
        <v>0</v>
      </c>
      <c r="V66" t="str">
        <f>ASSETs!$AA$2</f>
        <v>Phuket</v>
      </c>
      <c r="W66" s="3">
        <f>ASSETs!$AB$2</f>
        <v>99</v>
      </c>
      <c r="X66" s="6" t="str">
        <f>ASSETs!AN63</f>
        <v>/0/543</v>
      </c>
      <c r="Y66" t="str">
        <f>ASSETs!$AF$2</f>
        <v>12.00</v>
      </c>
      <c r="Z66" s="18">
        <v>1</v>
      </c>
    </row>
    <row r="67" spans="1:27" ht="15">
      <c r="A67" s="16">
        <f>ROWS($A$5:B67:C67)</f>
        <v>63</v>
      </c>
      <c r="B67" s="16" t="str">
        <f>ASSETs!AU64</f>
        <v>/0/543</v>
      </c>
      <c r="C67" s="26" t="s">
        <v>309</v>
      </c>
      <c r="D67">
        <f>IF(TIM!Q64=TIM!Q64,TIM!Q64,"")</f>
        <v>0</v>
      </c>
      <c r="G67" s="18"/>
      <c r="I67" t="str">
        <f>IFERROR(VLOOKUP(TIM!E64,ASSETs!$AA$6:$AB$7,2,FALSE),"")</f>
        <v/>
      </c>
      <c r="J67" s="2">
        <f>(IF(TIM!B64=TIM!B64,TIM!B64,""))</f>
        <v>0</v>
      </c>
      <c r="K67" s="18"/>
      <c r="L67">
        <f>IF(TIM!C64=TIM!C64,TIM!C64,"")</f>
        <v>0</v>
      </c>
      <c r="M67" t="str">
        <f>ASSETs!W64</f>
        <v/>
      </c>
      <c r="N67" s="18"/>
      <c r="O67">
        <f>IF(TIM!G64=TIM!G64,TIM!G64,"")</f>
        <v>0</v>
      </c>
      <c r="P67" s="18"/>
      <c r="Q67" t="str">
        <f>ASSETs!$AD$2</f>
        <v>Phang-nga</v>
      </c>
      <c r="R67">
        <f>ASSETs!$AE$2</f>
        <v>99</v>
      </c>
      <c r="S67" s="11">
        <v>146</v>
      </c>
      <c r="T67" s="3">
        <f>IF(TIM!F64=TIM!F64,TIM!F64,"")</f>
        <v>0</v>
      </c>
      <c r="U67" s="18">
        <f>ASSETs!X64</f>
        <v>0</v>
      </c>
      <c r="V67" t="str">
        <f>ASSETs!$AA$2</f>
        <v>Phuket</v>
      </c>
      <c r="W67" s="3">
        <f>ASSETs!$AB$2</f>
        <v>99</v>
      </c>
      <c r="X67" s="6" t="str">
        <f>ASSETs!AN64</f>
        <v>/0/543</v>
      </c>
      <c r="Y67" t="str">
        <f>ASSETs!$AF$2</f>
        <v>12.00</v>
      </c>
      <c r="Z67" s="18">
        <v>1</v>
      </c>
      <c r="AA67" s="18"/>
    </row>
    <row r="68" spans="1:27" ht="15">
      <c r="A68" s="16">
        <f>ROWS($A$5:B68:C68)</f>
        <v>64</v>
      </c>
      <c r="B68" s="16" t="str">
        <f>ASSETs!AU65</f>
        <v>/0/543</v>
      </c>
      <c r="C68" s="26" t="s">
        <v>309</v>
      </c>
      <c r="D68">
        <f>IF(TIM!Q65=TIM!Q65,TIM!Q65,"")</f>
        <v>0</v>
      </c>
      <c r="I68" t="str">
        <f>IFERROR(VLOOKUP(TIM!E65,ASSETs!$AA$6:$AB$7,2,FALSE),"")</f>
        <v/>
      </c>
      <c r="J68" s="2">
        <f>(IF(TIM!B65=TIM!B65,TIM!B65,""))</f>
        <v>0</v>
      </c>
      <c r="L68">
        <f>IF(TIM!C65=TIM!C65,TIM!C65,"")</f>
        <v>0</v>
      </c>
      <c r="M68" t="str">
        <f>ASSETs!W65</f>
        <v/>
      </c>
      <c r="N68" s="18"/>
      <c r="O68">
        <f>IF(TIM!G65=TIM!G65,TIM!G65,"")</f>
        <v>0</v>
      </c>
      <c r="P68" s="18"/>
      <c r="Q68" t="str">
        <f>ASSETs!$AD$2</f>
        <v>Phang-nga</v>
      </c>
      <c r="R68">
        <f>ASSETs!$AE$2</f>
        <v>99</v>
      </c>
      <c r="S68" s="11">
        <v>146</v>
      </c>
      <c r="T68" s="3">
        <f>IF(TIM!F65=TIM!F65,TIM!F65,"")</f>
        <v>0</v>
      </c>
      <c r="U68" s="18">
        <f>ASSETs!X65</f>
        <v>0</v>
      </c>
      <c r="V68" t="str">
        <f>ASSETs!$AA$2</f>
        <v>Phuket</v>
      </c>
      <c r="W68" s="3">
        <f>ASSETs!$AB$2</f>
        <v>99</v>
      </c>
      <c r="X68" s="6" t="str">
        <f>ASSETs!AN65</f>
        <v>/0/543</v>
      </c>
      <c r="Y68" t="str">
        <f>ASSETs!$AF$2</f>
        <v>12.00</v>
      </c>
      <c r="Z68" s="18">
        <v>1</v>
      </c>
    </row>
    <row r="69" spans="1:27" ht="15">
      <c r="A69" s="16">
        <f>ROWS($A$5:B69:C69)</f>
        <v>65</v>
      </c>
      <c r="B69" s="16" t="str">
        <f>ASSETs!AU66</f>
        <v>/0/543</v>
      </c>
      <c r="C69" s="26" t="s">
        <v>309</v>
      </c>
      <c r="D69">
        <f>IF(TIM!Q66=TIM!Q66,TIM!Q66,"")</f>
        <v>0</v>
      </c>
      <c r="G69" s="18"/>
      <c r="I69" t="str">
        <f>IFERROR(VLOOKUP(TIM!E66,ASSETs!$AA$6:$AB$7,2,FALSE),"")</f>
        <v/>
      </c>
      <c r="J69" s="2">
        <f>(IF(TIM!B66=TIM!B66,TIM!B66,""))</f>
        <v>0</v>
      </c>
      <c r="K69" s="18"/>
      <c r="L69">
        <f>IF(TIM!C66=TIM!C66,TIM!C66,"")</f>
        <v>0</v>
      </c>
      <c r="M69" t="str">
        <f>ASSETs!W66</f>
        <v/>
      </c>
      <c r="N69" s="18"/>
      <c r="O69">
        <f>IF(TIM!G66=TIM!G66,TIM!G66,"")</f>
        <v>0</v>
      </c>
      <c r="P69" s="18"/>
      <c r="Q69" t="str">
        <f>ASSETs!$AD$2</f>
        <v>Phang-nga</v>
      </c>
      <c r="R69">
        <f>ASSETs!$AE$2</f>
        <v>99</v>
      </c>
      <c r="S69" s="11">
        <v>146</v>
      </c>
      <c r="T69" s="3">
        <f>IF(TIM!F66=TIM!F66,TIM!F66,"")</f>
        <v>0</v>
      </c>
      <c r="U69" s="18">
        <f>ASSETs!X66</f>
        <v>0</v>
      </c>
      <c r="V69" t="str">
        <f>ASSETs!$AA$2</f>
        <v>Phuket</v>
      </c>
      <c r="W69" s="3">
        <f>ASSETs!$AB$2</f>
        <v>99</v>
      </c>
      <c r="X69" s="6" t="str">
        <f>ASSETs!AN66</f>
        <v>/0/543</v>
      </c>
      <c r="Y69" t="str">
        <f>ASSETs!$AF$2</f>
        <v>12.00</v>
      </c>
      <c r="Z69" s="18">
        <v>1</v>
      </c>
      <c r="AA69" s="18"/>
    </row>
    <row r="70" spans="1:27" ht="15">
      <c r="A70" s="16">
        <f>ROWS($A$5:B70:C70)</f>
        <v>66</v>
      </c>
      <c r="B70" s="16" t="str">
        <f>ASSETs!AU67</f>
        <v>/0/543</v>
      </c>
      <c r="C70" s="26" t="s">
        <v>309</v>
      </c>
      <c r="D70">
        <f>IF(TIM!Q67=TIM!Q67,TIM!Q67,"")</f>
        <v>0</v>
      </c>
      <c r="G70" s="18"/>
      <c r="I70" t="str">
        <f>IFERROR(VLOOKUP(TIM!E67,ASSETs!$AA$6:$AB$7,2,FALSE),"")</f>
        <v/>
      </c>
      <c r="J70" s="2">
        <f>(IF(TIM!B67=TIM!B67,TIM!B67,""))</f>
        <v>0</v>
      </c>
      <c r="K70" s="18"/>
      <c r="L70">
        <f>IF(TIM!C67=TIM!C67,TIM!C67,"")</f>
        <v>0</v>
      </c>
      <c r="M70" t="str">
        <f>ASSETs!W67</f>
        <v/>
      </c>
      <c r="N70" s="18"/>
      <c r="O70">
        <f>IF(TIM!G67=TIM!G67,TIM!G67,"")</f>
        <v>0</v>
      </c>
      <c r="P70" s="18"/>
      <c r="Q70" t="str">
        <f>ASSETs!$AD$2</f>
        <v>Phang-nga</v>
      </c>
      <c r="R70">
        <f>ASSETs!$AE$2</f>
        <v>99</v>
      </c>
      <c r="S70" s="11">
        <v>146</v>
      </c>
      <c r="T70" s="3">
        <f>IF(TIM!F67=TIM!F67,TIM!F67,"")</f>
        <v>0</v>
      </c>
      <c r="U70" s="18">
        <f>ASSETs!X67</f>
        <v>0</v>
      </c>
      <c r="V70" t="str">
        <f>ASSETs!$AA$2</f>
        <v>Phuket</v>
      </c>
      <c r="W70" s="3">
        <f>ASSETs!$AB$2</f>
        <v>99</v>
      </c>
      <c r="X70" s="6" t="str">
        <f>ASSETs!AN67</f>
        <v>/0/543</v>
      </c>
      <c r="Y70" t="str">
        <f>ASSETs!$AF$2</f>
        <v>12.00</v>
      </c>
      <c r="Z70" s="18">
        <v>1</v>
      </c>
      <c r="AA70" s="18"/>
    </row>
    <row r="71" spans="1:27" ht="15">
      <c r="A71" s="16">
        <f>ROWS($A$5:B71:C71)</f>
        <v>67</v>
      </c>
      <c r="B71" s="16" t="str">
        <f>ASSETs!AU68</f>
        <v>/0/543</v>
      </c>
      <c r="C71" s="26" t="s">
        <v>309</v>
      </c>
      <c r="D71">
        <f>IF(TIM!Q68=TIM!Q68,TIM!Q68,"")</f>
        <v>0</v>
      </c>
      <c r="G71" s="18"/>
      <c r="I71" t="str">
        <f>IFERROR(VLOOKUP(TIM!E68,ASSETs!$AA$6:$AB$7,2,FALSE),"")</f>
        <v/>
      </c>
      <c r="J71" s="2">
        <f>(IF(TIM!B68=TIM!B68,TIM!B68,""))</f>
        <v>0</v>
      </c>
      <c r="K71" s="18"/>
      <c r="L71">
        <f>IF(TIM!C68=TIM!C68,TIM!C68,"")</f>
        <v>0</v>
      </c>
      <c r="M71" t="str">
        <f>ASSETs!W68</f>
        <v/>
      </c>
      <c r="N71" s="18"/>
      <c r="O71">
        <f>IF(TIM!G68=TIM!G68,TIM!G68,"")</f>
        <v>0</v>
      </c>
      <c r="P71" s="18"/>
      <c r="Q71" t="str">
        <f>ASSETs!$AD$2</f>
        <v>Phang-nga</v>
      </c>
      <c r="R71">
        <f>ASSETs!$AE$2</f>
        <v>99</v>
      </c>
      <c r="S71" s="11">
        <v>146</v>
      </c>
      <c r="T71" s="3">
        <f>IF(TIM!F68=TIM!F68,TIM!F68,"")</f>
        <v>0</v>
      </c>
      <c r="U71" s="18">
        <f>ASSETs!X68</f>
        <v>0</v>
      </c>
      <c r="V71" t="str">
        <f>ASSETs!$AA$2</f>
        <v>Phuket</v>
      </c>
      <c r="W71" s="3">
        <f>ASSETs!$AB$2</f>
        <v>99</v>
      </c>
      <c r="X71" s="6" t="str">
        <f>ASSETs!AN68</f>
        <v>/0/543</v>
      </c>
      <c r="Y71" t="str">
        <f>ASSETs!$AF$2</f>
        <v>12.00</v>
      </c>
      <c r="Z71" s="18">
        <v>1</v>
      </c>
      <c r="AA71" s="18"/>
    </row>
    <row r="72" spans="1:27" ht="15">
      <c r="A72" s="16">
        <f>ROWS($A$5:B72:C72)</f>
        <v>68</v>
      </c>
      <c r="B72" s="16" t="str">
        <f>ASSETs!AU69</f>
        <v>/0/543</v>
      </c>
      <c r="C72" s="26" t="s">
        <v>309</v>
      </c>
      <c r="D72">
        <f>IF(TIM!Q69=TIM!Q69,TIM!Q69,"")</f>
        <v>0</v>
      </c>
      <c r="I72" t="str">
        <f>IFERROR(VLOOKUP(TIM!E69,ASSETs!$AA$6:$AB$7,2,FALSE),"")</f>
        <v/>
      </c>
      <c r="J72" s="2">
        <f>(IF(TIM!B69=TIM!B69,TIM!B69,""))</f>
        <v>0</v>
      </c>
      <c r="L72">
        <f>IF(TIM!C69=TIM!C69,TIM!C69,"")</f>
        <v>0</v>
      </c>
      <c r="M72" t="str">
        <f>ASSETs!W69</f>
        <v/>
      </c>
      <c r="N72" s="18"/>
      <c r="O72">
        <f>IF(TIM!G69=TIM!G69,TIM!G69,"")</f>
        <v>0</v>
      </c>
      <c r="P72" s="18"/>
      <c r="Q72" t="str">
        <f>ASSETs!$AD$2</f>
        <v>Phang-nga</v>
      </c>
      <c r="R72">
        <f>ASSETs!$AE$2</f>
        <v>99</v>
      </c>
      <c r="S72" s="11">
        <v>146</v>
      </c>
      <c r="T72" s="3">
        <f>IF(TIM!F69=TIM!F69,TIM!F69,"")</f>
        <v>0</v>
      </c>
      <c r="U72" s="18">
        <f>ASSETs!X69</f>
        <v>0</v>
      </c>
      <c r="V72" t="str">
        <f>ASSETs!$AA$2</f>
        <v>Phuket</v>
      </c>
      <c r="W72" s="3">
        <f>ASSETs!$AB$2</f>
        <v>99</v>
      </c>
      <c r="X72" s="6" t="str">
        <f>ASSETs!AN69</f>
        <v>/0/543</v>
      </c>
      <c r="Y72" t="str">
        <f>ASSETs!$AF$2</f>
        <v>12.00</v>
      </c>
      <c r="Z72" s="18">
        <v>1</v>
      </c>
    </row>
    <row r="73" spans="1:27" ht="15">
      <c r="A73" s="16">
        <f>ROWS($A$5:B73:C73)</f>
        <v>69</v>
      </c>
      <c r="B73" s="16" t="str">
        <f>ASSETs!AU70</f>
        <v>/0/543</v>
      </c>
      <c r="C73" s="26" t="s">
        <v>309</v>
      </c>
      <c r="D73">
        <f>IF(TIM!Q70=TIM!Q70,TIM!Q70,"")</f>
        <v>0</v>
      </c>
      <c r="E73" s="18"/>
      <c r="F73" s="18"/>
      <c r="G73" s="18"/>
      <c r="H73" s="18"/>
      <c r="I73" t="str">
        <f>IFERROR(VLOOKUP(TIM!E70,ASSETs!$AA$6:$AB$7,2,FALSE),"")</f>
        <v/>
      </c>
      <c r="J73" s="2">
        <f>(IF(TIM!B70=TIM!B70,TIM!B70,""))</f>
        <v>0</v>
      </c>
      <c r="K73" s="18"/>
      <c r="L73">
        <f>IF(TIM!C70=TIM!C70,TIM!C70,"")</f>
        <v>0</v>
      </c>
      <c r="M73" t="str">
        <f>ASSETs!W70</f>
        <v/>
      </c>
      <c r="N73" s="27"/>
      <c r="O73">
        <f>IF(TIM!G70=TIM!G70,TIM!G70,"")</f>
        <v>0</v>
      </c>
      <c r="P73" s="18"/>
      <c r="Q73" t="str">
        <f>ASSETs!$AD$2</f>
        <v>Phang-nga</v>
      </c>
      <c r="R73">
        <f>ASSETs!$AE$2</f>
        <v>99</v>
      </c>
      <c r="S73" s="11">
        <v>146</v>
      </c>
      <c r="T73" s="3">
        <f>IF(TIM!F70=TIM!F70,TIM!F70,"")</f>
        <v>0</v>
      </c>
      <c r="U73" s="18">
        <f>ASSETs!X70</f>
        <v>0</v>
      </c>
      <c r="V73" t="str">
        <f>ASSETs!$AA$2</f>
        <v>Phuket</v>
      </c>
      <c r="W73" s="3">
        <f>ASSETs!$AB$2</f>
        <v>99</v>
      </c>
      <c r="X73" s="6" t="str">
        <f>ASSETs!AN70</f>
        <v>/0/543</v>
      </c>
      <c r="Y73" t="str">
        <f>ASSETs!$AF$2</f>
        <v>12.00</v>
      </c>
      <c r="Z73" s="18">
        <v>1</v>
      </c>
    </row>
    <row r="74" spans="1:27" ht="15">
      <c r="A74" s="16">
        <f>ROWS($A$5:B74:C74)</f>
        <v>70</v>
      </c>
      <c r="B74" s="16" t="str">
        <f>ASSETs!AU71</f>
        <v>/0/543</v>
      </c>
      <c r="C74" s="26" t="s">
        <v>309</v>
      </c>
      <c r="D74">
        <f>IF(TIM!Q71=TIM!Q71,TIM!Q71,"")</f>
        <v>0</v>
      </c>
      <c r="G74" s="18"/>
      <c r="I74" t="str">
        <f>IFERROR(VLOOKUP(TIM!E71,ASSETs!$AA$6:$AB$7,2,FALSE),"")</f>
        <v/>
      </c>
      <c r="J74" s="2">
        <f>(IF(TIM!B71=TIM!B71,TIM!B71,""))</f>
        <v>0</v>
      </c>
      <c r="K74" s="18"/>
      <c r="L74">
        <f>IF(TIM!C71=TIM!C71,TIM!C71,"")</f>
        <v>0</v>
      </c>
      <c r="M74" t="str">
        <f>ASSETs!W71</f>
        <v/>
      </c>
      <c r="N74" s="27"/>
      <c r="O74">
        <f>IF(TIM!G71=TIM!G71,TIM!G71,"")</f>
        <v>0</v>
      </c>
      <c r="P74" s="18"/>
      <c r="Q74" t="str">
        <f>ASSETs!$AD$2</f>
        <v>Phang-nga</v>
      </c>
      <c r="R74">
        <f>ASSETs!$AE$2</f>
        <v>99</v>
      </c>
      <c r="S74" s="11">
        <v>146</v>
      </c>
      <c r="T74" s="3">
        <f>IF(TIM!F71=TIM!F71,TIM!F71,"")</f>
        <v>0</v>
      </c>
      <c r="U74" s="18">
        <f>ASSETs!X71</f>
        <v>0</v>
      </c>
      <c r="V74" t="str">
        <f>ASSETs!$AA$2</f>
        <v>Phuket</v>
      </c>
      <c r="W74" s="3">
        <f>ASSETs!$AB$2</f>
        <v>99</v>
      </c>
      <c r="X74" s="6" t="str">
        <f>ASSETs!AN71</f>
        <v>/0/543</v>
      </c>
      <c r="Y74" t="str">
        <f>ASSETs!$AF$2</f>
        <v>12.00</v>
      </c>
      <c r="Z74" s="18">
        <v>1</v>
      </c>
    </row>
    <row r="75" spans="1:27" ht="15">
      <c r="A75" s="16">
        <f>ROWS($A$5:B75:C75)</f>
        <v>71</v>
      </c>
      <c r="B75" s="16" t="str">
        <f>ASSETs!AU72</f>
        <v>/0/543</v>
      </c>
      <c r="C75" s="26" t="s">
        <v>309</v>
      </c>
      <c r="D75">
        <f>IF(TIM!Q72=TIM!Q72,TIM!Q72,"")</f>
        <v>0</v>
      </c>
      <c r="G75" s="18"/>
      <c r="I75" t="str">
        <f>IFERROR(VLOOKUP(TIM!E72,ASSETs!$AA$6:$AB$7,2,FALSE),"")</f>
        <v/>
      </c>
      <c r="J75" s="2">
        <f>(IF(TIM!B72=TIM!B72,TIM!B72,""))</f>
        <v>0</v>
      </c>
      <c r="K75" s="18"/>
      <c r="L75">
        <f>IF(TIM!C72=TIM!C72,TIM!C72,"")</f>
        <v>0</v>
      </c>
      <c r="M75" t="str">
        <f>ASSETs!W72</f>
        <v/>
      </c>
      <c r="N75" s="18"/>
      <c r="O75">
        <f>IF(TIM!G72=TIM!G72,TIM!G72,"")</f>
        <v>0</v>
      </c>
      <c r="P75" s="18"/>
      <c r="Q75" t="str">
        <f>ASSETs!$AD$2</f>
        <v>Phang-nga</v>
      </c>
      <c r="R75">
        <f>ASSETs!$AE$2</f>
        <v>99</v>
      </c>
      <c r="S75" s="11">
        <v>146</v>
      </c>
      <c r="T75" s="3">
        <f>IF(TIM!F72=TIM!F72,TIM!F72,"")</f>
        <v>0</v>
      </c>
      <c r="U75" s="18">
        <f>ASSETs!X72</f>
        <v>0</v>
      </c>
      <c r="V75" t="str">
        <f>ASSETs!$AA$2</f>
        <v>Phuket</v>
      </c>
      <c r="W75" s="3">
        <f>ASSETs!$AB$2</f>
        <v>99</v>
      </c>
      <c r="X75" s="6" t="str">
        <f>ASSETs!AN72</f>
        <v>/0/543</v>
      </c>
      <c r="Y75" t="str">
        <f>ASSETs!$AF$2</f>
        <v>12.00</v>
      </c>
      <c r="Z75" s="18">
        <v>1</v>
      </c>
      <c r="AA75" s="18"/>
    </row>
    <row r="76" spans="1:27" ht="15">
      <c r="A76" s="16">
        <f>ROWS($A$5:B76:C76)</f>
        <v>72</v>
      </c>
      <c r="B76" s="16" t="str">
        <f>ASSETs!AU73</f>
        <v>/0/543</v>
      </c>
      <c r="C76" s="26" t="s">
        <v>309</v>
      </c>
      <c r="D76">
        <f>IF(TIM!Q73=TIM!Q73,TIM!Q73,"")</f>
        <v>0</v>
      </c>
      <c r="G76" s="18"/>
      <c r="I76" t="str">
        <f>IFERROR(VLOOKUP(TIM!E73,ASSETs!$AA$6:$AB$7,2,FALSE),"")</f>
        <v/>
      </c>
      <c r="J76" s="2">
        <f>(IF(TIM!B73=TIM!B73,TIM!B73,""))</f>
        <v>0</v>
      </c>
      <c r="K76" s="18"/>
      <c r="L76">
        <f>IF(TIM!C73=TIM!C73,TIM!C73,"")</f>
        <v>0</v>
      </c>
      <c r="M76" t="str">
        <f>ASSETs!W73</f>
        <v/>
      </c>
      <c r="N76" s="18"/>
      <c r="O76">
        <f>IF(TIM!G73=TIM!G73,TIM!G73,"")</f>
        <v>0</v>
      </c>
      <c r="P76" s="18"/>
      <c r="Q76" t="str">
        <f>ASSETs!$AD$2</f>
        <v>Phang-nga</v>
      </c>
      <c r="R76">
        <f>ASSETs!$AE$2</f>
        <v>99</v>
      </c>
      <c r="S76" s="11">
        <v>146</v>
      </c>
      <c r="T76" s="3">
        <f>IF(TIM!F73=TIM!F73,TIM!F73,"")</f>
        <v>0</v>
      </c>
      <c r="U76" s="18">
        <f>ASSETs!X73</f>
        <v>0</v>
      </c>
      <c r="V76" t="str">
        <f>ASSETs!$AA$2</f>
        <v>Phuket</v>
      </c>
      <c r="W76" s="3">
        <f>ASSETs!$AB$2</f>
        <v>99</v>
      </c>
      <c r="X76" s="6" t="str">
        <f>ASSETs!AN73</f>
        <v>/0/543</v>
      </c>
      <c r="Y76" t="str">
        <f>ASSETs!$AF$2</f>
        <v>12.00</v>
      </c>
      <c r="Z76" s="18">
        <v>1</v>
      </c>
      <c r="AA76" s="18"/>
    </row>
    <row r="77" spans="1:27" ht="15">
      <c r="A77" s="16">
        <f>ROWS($A$5:B77:C77)</f>
        <v>73</v>
      </c>
      <c r="B77" s="16" t="str">
        <f>ASSETs!AU74</f>
        <v>/0/543</v>
      </c>
      <c r="C77" s="26" t="s">
        <v>309</v>
      </c>
      <c r="D77">
        <f>IF(TIM!Q74=TIM!Q74,TIM!Q74,"")</f>
        <v>0</v>
      </c>
      <c r="E77" s="18"/>
      <c r="F77" s="18"/>
      <c r="G77" s="18"/>
      <c r="H77" s="18"/>
      <c r="I77" t="str">
        <f>IFERROR(VLOOKUP(TIM!E74,ASSETs!$AA$6:$AB$7,2,FALSE),"")</f>
        <v/>
      </c>
      <c r="J77" s="2">
        <f>(IF(TIM!B74=TIM!B74,TIM!B74,""))</f>
        <v>0</v>
      </c>
      <c r="K77" s="18"/>
      <c r="L77">
        <f>IF(TIM!C74=TIM!C74,TIM!C74,"")</f>
        <v>0</v>
      </c>
      <c r="M77" t="str">
        <f>ASSETs!W74</f>
        <v/>
      </c>
      <c r="N77" s="27"/>
      <c r="O77">
        <f>IF(TIM!G74=TIM!G74,TIM!G74,"")</f>
        <v>0</v>
      </c>
      <c r="P77" s="18"/>
      <c r="Q77" t="str">
        <f>ASSETs!$AD$2</f>
        <v>Phang-nga</v>
      </c>
      <c r="R77">
        <f>ASSETs!$AE$2</f>
        <v>99</v>
      </c>
      <c r="S77" s="11">
        <v>146</v>
      </c>
      <c r="T77" s="3">
        <f>IF(TIM!F74=TIM!F74,TIM!F74,"")</f>
        <v>0</v>
      </c>
      <c r="U77" s="18">
        <f>ASSETs!X74</f>
        <v>0</v>
      </c>
      <c r="V77" t="str">
        <f>ASSETs!$AA$2</f>
        <v>Phuket</v>
      </c>
      <c r="W77" s="3">
        <f>ASSETs!$AB$2</f>
        <v>99</v>
      </c>
      <c r="X77" s="6" t="str">
        <f>ASSETs!AN74</f>
        <v>/0/543</v>
      </c>
      <c r="Y77" t="str">
        <f>ASSETs!$AF$2</f>
        <v>12.00</v>
      </c>
      <c r="Z77" s="18">
        <v>1</v>
      </c>
    </row>
    <row r="78" spans="1:27" ht="15">
      <c r="A78" s="16">
        <f>ROWS($A$5:B78:C78)</f>
        <v>74</v>
      </c>
      <c r="B78" s="16" t="str">
        <f>ASSETs!AU75</f>
        <v>/0/543</v>
      </c>
      <c r="C78" s="26" t="s">
        <v>309</v>
      </c>
      <c r="D78">
        <f>IF(TIM!Q75=TIM!Q75,TIM!Q75,"")</f>
        <v>0</v>
      </c>
      <c r="E78" s="18"/>
      <c r="F78" s="18"/>
      <c r="G78" s="18"/>
      <c r="H78" s="18"/>
      <c r="I78" t="str">
        <f>IFERROR(VLOOKUP(TIM!E75,ASSETs!$AA$6:$AB$7,2,FALSE),"")</f>
        <v/>
      </c>
      <c r="J78" s="2">
        <f>(IF(TIM!B75=TIM!B75,TIM!B75,""))</f>
        <v>0</v>
      </c>
      <c r="K78" s="18"/>
      <c r="L78">
        <f>IF(TIM!C75=TIM!C75,TIM!C75,"")</f>
        <v>0</v>
      </c>
      <c r="M78" t="str">
        <f>ASSETs!W75</f>
        <v/>
      </c>
      <c r="N78" s="27"/>
      <c r="O78">
        <f>IF(TIM!G75=TIM!G75,TIM!G75,"")</f>
        <v>0</v>
      </c>
      <c r="P78" s="18"/>
      <c r="Q78" t="str">
        <f>ASSETs!$AD$2</f>
        <v>Phang-nga</v>
      </c>
      <c r="R78">
        <f>ASSETs!$AE$2</f>
        <v>99</v>
      </c>
      <c r="S78" s="11">
        <v>146</v>
      </c>
      <c r="T78" s="3">
        <f>IF(TIM!F75=TIM!F75,TIM!F75,"")</f>
        <v>0</v>
      </c>
      <c r="U78" s="18">
        <f>ASSETs!X75</f>
        <v>0</v>
      </c>
      <c r="V78" t="str">
        <f>ASSETs!$AA$2</f>
        <v>Phuket</v>
      </c>
      <c r="W78" s="3">
        <f>ASSETs!$AB$2</f>
        <v>99</v>
      </c>
      <c r="X78" s="6" t="str">
        <f>ASSETs!AN75</f>
        <v>/0/543</v>
      </c>
      <c r="Y78" t="str">
        <f>ASSETs!$AF$2</f>
        <v>12.00</v>
      </c>
      <c r="Z78" s="18">
        <v>1</v>
      </c>
    </row>
    <row r="79" spans="1:27" ht="15">
      <c r="A79" s="16">
        <f>ROWS($A$5:B79:C79)</f>
        <v>75</v>
      </c>
      <c r="B79" s="16" t="str">
        <f>ASSETs!AU76</f>
        <v>/0/543</v>
      </c>
      <c r="C79" s="26" t="s">
        <v>309</v>
      </c>
      <c r="D79">
        <f>IF(TIM!Q76=TIM!Q76,TIM!Q76,"")</f>
        <v>0</v>
      </c>
      <c r="I79" t="str">
        <f>IFERROR(VLOOKUP(TIM!E76,ASSETs!$AA$6:$AB$7,2,FALSE),"")</f>
        <v/>
      </c>
      <c r="J79" s="2">
        <f>(IF(TIM!B76=TIM!B76,TIM!B76,""))</f>
        <v>0</v>
      </c>
      <c r="L79">
        <f>IF(TIM!C76=TIM!C76,TIM!C76,"")</f>
        <v>0</v>
      </c>
      <c r="M79" t="str">
        <f>ASSETs!W76</f>
        <v/>
      </c>
      <c r="N79" s="18"/>
      <c r="O79">
        <f>IF(TIM!G76=TIM!G76,TIM!G76,"")</f>
        <v>0</v>
      </c>
      <c r="P79" s="18"/>
      <c r="Q79" t="str">
        <f>ASSETs!$AD$2</f>
        <v>Phang-nga</v>
      </c>
      <c r="R79">
        <f>ASSETs!$AE$2</f>
        <v>99</v>
      </c>
      <c r="S79" s="11">
        <v>146</v>
      </c>
      <c r="T79" s="3">
        <f>IF(TIM!F76=TIM!F76,TIM!F76,"")</f>
        <v>0</v>
      </c>
      <c r="U79" s="18">
        <f>ASSETs!X76</f>
        <v>0</v>
      </c>
      <c r="V79" t="str">
        <f>ASSETs!$AA$2</f>
        <v>Phuket</v>
      </c>
      <c r="W79" s="3">
        <f>ASSETs!$AB$2</f>
        <v>99</v>
      </c>
      <c r="X79" s="6" t="str">
        <f>ASSETs!AN76</f>
        <v>/0/543</v>
      </c>
      <c r="Y79" t="str">
        <f>ASSETs!$AF$2</f>
        <v>12.00</v>
      </c>
      <c r="Z79" s="18">
        <v>1</v>
      </c>
    </row>
    <row r="80" spans="1:27" ht="15">
      <c r="A80" s="16">
        <f>ROWS($A$5:B80:C80)</f>
        <v>76</v>
      </c>
      <c r="B80" s="16" t="str">
        <f>ASSETs!AU77</f>
        <v>/0/543</v>
      </c>
      <c r="C80" s="26" t="s">
        <v>309</v>
      </c>
      <c r="D80">
        <f>IF(TIM!Q77=TIM!Q77,TIM!Q77,"")</f>
        <v>0</v>
      </c>
      <c r="I80" t="str">
        <f>IFERROR(VLOOKUP(TIM!E77,ASSETs!$AA$6:$AB$7,2,FALSE),"")</f>
        <v/>
      </c>
      <c r="J80" s="2">
        <f>(IF(TIM!B77=TIM!B77,TIM!B77,""))</f>
        <v>0</v>
      </c>
      <c r="L80">
        <f>IF(TIM!C77=TIM!C77,TIM!C77,"")</f>
        <v>0</v>
      </c>
      <c r="M80" t="str">
        <f>ASSETs!W77</f>
        <v/>
      </c>
      <c r="N80" s="18"/>
      <c r="O80">
        <f>IF(TIM!G77=TIM!G77,TIM!G77,"")</f>
        <v>0</v>
      </c>
      <c r="P80" s="18"/>
      <c r="Q80" t="str">
        <f>ASSETs!$AD$2</f>
        <v>Phang-nga</v>
      </c>
      <c r="R80">
        <f>ASSETs!$AE$2</f>
        <v>99</v>
      </c>
      <c r="S80" s="11">
        <v>146</v>
      </c>
      <c r="T80" s="3">
        <f>IF(TIM!F77=TIM!F77,TIM!F77,"")</f>
        <v>0</v>
      </c>
      <c r="U80" s="18">
        <f>ASSETs!X77</f>
        <v>0</v>
      </c>
      <c r="V80" t="str">
        <f>ASSETs!$AA$2</f>
        <v>Phuket</v>
      </c>
      <c r="W80" s="3">
        <f>ASSETs!$AB$2</f>
        <v>99</v>
      </c>
      <c r="X80" s="6" t="str">
        <f>ASSETs!AN77</f>
        <v>/0/543</v>
      </c>
      <c r="Y80" t="str">
        <f>ASSETs!$AF$2</f>
        <v>12.00</v>
      </c>
      <c r="Z80" s="18">
        <v>1</v>
      </c>
    </row>
    <row r="81" spans="1:27" ht="15">
      <c r="A81" s="16">
        <f>ROWS($A$5:B81:C81)</f>
        <v>77</v>
      </c>
      <c r="B81" s="16" t="str">
        <f>ASSETs!AU78</f>
        <v>/0/543</v>
      </c>
      <c r="C81" s="26" t="s">
        <v>309</v>
      </c>
      <c r="D81">
        <f>IF(TIM!Q78=TIM!Q78,TIM!Q78,"")</f>
        <v>0</v>
      </c>
      <c r="I81" t="str">
        <f>IFERROR(VLOOKUP(TIM!E78,ASSETs!$AA$6:$AB$7,2,FALSE),"")</f>
        <v/>
      </c>
      <c r="J81" s="2">
        <f>(IF(TIM!B78=TIM!B78,TIM!B78,""))</f>
        <v>0</v>
      </c>
      <c r="L81">
        <f>IF(TIM!C78=TIM!C78,TIM!C78,"")</f>
        <v>0</v>
      </c>
      <c r="M81" t="str">
        <f>ASSETs!W78</f>
        <v/>
      </c>
      <c r="N81" s="18"/>
      <c r="O81">
        <f>IF(TIM!G78=TIM!G78,TIM!G78,"")</f>
        <v>0</v>
      </c>
      <c r="P81" s="18"/>
      <c r="Q81" t="str">
        <f>ASSETs!$AD$2</f>
        <v>Phang-nga</v>
      </c>
      <c r="R81">
        <f>ASSETs!$AE$2</f>
        <v>99</v>
      </c>
      <c r="S81" s="11">
        <v>146</v>
      </c>
      <c r="T81" s="3">
        <f>IF(TIM!F78=TIM!F78,TIM!F78,"")</f>
        <v>0</v>
      </c>
      <c r="U81" s="18">
        <f>ASSETs!X78</f>
        <v>0</v>
      </c>
      <c r="V81" t="str">
        <f>ASSETs!$AA$2</f>
        <v>Phuket</v>
      </c>
      <c r="W81" s="3">
        <f>ASSETs!$AB$2</f>
        <v>99</v>
      </c>
      <c r="X81" s="6" t="str">
        <f>ASSETs!AN78</f>
        <v>/0/543</v>
      </c>
      <c r="Y81" t="str">
        <f>ASSETs!$AF$2</f>
        <v>12.00</v>
      </c>
      <c r="Z81" s="18">
        <v>1</v>
      </c>
    </row>
    <row r="82" spans="1:27" ht="15">
      <c r="A82" s="16">
        <f>ROWS($A$5:B82:C82)</f>
        <v>78</v>
      </c>
      <c r="B82" s="16" t="str">
        <f>ASSETs!AU79</f>
        <v>/0/543</v>
      </c>
      <c r="C82" s="26" t="s">
        <v>309</v>
      </c>
      <c r="D82">
        <f>IF(TIM!Q79=TIM!Q79,TIM!Q79,"")</f>
        <v>0</v>
      </c>
      <c r="I82" t="str">
        <f>IFERROR(VLOOKUP(TIM!E79,ASSETs!$AA$6:$AB$7,2,FALSE),"")</f>
        <v/>
      </c>
      <c r="J82" s="2">
        <f>(IF(TIM!B79=TIM!B79,TIM!B79,""))</f>
        <v>0</v>
      </c>
      <c r="L82">
        <f>IF(TIM!C79=TIM!C79,TIM!C79,"")</f>
        <v>0</v>
      </c>
      <c r="M82" t="str">
        <f>ASSETs!W79</f>
        <v/>
      </c>
      <c r="N82" s="18"/>
      <c r="O82">
        <f>IF(TIM!G79=TIM!G79,TIM!G79,"")</f>
        <v>0</v>
      </c>
      <c r="P82" s="18"/>
      <c r="Q82" t="str">
        <f>ASSETs!$AD$2</f>
        <v>Phang-nga</v>
      </c>
      <c r="R82">
        <f>ASSETs!$AE$2</f>
        <v>99</v>
      </c>
      <c r="S82" s="11">
        <v>146</v>
      </c>
      <c r="T82" s="3">
        <f>IF(TIM!F79=TIM!F79,TIM!F79,"")</f>
        <v>0</v>
      </c>
      <c r="U82" s="18">
        <f>ASSETs!X79</f>
        <v>0</v>
      </c>
      <c r="V82" t="str">
        <f>ASSETs!$AA$2</f>
        <v>Phuket</v>
      </c>
      <c r="W82" s="3">
        <f>ASSETs!$AB$2</f>
        <v>99</v>
      </c>
      <c r="X82" s="6" t="str">
        <f>ASSETs!AN79</f>
        <v>/0/543</v>
      </c>
      <c r="Y82" t="str">
        <f>ASSETs!$AF$2</f>
        <v>12.00</v>
      </c>
      <c r="Z82" s="18">
        <v>1</v>
      </c>
    </row>
    <row r="83" spans="1:27" ht="15">
      <c r="A83" s="16">
        <f>ROWS($A$5:B83:C83)</f>
        <v>79</v>
      </c>
      <c r="B83" s="16" t="str">
        <f>ASSETs!AU80</f>
        <v>/0/543</v>
      </c>
      <c r="C83" s="26" t="s">
        <v>309</v>
      </c>
      <c r="D83">
        <f>IF(TIM!Q80=TIM!Q80,TIM!Q80,"")</f>
        <v>0</v>
      </c>
      <c r="I83" t="str">
        <f>IFERROR(VLOOKUP(TIM!E80,ASSETs!$AA$6:$AB$7,2,FALSE),"")</f>
        <v/>
      </c>
      <c r="J83" s="2">
        <f>(IF(TIM!B80=TIM!B80,TIM!B80,""))</f>
        <v>0</v>
      </c>
      <c r="L83">
        <f>IF(TIM!C80=TIM!C80,TIM!C80,"")</f>
        <v>0</v>
      </c>
      <c r="M83" t="str">
        <f>ASSETs!W80</f>
        <v/>
      </c>
      <c r="N83" s="18"/>
      <c r="O83">
        <f>IF(TIM!G80=TIM!G80,TIM!G80,"")</f>
        <v>0</v>
      </c>
      <c r="P83" s="18"/>
      <c r="Q83" t="str">
        <f>ASSETs!$AD$2</f>
        <v>Phang-nga</v>
      </c>
      <c r="R83">
        <f>ASSETs!$AE$2</f>
        <v>99</v>
      </c>
      <c r="S83" s="11">
        <v>146</v>
      </c>
      <c r="T83" s="3">
        <f>IF(TIM!F80=TIM!F80,TIM!F80,"")</f>
        <v>0</v>
      </c>
      <c r="U83" s="18">
        <f>ASSETs!X80</f>
        <v>0</v>
      </c>
      <c r="V83" t="str">
        <f>ASSETs!$AA$2</f>
        <v>Phuket</v>
      </c>
      <c r="W83" s="3">
        <f>ASSETs!$AB$2</f>
        <v>99</v>
      </c>
      <c r="X83" s="6" t="str">
        <f>ASSETs!AN80</f>
        <v>/0/543</v>
      </c>
      <c r="Y83" t="str">
        <f>ASSETs!$AF$2</f>
        <v>12.00</v>
      </c>
      <c r="Z83" s="18">
        <v>1</v>
      </c>
    </row>
    <row r="84" spans="1:27" ht="15">
      <c r="A84" s="16">
        <f>ROWS($A$5:B84:C84)</f>
        <v>80</v>
      </c>
      <c r="B84" s="16" t="str">
        <f>ASSETs!AU81</f>
        <v>/0/543</v>
      </c>
      <c r="C84" s="26" t="s">
        <v>309</v>
      </c>
      <c r="D84">
        <f>IF(TIM!Q81=TIM!Q81,TIM!Q81,"")</f>
        <v>0</v>
      </c>
      <c r="I84" t="str">
        <f>IFERROR(VLOOKUP(TIM!E81,ASSETs!$AA$6:$AB$7,2,FALSE),"")</f>
        <v/>
      </c>
      <c r="J84" s="2">
        <f>(IF(TIM!B81=TIM!B81,TIM!B81,""))</f>
        <v>0</v>
      </c>
      <c r="L84">
        <f>IF(TIM!C81=TIM!C81,TIM!C81,"")</f>
        <v>0</v>
      </c>
      <c r="M84" t="str">
        <f>ASSETs!W81</f>
        <v/>
      </c>
      <c r="N84" s="18"/>
      <c r="O84">
        <f>IF(TIM!G81=TIM!G81,TIM!G81,"")</f>
        <v>0</v>
      </c>
      <c r="P84" s="18"/>
      <c r="Q84" t="str">
        <f>ASSETs!$AD$2</f>
        <v>Phang-nga</v>
      </c>
      <c r="R84">
        <f>ASSETs!$AE$2</f>
        <v>99</v>
      </c>
      <c r="S84" s="11">
        <v>146</v>
      </c>
      <c r="T84" s="3">
        <f>IF(TIM!F81=TIM!F81,TIM!F81,"")</f>
        <v>0</v>
      </c>
      <c r="U84" s="18">
        <f>ASSETs!X81</f>
        <v>0</v>
      </c>
      <c r="V84" t="str">
        <f>ASSETs!$AA$2</f>
        <v>Phuket</v>
      </c>
      <c r="W84" s="3">
        <f>ASSETs!$AB$2</f>
        <v>99</v>
      </c>
      <c r="X84" s="6" t="str">
        <f>ASSETs!AN81</f>
        <v>/0/543</v>
      </c>
      <c r="Y84" t="str">
        <f>ASSETs!$AF$2</f>
        <v>12.00</v>
      </c>
      <c r="Z84" s="18">
        <v>1</v>
      </c>
    </row>
    <row r="85" spans="1:27" ht="15">
      <c r="A85" s="16">
        <f>ROWS($A$5:B85:C85)</f>
        <v>81</v>
      </c>
      <c r="B85" s="16" t="str">
        <f>ASSETs!AU82</f>
        <v>/0/543</v>
      </c>
      <c r="C85" s="26" t="s">
        <v>309</v>
      </c>
      <c r="D85">
        <f>IF(TIM!Q82=TIM!Q82,TIM!Q82,"")</f>
        <v>0</v>
      </c>
      <c r="G85" s="18"/>
      <c r="I85" t="str">
        <f>IFERROR(VLOOKUP(TIM!E82,ASSETs!$AA$6:$AB$7,2,FALSE),"")</f>
        <v/>
      </c>
      <c r="J85" s="2">
        <f>(IF(TIM!B82=TIM!B82,TIM!B82,""))</f>
        <v>0</v>
      </c>
      <c r="K85" s="18"/>
      <c r="L85">
        <f>IF(TIM!C82=TIM!C82,TIM!C82,"")</f>
        <v>0</v>
      </c>
      <c r="M85" t="str">
        <f>ASSETs!W82</f>
        <v/>
      </c>
      <c r="N85" s="18"/>
      <c r="O85">
        <f>IF(TIM!G82=TIM!G82,TIM!G82,"")</f>
        <v>0</v>
      </c>
      <c r="P85" s="18"/>
      <c r="Q85" t="str">
        <f>ASSETs!$AD$2</f>
        <v>Phang-nga</v>
      </c>
      <c r="R85">
        <f>ASSETs!$AE$2</f>
        <v>99</v>
      </c>
      <c r="S85" s="11">
        <v>146</v>
      </c>
      <c r="T85" s="3">
        <f>IF(TIM!F82=TIM!F82,TIM!F82,"")</f>
        <v>0</v>
      </c>
      <c r="U85" s="18">
        <f>ASSETs!X82</f>
        <v>0</v>
      </c>
      <c r="V85" t="str">
        <f>ASSETs!$AA$2</f>
        <v>Phuket</v>
      </c>
      <c r="W85" s="3">
        <f>ASSETs!$AB$2</f>
        <v>99</v>
      </c>
      <c r="X85" s="6" t="str">
        <f>ASSETs!AN82</f>
        <v>/0/543</v>
      </c>
      <c r="Y85" t="str">
        <f>ASSETs!$AF$2</f>
        <v>12.00</v>
      </c>
      <c r="Z85" s="18">
        <v>1</v>
      </c>
      <c r="AA85" s="18"/>
    </row>
    <row r="86" spans="1:27" ht="15">
      <c r="A86" s="16">
        <f>ROWS($A$5:B86:C86)</f>
        <v>82</v>
      </c>
      <c r="B86" s="16" t="str">
        <f>ASSETs!AU83</f>
        <v>/0/543</v>
      </c>
      <c r="C86" s="26" t="s">
        <v>309</v>
      </c>
      <c r="D86">
        <f>IF(TIM!Q83=TIM!Q83,TIM!Q83,"")</f>
        <v>0</v>
      </c>
      <c r="I86" t="str">
        <f>IFERROR(VLOOKUP(TIM!E83,ASSETs!$AA$6:$AB$7,2,FALSE),"")</f>
        <v/>
      </c>
      <c r="J86" s="2">
        <f>(IF(TIM!B83=TIM!B83,TIM!B83,""))</f>
        <v>0</v>
      </c>
      <c r="L86">
        <f>IF(TIM!C83=TIM!C83,TIM!C83,"")</f>
        <v>0</v>
      </c>
      <c r="M86" t="str">
        <f>ASSETs!W83</f>
        <v/>
      </c>
      <c r="N86" s="18"/>
      <c r="O86">
        <f>IF(TIM!G83=TIM!G83,TIM!G83,"")</f>
        <v>0</v>
      </c>
      <c r="P86" s="18"/>
      <c r="Q86" t="str">
        <f>ASSETs!$AD$2</f>
        <v>Phang-nga</v>
      </c>
      <c r="R86">
        <f>ASSETs!$AE$2</f>
        <v>99</v>
      </c>
      <c r="S86" s="11">
        <v>146</v>
      </c>
      <c r="T86" s="3">
        <f>IF(TIM!F83=TIM!F83,TIM!F83,"")</f>
        <v>0</v>
      </c>
      <c r="U86" s="18">
        <f>ASSETs!X83</f>
        <v>0</v>
      </c>
      <c r="V86" t="str">
        <f>ASSETs!$AA$2</f>
        <v>Phuket</v>
      </c>
      <c r="W86" s="3">
        <f>ASSETs!$AB$2</f>
        <v>99</v>
      </c>
      <c r="X86" s="6" t="str">
        <f>ASSETs!AN83</f>
        <v>/0/543</v>
      </c>
      <c r="Y86" t="str">
        <f>ASSETs!$AF$2</f>
        <v>12.00</v>
      </c>
      <c r="Z86" s="18">
        <v>1</v>
      </c>
    </row>
    <row r="87" spans="1:27" ht="15">
      <c r="A87" s="16">
        <f>ROWS($A$5:B87:C87)</f>
        <v>83</v>
      </c>
      <c r="B87" s="16" t="str">
        <f>ASSETs!AU84</f>
        <v>/0/543</v>
      </c>
      <c r="C87" s="26" t="s">
        <v>309</v>
      </c>
      <c r="D87">
        <f>IF(TIM!Q84=TIM!Q84,TIM!Q84,"")</f>
        <v>0</v>
      </c>
      <c r="E87" s="18"/>
      <c r="F87" s="18"/>
      <c r="G87" s="18"/>
      <c r="H87" s="18"/>
      <c r="I87" t="str">
        <f>IFERROR(VLOOKUP(TIM!E84,ASSETs!$AA$6:$AB$7,2,FALSE),"")</f>
        <v/>
      </c>
      <c r="J87" s="2">
        <f>(IF(TIM!B84=TIM!B84,TIM!B84,""))</f>
        <v>0</v>
      </c>
      <c r="K87" s="18"/>
      <c r="L87">
        <f>IF(TIM!C84=TIM!C84,TIM!C84,"")</f>
        <v>0</v>
      </c>
      <c r="M87" t="str">
        <f>ASSETs!W84</f>
        <v/>
      </c>
      <c r="N87" s="27"/>
      <c r="O87">
        <f>IF(TIM!G84=TIM!G84,TIM!G84,"")</f>
        <v>0</v>
      </c>
      <c r="P87" s="18"/>
      <c r="Q87" t="str">
        <f>ASSETs!$AD$2</f>
        <v>Phang-nga</v>
      </c>
      <c r="R87">
        <f>ASSETs!$AE$2</f>
        <v>99</v>
      </c>
      <c r="S87" s="11">
        <v>146</v>
      </c>
      <c r="T87" s="3">
        <f>IF(TIM!F84=TIM!F84,TIM!F84,"")</f>
        <v>0</v>
      </c>
      <c r="U87" s="18">
        <f>ASSETs!X84</f>
        <v>0</v>
      </c>
      <c r="V87" t="str">
        <f>ASSETs!$AA$2</f>
        <v>Phuket</v>
      </c>
      <c r="W87" s="3">
        <f>ASSETs!$AB$2</f>
        <v>99</v>
      </c>
      <c r="X87" s="6" t="str">
        <f>ASSETs!AN84</f>
        <v>/0/543</v>
      </c>
      <c r="Y87" t="str">
        <f>ASSETs!$AF$2</f>
        <v>12.00</v>
      </c>
      <c r="Z87" s="18">
        <v>1</v>
      </c>
    </row>
    <row r="88" spans="1:27" ht="15">
      <c r="A88" s="16">
        <f>ROWS($A$5:B88:C88)</f>
        <v>84</v>
      </c>
      <c r="B88" s="16" t="str">
        <f>ASSETs!AU85</f>
        <v>/0/543</v>
      </c>
      <c r="C88" s="26" t="s">
        <v>309</v>
      </c>
      <c r="D88">
        <f>IF(TIM!Q85=TIM!Q85,TIM!Q85,"")</f>
        <v>0</v>
      </c>
      <c r="I88" t="str">
        <f>IFERROR(VLOOKUP(TIM!E85,ASSETs!$AA$6:$AB$7,2,FALSE),"")</f>
        <v/>
      </c>
      <c r="J88" s="2">
        <f>(IF(TIM!B85=TIM!B85,TIM!B85,""))</f>
        <v>0</v>
      </c>
      <c r="L88">
        <f>IF(TIM!C85=TIM!C85,TIM!C85,"")</f>
        <v>0</v>
      </c>
      <c r="M88" t="str">
        <f>ASSETs!W85</f>
        <v/>
      </c>
      <c r="N88" s="18"/>
      <c r="O88">
        <f>IF(TIM!G85=TIM!G85,TIM!G85,"")</f>
        <v>0</v>
      </c>
      <c r="P88" s="18"/>
      <c r="Q88" t="str">
        <f>ASSETs!$AD$2</f>
        <v>Phang-nga</v>
      </c>
      <c r="R88">
        <f>ASSETs!$AE$2</f>
        <v>99</v>
      </c>
      <c r="S88" s="11">
        <v>146</v>
      </c>
      <c r="T88" s="3">
        <f>IF(TIM!F85=TIM!F85,TIM!F85,"")</f>
        <v>0</v>
      </c>
      <c r="U88" s="18">
        <f>ASSETs!X85</f>
        <v>0</v>
      </c>
      <c r="V88" t="str">
        <f>ASSETs!$AA$2</f>
        <v>Phuket</v>
      </c>
      <c r="W88" s="3">
        <f>ASSETs!$AB$2</f>
        <v>99</v>
      </c>
      <c r="X88" s="6" t="str">
        <f>ASSETs!AN85</f>
        <v>/0/543</v>
      </c>
      <c r="Y88" t="str">
        <f>ASSETs!$AF$2</f>
        <v>12.00</v>
      </c>
      <c r="Z88" s="18">
        <v>1</v>
      </c>
    </row>
    <row r="89" spans="1:27" ht="15">
      <c r="A89" s="16">
        <f>ROWS($A$5:B89:C89)</f>
        <v>85</v>
      </c>
      <c r="B89" s="16" t="str">
        <f>ASSETs!AU86</f>
        <v>/0/543</v>
      </c>
      <c r="C89" s="26" t="s">
        <v>309</v>
      </c>
      <c r="D89">
        <f>IF(TIM!Q86=TIM!Q86,TIM!Q86,"")</f>
        <v>0</v>
      </c>
      <c r="E89" s="18"/>
      <c r="F89" s="18"/>
      <c r="G89" s="18"/>
      <c r="H89" s="18"/>
      <c r="I89" t="str">
        <f>IFERROR(VLOOKUP(TIM!E86,ASSETs!$AA$6:$AB$7,2,FALSE),"")</f>
        <v/>
      </c>
      <c r="J89" s="2">
        <f>(IF(TIM!B86=TIM!B86,TIM!B86,""))</f>
        <v>0</v>
      </c>
      <c r="K89" s="18"/>
      <c r="L89">
        <f>IF(TIM!C86=TIM!C86,TIM!C86,"")</f>
        <v>0</v>
      </c>
      <c r="M89" t="str">
        <f>ASSETs!W86</f>
        <v/>
      </c>
      <c r="N89" s="27"/>
      <c r="O89">
        <f>IF(TIM!G86=TIM!G86,TIM!G86,"")</f>
        <v>0</v>
      </c>
      <c r="P89" s="18"/>
      <c r="Q89" t="str">
        <f>ASSETs!$AD$2</f>
        <v>Phang-nga</v>
      </c>
      <c r="R89">
        <f>ASSETs!$AE$2</f>
        <v>99</v>
      </c>
      <c r="S89" s="11">
        <v>146</v>
      </c>
      <c r="T89" s="3">
        <f>IF(TIM!F86=TIM!F86,TIM!F86,"")</f>
        <v>0</v>
      </c>
      <c r="U89" s="18">
        <f>ASSETs!X86</f>
        <v>0</v>
      </c>
      <c r="V89" t="str">
        <f>ASSETs!$AA$2</f>
        <v>Phuket</v>
      </c>
      <c r="W89" s="3">
        <f>ASSETs!$AB$2</f>
        <v>99</v>
      </c>
      <c r="X89" s="6" t="str">
        <f>ASSETs!AN86</f>
        <v>/0/543</v>
      </c>
      <c r="Y89" t="str">
        <f>ASSETs!$AF$2</f>
        <v>12.00</v>
      </c>
      <c r="Z89" s="18">
        <v>1</v>
      </c>
    </row>
    <row r="90" spans="1:27" ht="15">
      <c r="A90" s="16">
        <f>ROWS($A$5:B90:C90)</f>
        <v>86</v>
      </c>
      <c r="B90" s="16" t="str">
        <f>ASSETs!AU87</f>
        <v>/0/543</v>
      </c>
      <c r="C90" s="26" t="s">
        <v>309</v>
      </c>
      <c r="D90">
        <f>IF(TIM!Q87=TIM!Q87,TIM!Q87,"")</f>
        <v>0</v>
      </c>
      <c r="I90" t="str">
        <f>IFERROR(VLOOKUP(TIM!E87,ASSETs!$AA$6:$AB$7,2,FALSE),"")</f>
        <v/>
      </c>
      <c r="J90" s="2">
        <f>(IF(TIM!B87=TIM!B87,TIM!B87,""))</f>
        <v>0</v>
      </c>
      <c r="L90">
        <f>IF(TIM!C87=TIM!C87,TIM!C87,"")</f>
        <v>0</v>
      </c>
      <c r="M90" t="str">
        <f>ASSETs!W87</f>
        <v/>
      </c>
      <c r="N90" s="18"/>
      <c r="O90">
        <f>IF(TIM!G87=TIM!G87,TIM!G87,"")</f>
        <v>0</v>
      </c>
      <c r="P90" s="18"/>
      <c r="Q90" t="str">
        <f>ASSETs!$AD$2</f>
        <v>Phang-nga</v>
      </c>
      <c r="R90">
        <f>ASSETs!$AE$2</f>
        <v>99</v>
      </c>
      <c r="S90" s="11">
        <v>146</v>
      </c>
      <c r="T90" s="3">
        <f>IF(TIM!F87=TIM!F87,TIM!F87,"")</f>
        <v>0</v>
      </c>
      <c r="U90" s="18">
        <f>ASSETs!X87</f>
        <v>0</v>
      </c>
      <c r="V90" t="str">
        <f>ASSETs!$AA$2</f>
        <v>Phuket</v>
      </c>
      <c r="W90" s="3">
        <f>ASSETs!$AB$2</f>
        <v>99</v>
      </c>
      <c r="X90" s="6" t="str">
        <f>ASSETs!AN87</f>
        <v>/0/543</v>
      </c>
      <c r="Y90" t="str">
        <f>ASSETs!$AF$2</f>
        <v>12.00</v>
      </c>
      <c r="Z90" s="18">
        <v>1</v>
      </c>
    </row>
    <row r="91" spans="1:27" ht="15">
      <c r="A91" s="16">
        <f>ROWS($A$5:B91:C91)</f>
        <v>87</v>
      </c>
      <c r="B91" s="16" t="str">
        <f>ASSETs!AU88</f>
        <v>/0/543</v>
      </c>
      <c r="C91" s="26" t="s">
        <v>309</v>
      </c>
      <c r="D91">
        <f>IF(TIM!Q88=TIM!Q88,TIM!Q88,"")</f>
        <v>0</v>
      </c>
      <c r="G91" s="18"/>
      <c r="I91" t="str">
        <f>IFERROR(VLOOKUP(TIM!E88,ASSETs!$AA$6:$AB$7,2,FALSE),"")</f>
        <v/>
      </c>
      <c r="J91" s="2">
        <f>(IF(TIM!B88=TIM!B88,TIM!B88,""))</f>
        <v>0</v>
      </c>
      <c r="K91" s="18"/>
      <c r="L91">
        <f>IF(TIM!C88=TIM!C88,TIM!C88,"")</f>
        <v>0</v>
      </c>
      <c r="M91" t="str">
        <f>ASSETs!W88</f>
        <v/>
      </c>
      <c r="N91" s="18"/>
      <c r="O91">
        <f>IF(TIM!G88=TIM!G88,TIM!G88,"")</f>
        <v>0</v>
      </c>
      <c r="P91" s="18"/>
      <c r="Q91" t="str">
        <f>ASSETs!$AD$2</f>
        <v>Phang-nga</v>
      </c>
      <c r="R91">
        <f>ASSETs!$AE$2</f>
        <v>99</v>
      </c>
      <c r="S91" s="11">
        <v>146</v>
      </c>
      <c r="T91" s="3">
        <f>IF(TIM!F88=TIM!F88,TIM!F88,"")</f>
        <v>0</v>
      </c>
      <c r="U91" s="18">
        <f>ASSETs!X88</f>
        <v>0</v>
      </c>
      <c r="V91" t="str">
        <f>ASSETs!$AA$2</f>
        <v>Phuket</v>
      </c>
      <c r="W91" s="3">
        <f>ASSETs!$AB$2</f>
        <v>99</v>
      </c>
      <c r="X91" s="6" t="str">
        <f>ASSETs!AN88</f>
        <v>/0/543</v>
      </c>
      <c r="Y91" t="str">
        <f>ASSETs!$AF$2</f>
        <v>12.00</v>
      </c>
      <c r="Z91" s="18">
        <v>1</v>
      </c>
      <c r="AA91" s="18"/>
    </row>
    <row r="92" spans="1:27" ht="15">
      <c r="A92" s="16">
        <f>ROWS($A$5:B92:C92)</f>
        <v>88</v>
      </c>
      <c r="B92" s="16" t="str">
        <f>ASSETs!AU89</f>
        <v>/0/543</v>
      </c>
      <c r="C92" s="26" t="s">
        <v>309</v>
      </c>
      <c r="D92">
        <f>IF(TIM!Q89=TIM!Q89,TIM!Q89,"")</f>
        <v>0</v>
      </c>
      <c r="I92" t="str">
        <f>IFERROR(VLOOKUP(TIM!E89,ASSETs!$AA$6:$AB$7,2,FALSE),"")</f>
        <v/>
      </c>
      <c r="J92" s="2">
        <f>(IF(TIM!B89=TIM!B89,TIM!B89,""))</f>
        <v>0</v>
      </c>
      <c r="L92">
        <f>IF(TIM!C89=TIM!C89,TIM!C89,"")</f>
        <v>0</v>
      </c>
      <c r="M92" t="str">
        <f>ASSETs!W89</f>
        <v/>
      </c>
      <c r="N92" s="18"/>
      <c r="O92">
        <f>IF(TIM!G89=TIM!G89,TIM!G89,"")</f>
        <v>0</v>
      </c>
      <c r="P92" s="18"/>
      <c r="Q92" t="str">
        <f>ASSETs!$AD$2</f>
        <v>Phang-nga</v>
      </c>
      <c r="R92">
        <f>ASSETs!$AE$2</f>
        <v>99</v>
      </c>
      <c r="S92" s="11">
        <v>146</v>
      </c>
      <c r="T92" s="3">
        <f>IF(TIM!F89=TIM!F89,TIM!F89,"")</f>
        <v>0</v>
      </c>
      <c r="U92" s="18">
        <f>ASSETs!X89</f>
        <v>0</v>
      </c>
      <c r="V92" t="str">
        <f>ASSETs!$AA$2</f>
        <v>Phuket</v>
      </c>
      <c r="W92" s="3">
        <f>ASSETs!$AB$2</f>
        <v>99</v>
      </c>
      <c r="X92" s="6" t="str">
        <f>ASSETs!AN89</f>
        <v>/0/543</v>
      </c>
      <c r="Y92" t="str">
        <f>ASSETs!$AF$2</f>
        <v>12.00</v>
      </c>
      <c r="Z92" s="18">
        <v>1</v>
      </c>
    </row>
    <row r="93" spans="1:27" ht="15">
      <c r="A93" s="16">
        <f>ROWS($A$5:B93:C93)</f>
        <v>89</v>
      </c>
      <c r="B93" s="16" t="str">
        <f>ASSETs!AU90</f>
        <v>/0/543</v>
      </c>
      <c r="C93" s="26" t="s">
        <v>309</v>
      </c>
      <c r="D93">
        <f>IF(TIM!Q90=TIM!Q90,TIM!Q90,"")</f>
        <v>0</v>
      </c>
      <c r="I93" t="str">
        <f>IFERROR(VLOOKUP(TIM!E90,ASSETs!$AA$6:$AB$7,2,FALSE),"")</f>
        <v/>
      </c>
      <c r="J93" s="2">
        <f>(IF(TIM!B90=TIM!B90,TIM!B90,""))</f>
        <v>0</v>
      </c>
      <c r="L93">
        <f>IF(TIM!C90=TIM!C90,TIM!C90,"")</f>
        <v>0</v>
      </c>
      <c r="M93" t="str">
        <f>ASSETs!W90</f>
        <v/>
      </c>
      <c r="N93" s="18"/>
      <c r="O93">
        <f>IF(TIM!G90=TIM!G90,TIM!G90,"")</f>
        <v>0</v>
      </c>
      <c r="P93" s="18"/>
      <c r="Q93" t="str">
        <f>ASSETs!$AD$2</f>
        <v>Phang-nga</v>
      </c>
      <c r="R93">
        <f>ASSETs!$AE$2</f>
        <v>99</v>
      </c>
      <c r="S93" s="11">
        <v>146</v>
      </c>
      <c r="T93" s="3">
        <f>IF(TIM!F90=TIM!F90,TIM!F90,"")</f>
        <v>0</v>
      </c>
      <c r="U93" s="18">
        <f>ASSETs!X90</f>
        <v>0</v>
      </c>
      <c r="V93" t="str">
        <f>ASSETs!$AA$2</f>
        <v>Phuket</v>
      </c>
      <c r="W93" s="3">
        <f>ASSETs!$AB$2</f>
        <v>99</v>
      </c>
      <c r="X93" s="6" t="str">
        <f>ASSETs!AN90</f>
        <v>/0/543</v>
      </c>
      <c r="Y93" t="str">
        <f>ASSETs!$AF$2</f>
        <v>12.00</v>
      </c>
      <c r="Z93" s="18">
        <v>1</v>
      </c>
    </row>
    <row r="94" spans="1:27" ht="15">
      <c r="A94" s="16">
        <f>ROWS($A$5:B94:C94)</f>
        <v>90</v>
      </c>
      <c r="B94" s="16" t="str">
        <f>ASSETs!AU91</f>
        <v>/0/543</v>
      </c>
      <c r="C94" s="26" t="s">
        <v>309</v>
      </c>
      <c r="D94">
        <f>IF(TIM!Q91=TIM!Q91,TIM!Q91,"")</f>
        <v>0</v>
      </c>
      <c r="I94" t="str">
        <f>IFERROR(VLOOKUP(TIM!E91,ASSETs!$AA$6:$AB$7,2,FALSE),"")</f>
        <v/>
      </c>
      <c r="J94" s="2">
        <f>(IF(TIM!B91=TIM!B91,TIM!B91,""))</f>
        <v>0</v>
      </c>
      <c r="L94">
        <f>IF(TIM!C91=TIM!C91,TIM!C91,"")</f>
        <v>0</v>
      </c>
      <c r="M94" t="str">
        <f>ASSETs!W91</f>
        <v/>
      </c>
      <c r="N94" s="18"/>
      <c r="O94">
        <f>IF(TIM!G91=TIM!G91,TIM!G91,"")</f>
        <v>0</v>
      </c>
      <c r="P94" s="18"/>
      <c r="Q94" t="str">
        <f>ASSETs!$AD$2</f>
        <v>Phang-nga</v>
      </c>
      <c r="R94">
        <f>ASSETs!$AE$2</f>
        <v>99</v>
      </c>
      <c r="S94" s="11">
        <v>146</v>
      </c>
      <c r="T94" s="3">
        <f>IF(TIM!F91=TIM!F91,TIM!F91,"")</f>
        <v>0</v>
      </c>
      <c r="U94" s="18">
        <f>ASSETs!X91</f>
        <v>0</v>
      </c>
      <c r="V94" t="str">
        <f>ASSETs!$AA$2</f>
        <v>Phuket</v>
      </c>
      <c r="W94" s="3">
        <f>ASSETs!$AB$2</f>
        <v>99</v>
      </c>
      <c r="X94" s="6" t="str">
        <f>ASSETs!AN91</f>
        <v>/0/543</v>
      </c>
      <c r="Y94" t="str">
        <f>ASSETs!$AF$2</f>
        <v>12.00</v>
      </c>
      <c r="Z94" s="18">
        <v>1</v>
      </c>
    </row>
    <row r="95" spans="1:27" ht="15">
      <c r="A95" s="16">
        <f>ROWS($A$5:B95:C95)</f>
        <v>91</v>
      </c>
      <c r="B95" s="16" t="str">
        <f>ASSETs!AU92</f>
        <v>/0/543</v>
      </c>
      <c r="C95" s="26" t="s">
        <v>309</v>
      </c>
      <c r="D95">
        <f>IF(TIM!Q92=TIM!Q92,TIM!Q92,"")</f>
        <v>0</v>
      </c>
      <c r="I95" t="str">
        <f>IFERROR(VLOOKUP(TIM!E92,ASSETs!$AA$6:$AB$7,2,FALSE),"")</f>
        <v/>
      </c>
      <c r="J95" s="2">
        <f>(IF(TIM!B92=TIM!B92,TIM!B92,""))</f>
        <v>0</v>
      </c>
      <c r="L95">
        <f>IF(TIM!C92=TIM!C92,TIM!C92,"")</f>
        <v>0</v>
      </c>
      <c r="M95" t="str">
        <f>ASSETs!W92</f>
        <v/>
      </c>
      <c r="N95" s="18"/>
      <c r="O95">
        <f>IF(TIM!G92=TIM!G92,TIM!G92,"")</f>
        <v>0</v>
      </c>
      <c r="P95" s="18"/>
      <c r="Q95" t="str">
        <f>ASSETs!$AD$2</f>
        <v>Phang-nga</v>
      </c>
      <c r="R95">
        <f>ASSETs!$AE$2</f>
        <v>99</v>
      </c>
      <c r="S95" s="11">
        <v>146</v>
      </c>
      <c r="T95" s="3">
        <f>IF(TIM!F92=TIM!F92,TIM!F92,"")</f>
        <v>0</v>
      </c>
      <c r="U95" s="18">
        <f>ASSETs!X92</f>
        <v>0</v>
      </c>
      <c r="V95" t="str">
        <f>ASSETs!$AA$2</f>
        <v>Phuket</v>
      </c>
      <c r="W95" s="3">
        <f>ASSETs!$AB$2</f>
        <v>99</v>
      </c>
      <c r="X95" s="6" t="str">
        <f>ASSETs!AN92</f>
        <v>/0/543</v>
      </c>
      <c r="Y95" t="str">
        <f>ASSETs!$AF$2</f>
        <v>12.00</v>
      </c>
      <c r="Z95" s="18">
        <v>1</v>
      </c>
    </row>
    <row r="96" spans="1:27" ht="15">
      <c r="A96" s="16">
        <f>ROWS($A$5:B96:C96)</f>
        <v>92</v>
      </c>
      <c r="B96" s="16" t="str">
        <f>ASSETs!AU93</f>
        <v>/0/543</v>
      </c>
      <c r="C96" s="26" t="s">
        <v>309</v>
      </c>
      <c r="D96">
        <f>IF(TIM!Q93=TIM!Q93,TIM!Q93,"")</f>
        <v>0</v>
      </c>
      <c r="I96" t="str">
        <f>IFERROR(VLOOKUP(TIM!E93,ASSETs!$AA$6:$AB$7,2,FALSE),"")</f>
        <v/>
      </c>
      <c r="J96" s="2">
        <f>(IF(TIM!B93=TIM!B93,TIM!B93,""))</f>
        <v>0</v>
      </c>
      <c r="L96">
        <f>IF(TIM!C93=TIM!C93,TIM!C93,"")</f>
        <v>0</v>
      </c>
      <c r="M96" t="str">
        <f>ASSETs!W93</f>
        <v/>
      </c>
      <c r="N96" s="18"/>
      <c r="O96">
        <f>IF(TIM!G93=TIM!G93,TIM!G93,"")</f>
        <v>0</v>
      </c>
      <c r="P96" s="18"/>
      <c r="Q96" t="str">
        <f>ASSETs!$AD$2</f>
        <v>Phang-nga</v>
      </c>
      <c r="R96">
        <f>ASSETs!$AE$2</f>
        <v>99</v>
      </c>
      <c r="S96" s="11">
        <v>146</v>
      </c>
      <c r="T96" s="3">
        <f>IF(TIM!F93=TIM!F93,TIM!F93,"")</f>
        <v>0</v>
      </c>
      <c r="U96" s="18">
        <f>ASSETs!X93</f>
        <v>0</v>
      </c>
      <c r="V96" t="str">
        <f>ASSETs!$AA$2</f>
        <v>Phuket</v>
      </c>
      <c r="W96" s="3">
        <f>ASSETs!$AB$2</f>
        <v>99</v>
      </c>
      <c r="X96" s="6" t="str">
        <f>ASSETs!AN93</f>
        <v>/0/543</v>
      </c>
      <c r="Y96" t="str">
        <f>ASSETs!$AF$2</f>
        <v>12.00</v>
      </c>
      <c r="Z96" s="18">
        <v>1</v>
      </c>
    </row>
    <row r="97" spans="1:27" ht="15">
      <c r="A97" s="16">
        <f>ROWS($A$5:B97:C97)</f>
        <v>93</v>
      </c>
      <c r="B97" s="16" t="str">
        <f>ASSETs!AU94</f>
        <v>/0/543</v>
      </c>
      <c r="C97" s="26" t="s">
        <v>309</v>
      </c>
      <c r="D97">
        <f>IF(TIM!Q94=TIM!Q94,TIM!Q94,"")</f>
        <v>0</v>
      </c>
      <c r="I97" t="str">
        <f>IFERROR(VLOOKUP(TIM!E94,ASSETs!$AA$6:$AB$7,2,FALSE),"")</f>
        <v/>
      </c>
      <c r="J97" s="2">
        <f>(IF(TIM!B94=TIM!B94,TIM!B94,""))</f>
        <v>0</v>
      </c>
      <c r="L97">
        <f>IF(TIM!C94=TIM!C94,TIM!C94,"")</f>
        <v>0</v>
      </c>
      <c r="M97" t="str">
        <f>ASSETs!W94</f>
        <v/>
      </c>
      <c r="N97" s="18"/>
      <c r="O97">
        <f>IF(TIM!G94=TIM!G94,TIM!G94,"")</f>
        <v>0</v>
      </c>
      <c r="P97" s="18"/>
      <c r="Q97" t="str">
        <f>ASSETs!$AD$2</f>
        <v>Phang-nga</v>
      </c>
      <c r="R97">
        <f>ASSETs!$AE$2</f>
        <v>99</v>
      </c>
      <c r="S97" s="11">
        <v>146</v>
      </c>
      <c r="T97" s="3">
        <f>IF(TIM!F94=TIM!F94,TIM!F94,"")</f>
        <v>0</v>
      </c>
      <c r="U97" s="18">
        <f>ASSETs!X94</f>
        <v>0</v>
      </c>
      <c r="V97" t="str">
        <f>ASSETs!$AA$2</f>
        <v>Phuket</v>
      </c>
      <c r="W97" s="3">
        <f>ASSETs!$AB$2</f>
        <v>99</v>
      </c>
      <c r="X97" s="6" t="str">
        <f>ASSETs!AN94</f>
        <v>/0/543</v>
      </c>
      <c r="Y97" t="str">
        <f>ASSETs!$AF$2</f>
        <v>12.00</v>
      </c>
      <c r="Z97" s="18">
        <v>1</v>
      </c>
    </row>
    <row r="98" spans="1:27" ht="15">
      <c r="A98" s="16">
        <f>ROWS($A$5:B98:C98)</f>
        <v>94</v>
      </c>
      <c r="B98" s="16" t="str">
        <f>ASSETs!AU95</f>
        <v>/0/543</v>
      </c>
      <c r="C98" s="26" t="s">
        <v>309</v>
      </c>
      <c r="D98">
        <f>IF(TIM!Q95=TIM!Q95,TIM!Q95,"")</f>
        <v>0</v>
      </c>
      <c r="I98" t="str">
        <f>IFERROR(VLOOKUP(TIM!E95,ASSETs!$AA$6:$AB$7,2,FALSE),"")</f>
        <v/>
      </c>
      <c r="J98" s="2">
        <f>(IF(TIM!B95=TIM!B95,TIM!B95,""))</f>
        <v>0</v>
      </c>
      <c r="L98">
        <f>IF(TIM!C95=TIM!C95,TIM!C95,"")</f>
        <v>0</v>
      </c>
      <c r="M98" t="str">
        <f>ASSETs!W95</f>
        <v/>
      </c>
      <c r="N98" s="18"/>
      <c r="O98">
        <f>IF(TIM!G95=TIM!G95,TIM!G95,"")</f>
        <v>0</v>
      </c>
      <c r="P98" s="18"/>
      <c r="Q98" t="str">
        <f>ASSETs!$AD$2</f>
        <v>Phang-nga</v>
      </c>
      <c r="R98">
        <f>ASSETs!$AE$2</f>
        <v>99</v>
      </c>
      <c r="S98" s="11">
        <v>146</v>
      </c>
      <c r="T98" s="3">
        <f>IF(TIM!F95=TIM!F95,TIM!F95,"")</f>
        <v>0</v>
      </c>
      <c r="U98" s="18">
        <f>ASSETs!X95</f>
        <v>0</v>
      </c>
      <c r="V98" t="str">
        <f>ASSETs!$AA$2</f>
        <v>Phuket</v>
      </c>
      <c r="W98" s="3">
        <f>ASSETs!$AB$2</f>
        <v>99</v>
      </c>
      <c r="X98" s="6" t="str">
        <f>ASSETs!AN95</f>
        <v>/0/543</v>
      </c>
      <c r="Y98" t="str">
        <f>ASSETs!$AF$2</f>
        <v>12.00</v>
      </c>
      <c r="Z98" s="18">
        <v>1</v>
      </c>
    </row>
    <row r="99" spans="1:27" ht="15">
      <c r="A99" s="16">
        <f>ROWS($A$5:B99:C99)</f>
        <v>95</v>
      </c>
      <c r="B99" s="16" t="str">
        <f>ASSETs!AU96</f>
        <v>/0/543</v>
      </c>
      <c r="C99" s="26" t="s">
        <v>309</v>
      </c>
      <c r="D99">
        <f>IF(TIM!Q96=TIM!Q96,TIM!Q96,"")</f>
        <v>0</v>
      </c>
      <c r="I99" t="str">
        <f>IFERROR(VLOOKUP(TIM!E96,ASSETs!$AA$6:$AB$7,2,FALSE),"")</f>
        <v/>
      </c>
      <c r="J99" s="2">
        <f>(IF(TIM!B96=TIM!B96,TIM!B96,""))</f>
        <v>0</v>
      </c>
      <c r="L99">
        <f>IF(TIM!C96=TIM!C96,TIM!C96,"")</f>
        <v>0</v>
      </c>
      <c r="M99" t="str">
        <f>ASSETs!W96</f>
        <v/>
      </c>
      <c r="N99" s="18"/>
      <c r="O99">
        <f>IF(TIM!G96=TIM!G96,TIM!G96,"")</f>
        <v>0</v>
      </c>
      <c r="P99" s="18"/>
      <c r="Q99" t="str">
        <f>ASSETs!$AD$2</f>
        <v>Phang-nga</v>
      </c>
      <c r="R99">
        <f>ASSETs!$AE$2</f>
        <v>99</v>
      </c>
      <c r="S99" s="11">
        <v>146</v>
      </c>
      <c r="T99" s="3">
        <f>IF(TIM!F96=TIM!F96,TIM!F96,"")</f>
        <v>0</v>
      </c>
      <c r="U99" s="18">
        <f>ASSETs!X96</f>
        <v>0</v>
      </c>
      <c r="V99" t="str">
        <f>ASSETs!$AA$2</f>
        <v>Phuket</v>
      </c>
      <c r="W99" s="3">
        <f>ASSETs!$AB$2</f>
        <v>99</v>
      </c>
      <c r="X99" s="6" t="str">
        <f>ASSETs!AN96</f>
        <v>/0/543</v>
      </c>
      <c r="Y99" t="str">
        <f>ASSETs!$AF$2</f>
        <v>12.00</v>
      </c>
      <c r="Z99" s="18">
        <v>1</v>
      </c>
    </row>
    <row r="100" spans="1:27" ht="15">
      <c r="A100" s="16">
        <f>ROWS($A$5:B100:C100)</f>
        <v>96</v>
      </c>
      <c r="B100" s="16" t="str">
        <f>ASSETs!AU97</f>
        <v>/0/543</v>
      </c>
      <c r="C100" s="26" t="s">
        <v>309</v>
      </c>
      <c r="D100">
        <f>IF(TIM!Q97=TIM!Q97,TIM!Q97,"")</f>
        <v>0</v>
      </c>
      <c r="I100" t="str">
        <f>IFERROR(VLOOKUP(TIM!E97,ASSETs!$AA$6:$AB$7,2,FALSE),"")</f>
        <v/>
      </c>
      <c r="J100" s="2">
        <f>(IF(TIM!B97=TIM!B97,TIM!B97,""))</f>
        <v>0</v>
      </c>
      <c r="L100">
        <f>IF(TIM!C97=TIM!C97,TIM!C97,"")</f>
        <v>0</v>
      </c>
      <c r="M100" t="str">
        <f>ASSETs!W97</f>
        <v/>
      </c>
      <c r="N100" s="18"/>
      <c r="O100">
        <f>IF(TIM!G97=TIM!G97,TIM!G97,"")</f>
        <v>0</v>
      </c>
      <c r="P100" s="18"/>
      <c r="Q100" t="str">
        <f>ASSETs!$AD$2</f>
        <v>Phang-nga</v>
      </c>
      <c r="R100">
        <f>ASSETs!$AE$2</f>
        <v>99</v>
      </c>
      <c r="S100" s="11">
        <v>146</v>
      </c>
      <c r="T100" s="3">
        <f>IF(TIM!F97=TIM!F97,TIM!F97,"")</f>
        <v>0</v>
      </c>
      <c r="U100" s="18">
        <f>ASSETs!X97</f>
        <v>0</v>
      </c>
      <c r="V100" t="str">
        <f>ASSETs!$AA$2</f>
        <v>Phuket</v>
      </c>
      <c r="W100" s="3">
        <f>ASSETs!$AB$2</f>
        <v>99</v>
      </c>
      <c r="X100" s="6" t="str">
        <f>ASSETs!AN97</f>
        <v>/0/543</v>
      </c>
      <c r="Y100" t="str">
        <f>ASSETs!$AF$2</f>
        <v>12.00</v>
      </c>
      <c r="Z100" s="18">
        <v>1</v>
      </c>
    </row>
    <row r="101" spans="1:27" ht="15">
      <c r="A101" s="16">
        <f>ROWS($A$5:B101:C101)</f>
        <v>97</v>
      </c>
      <c r="B101" s="16" t="str">
        <f>ASSETs!AU98</f>
        <v>/0/543</v>
      </c>
      <c r="C101" s="26" t="s">
        <v>309</v>
      </c>
      <c r="D101">
        <f>IF(TIM!Q98=TIM!Q98,TIM!Q98,"")</f>
        <v>0</v>
      </c>
      <c r="I101" t="str">
        <f>IFERROR(VLOOKUP(TIM!E98,ASSETs!$AA$6:$AB$7,2,FALSE),"")</f>
        <v/>
      </c>
      <c r="J101" s="2">
        <f>(IF(TIM!B98=TIM!B98,TIM!B98,""))</f>
        <v>0</v>
      </c>
      <c r="L101">
        <f>IF(TIM!C98=TIM!C98,TIM!C98,"")</f>
        <v>0</v>
      </c>
      <c r="M101" t="str">
        <f>ASSETs!W98</f>
        <v/>
      </c>
      <c r="N101" s="18"/>
      <c r="O101">
        <f>IF(TIM!G98=TIM!G98,TIM!G98,"")</f>
        <v>0</v>
      </c>
      <c r="P101" s="18"/>
      <c r="Q101" t="str">
        <f>ASSETs!$AD$2</f>
        <v>Phang-nga</v>
      </c>
      <c r="R101">
        <f>ASSETs!$AE$2</f>
        <v>99</v>
      </c>
      <c r="S101" s="11">
        <v>146</v>
      </c>
      <c r="T101" s="3">
        <f>IF(TIM!F98=TIM!F98,TIM!F98,"")</f>
        <v>0</v>
      </c>
      <c r="U101" s="18">
        <f>ASSETs!X98</f>
        <v>0</v>
      </c>
      <c r="V101" t="str">
        <f>ASSETs!$AA$2</f>
        <v>Phuket</v>
      </c>
      <c r="W101" s="3">
        <f>ASSETs!$AB$2</f>
        <v>99</v>
      </c>
      <c r="X101" s="6" t="str">
        <f>ASSETs!AN98</f>
        <v>/0/543</v>
      </c>
      <c r="Y101" t="str">
        <f>ASSETs!$AF$2</f>
        <v>12.00</v>
      </c>
      <c r="Z101" s="18">
        <v>1</v>
      </c>
    </row>
    <row r="102" spans="1:27" ht="15">
      <c r="A102" s="16">
        <f>ROWS($A$5:B102:C102)</f>
        <v>98</v>
      </c>
      <c r="B102" s="16" t="str">
        <f>ASSETs!AU99</f>
        <v>/0/543</v>
      </c>
      <c r="C102" s="26" t="s">
        <v>309</v>
      </c>
      <c r="D102">
        <f>IF(TIM!Q99=TIM!Q99,TIM!Q99,"")</f>
        <v>0</v>
      </c>
      <c r="I102" t="str">
        <f>IFERROR(VLOOKUP(TIM!E99,ASSETs!$AA$6:$AB$7,2,FALSE),"")</f>
        <v/>
      </c>
      <c r="J102" s="2">
        <f>(IF(TIM!B99=TIM!B99,TIM!B99,""))</f>
        <v>0</v>
      </c>
      <c r="L102">
        <f>IF(TIM!C99=TIM!C99,TIM!C99,"")</f>
        <v>0</v>
      </c>
      <c r="M102" t="str">
        <f>ASSETs!W99</f>
        <v/>
      </c>
      <c r="N102" s="18"/>
      <c r="O102">
        <f>IF(TIM!G99=TIM!G99,TIM!G99,"")</f>
        <v>0</v>
      </c>
      <c r="P102" s="18"/>
      <c r="Q102" t="str">
        <f>ASSETs!$AD$2</f>
        <v>Phang-nga</v>
      </c>
      <c r="R102">
        <f>ASSETs!$AE$2</f>
        <v>99</v>
      </c>
      <c r="S102" s="11">
        <v>146</v>
      </c>
      <c r="T102" s="3">
        <f>IF(TIM!F99=TIM!F99,TIM!F99,"")</f>
        <v>0</v>
      </c>
      <c r="U102" s="18">
        <f>ASSETs!X99</f>
        <v>0</v>
      </c>
      <c r="V102" t="str">
        <f>ASSETs!$AA$2</f>
        <v>Phuket</v>
      </c>
      <c r="W102" s="3">
        <f>ASSETs!$AB$2</f>
        <v>99</v>
      </c>
      <c r="X102" s="6" t="str">
        <f>ASSETs!AN99</f>
        <v>/0/543</v>
      </c>
      <c r="Y102" t="str">
        <f>ASSETs!$AF$2</f>
        <v>12.00</v>
      </c>
      <c r="Z102" s="18">
        <v>1</v>
      </c>
    </row>
    <row r="103" spans="1:27" ht="15">
      <c r="A103" s="16">
        <f>ROWS($A$5:B103:C103)</f>
        <v>99</v>
      </c>
      <c r="B103" s="16" t="str">
        <f>ASSETs!AU100</f>
        <v>/0/543</v>
      </c>
      <c r="C103" s="26" t="s">
        <v>309</v>
      </c>
      <c r="D103">
        <f>IF(TIM!Q100=TIM!Q100,TIM!Q100,"")</f>
        <v>0</v>
      </c>
      <c r="I103" t="str">
        <f>IFERROR(VLOOKUP(TIM!E100,ASSETs!$AA$6:$AB$7,2,FALSE),"")</f>
        <v/>
      </c>
      <c r="J103" s="2">
        <f>(IF(TIM!B100=TIM!B100,TIM!B100,""))</f>
        <v>0</v>
      </c>
      <c r="L103">
        <f>IF(TIM!C100=TIM!C100,TIM!C100,"")</f>
        <v>0</v>
      </c>
      <c r="M103" t="str">
        <f>ASSETs!W100</f>
        <v/>
      </c>
      <c r="N103" s="18"/>
      <c r="O103">
        <f>IF(TIM!G100=TIM!G100,TIM!G100,"")</f>
        <v>0</v>
      </c>
      <c r="P103" s="18"/>
      <c r="Q103" t="str">
        <f>ASSETs!$AD$2</f>
        <v>Phang-nga</v>
      </c>
      <c r="R103">
        <f>ASSETs!$AE$2</f>
        <v>99</v>
      </c>
      <c r="S103" s="11">
        <v>146</v>
      </c>
      <c r="T103" s="3">
        <f>IF(TIM!F100=TIM!F100,TIM!F100,"")</f>
        <v>0</v>
      </c>
      <c r="U103" s="18">
        <f>ASSETs!X100</f>
        <v>0</v>
      </c>
      <c r="V103" t="str">
        <f>ASSETs!$AA$2</f>
        <v>Phuket</v>
      </c>
      <c r="W103" s="3">
        <f>ASSETs!$AB$2</f>
        <v>99</v>
      </c>
      <c r="X103" s="6" t="str">
        <f>ASSETs!AN100</f>
        <v>/0/543</v>
      </c>
      <c r="Y103" t="str">
        <f>ASSETs!$AF$2</f>
        <v>12.00</v>
      </c>
      <c r="Z103" s="18">
        <v>1</v>
      </c>
    </row>
    <row r="104" spans="1:27" ht="15">
      <c r="A104" s="16">
        <f>ROWS($A$5:B104:C104)</f>
        <v>100</v>
      </c>
      <c r="B104" s="16" t="str">
        <f>ASSETs!AU101</f>
        <v>/0/543</v>
      </c>
      <c r="C104" s="26" t="s">
        <v>309</v>
      </c>
      <c r="D104">
        <f>IF(TIM!Q101=TIM!Q101,TIM!Q101,"")</f>
        <v>0</v>
      </c>
      <c r="I104" t="str">
        <f>IFERROR(VLOOKUP(TIM!E101,ASSETs!$AA$6:$AB$7,2,FALSE),"")</f>
        <v/>
      </c>
      <c r="J104" s="2">
        <f>(IF(TIM!B101=TIM!B101,TIM!B101,""))</f>
        <v>0</v>
      </c>
      <c r="L104">
        <f>IF(TIM!C101=TIM!C101,TIM!C101,"")</f>
        <v>0</v>
      </c>
      <c r="M104" t="str">
        <f>ASSETs!W101</f>
        <v/>
      </c>
      <c r="N104" s="18"/>
      <c r="O104">
        <f>IF(TIM!G101=TIM!G101,TIM!G101,"")</f>
        <v>0</v>
      </c>
      <c r="P104" s="18"/>
      <c r="Q104" t="str">
        <f>ASSETs!$AD$2</f>
        <v>Phang-nga</v>
      </c>
      <c r="R104">
        <f>ASSETs!$AE$2</f>
        <v>99</v>
      </c>
      <c r="S104" s="11">
        <v>146</v>
      </c>
      <c r="T104" s="3">
        <f>IF(TIM!F101=TIM!F101,TIM!F101,"")</f>
        <v>0</v>
      </c>
      <c r="U104" s="18">
        <f>ASSETs!X101</f>
        <v>0</v>
      </c>
      <c r="V104" t="str">
        <f>ASSETs!$AA$2</f>
        <v>Phuket</v>
      </c>
      <c r="W104" s="3">
        <f>ASSETs!$AB$2</f>
        <v>99</v>
      </c>
      <c r="X104" s="6" t="str">
        <f>ASSETs!AN101</f>
        <v>/0/543</v>
      </c>
      <c r="Y104" t="str">
        <f>ASSETs!$AF$2</f>
        <v>12.00</v>
      </c>
      <c r="Z104" s="18">
        <v>1</v>
      </c>
    </row>
    <row r="105" spans="1:27" ht="15">
      <c r="A105" s="16">
        <f>ROWS($A$5:B105:C105)</f>
        <v>101</v>
      </c>
      <c r="B105" s="16" t="str">
        <f>ASSETs!AU102</f>
        <v>/0/543</v>
      </c>
      <c r="C105" s="26" t="s">
        <v>309</v>
      </c>
      <c r="D105">
        <f>IF(TIM!Q102=TIM!Q102,TIM!Q102,"")</f>
        <v>0</v>
      </c>
      <c r="I105" t="str">
        <f>IFERROR(VLOOKUP(TIM!E102,ASSETs!$AA$6:$AB$7,2,FALSE),"")</f>
        <v/>
      </c>
      <c r="J105" s="2">
        <f>(IF(TIM!B102=TIM!B102,TIM!B102,""))</f>
        <v>0</v>
      </c>
      <c r="L105">
        <f>IF(TIM!C102=TIM!C102,TIM!C102,"")</f>
        <v>0</v>
      </c>
      <c r="M105" t="str">
        <f>ASSETs!W102</f>
        <v/>
      </c>
      <c r="N105" s="18"/>
      <c r="O105">
        <f>IF(TIM!G102=TIM!G102,TIM!G102,"")</f>
        <v>0</v>
      </c>
      <c r="P105" s="18"/>
      <c r="Q105" t="str">
        <f>ASSETs!$AD$2</f>
        <v>Phang-nga</v>
      </c>
      <c r="R105">
        <f>ASSETs!$AE$2</f>
        <v>99</v>
      </c>
      <c r="S105" s="11">
        <v>146</v>
      </c>
      <c r="T105" s="3">
        <f>IF(TIM!F102=TIM!F102,TIM!F102,"")</f>
        <v>0</v>
      </c>
      <c r="U105" s="18">
        <f>ASSETs!X102</f>
        <v>0</v>
      </c>
      <c r="V105" t="str">
        <f>ASSETs!$AA$2</f>
        <v>Phuket</v>
      </c>
      <c r="W105" s="3">
        <f>ASSETs!$AB$2</f>
        <v>99</v>
      </c>
      <c r="X105" s="6" t="str">
        <f>ASSETs!AN102</f>
        <v>/0/543</v>
      </c>
      <c r="Y105" t="str">
        <f>ASSETs!$AF$2</f>
        <v>12.00</v>
      </c>
      <c r="Z105" s="18">
        <v>1</v>
      </c>
    </row>
    <row r="106" spans="1:27" ht="15">
      <c r="A106" s="16">
        <f>ROWS($A$5:B106:C106)</f>
        <v>102</v>
      </c>
      <c r="B106" s="16" t="str">
        <f>ASSETs!AU103</f>
        <v>/0/543</v>
      </c>
      <c r="C106" s="26" t="s">
        <v>309</v>
      </c>
      <c r="D106">
        <f>IF(TIM!Q103=TIM!Q103,TIM!Q103,"")</f>
        <v>0</v>
      </c>
      <c r="I106" t="str">
        <f>IFERROR(VLOOKUP(TIM!E103,ASSETs!$AA$6:$AB$7,2,FALSE),"")</f>
        <v/>
      </c>
      <c r="J106" s="2">
        <f>(IF(TIM!B103=TIM!B103,TIM!B103,""))</f>
        <v>0</v>
      </c>
      <c r="L106">
        <f>IF(TIM!C103=TIM!C103,TIM!C103,"")</f>
        <v>0</v>
      </c>
      <c r="M106" t="str">
        <f>ASSETs!W103</f>
        <v/>
      </c>
      <c r="N106" s="18"/>
      <c r="O106">
        <f>IF(TIM!G103=TIM!G103,TIM!G103,"")</f>
        <v>0</v>
      </c>
      <c r="P106" s="18"/>
      <c r="Q106" t="str">
        <f>ASSETs!$AD$2</f>
        <v>Phang-nga</v>
      </c>
      <c r="R106">
        <f>ASSETs!$AE$2</f>
        <v>99</v>
      </c>
      <c r="S106" s="11">
        <v>146</v>
      </c>
      <c r="T106" s="3">
        <f>IF(TIM!F103=TIM!F103,TIM!F103,"")</f>
        <v>0</v>
      </c>
      <c r="U106" s="18">
        <f>ASSETs!X103</f>
        <v>0</v>
      </c>
      <c r="V106" t="str">
        <f>ASSETs!$AA$2</f>
        <v>Phuket</v>
      </c>
      <c r="W106" s="3">
        <f>ASSETs!$AB$2</f>
        <v>99</v>
      </c>
      <c r="X106" s="6" t="str">
        <f>ASSETs!AN103</f>
        <v>/0/543</v>
      </c>
      <c r="Y106" t="str">
        <f>ASSETs!$AF$2</f>
        <v>12.00</v>
      </c>
      <c r="Z106" s="18">
        <v>1</v>
      </c>
    </row>
    <row r="107" spans="1:27" ht="15">
      <c r="A107" s="16">
        <f>ROWS($A$5:B107:C107)</f>
        <v>103</v>
      </c>
      <c r="B107" s="16" t="str">
        <f>ASSETs!AU104</f>
        <v>/0/543</v>
      </c>
      <c r="C107" s="26" t="s">
        <v>309</v>
      </c>
      <c r="D107">
        <f>IF(TIM!Q104=TIM!Q104,TIM!Q104,"")</f>
        <v>0</v>
      </c>
      <c r="I107" t="str">
        <f>IFERROR(VLOOKUP(TIM!E104,ASSETs!$AA$6:$AB$7,2,FALSE),"")</f>
        <v/>
      </c>
      <c r="J107" s="2">
        <f>(IF(TIM!B104=TIM!B104,TIM!B104,""))</f>
        <v>0</v>
      </c>
      <c r="L107">
        <f>IF(TIM!C104=TIM!C104,TIM!C104,"")</f>
        <v>0</v>
      </c>
      <c r="M107" t="str">
        <f>ASSETs!W104</f>
        <v/>
      </c>
      <c r="N107" s="18"/>
      <c r="O107">
        <f>IF(TIM!G104=TIM!G104,TIM!G104,"")</f>
        <v>0</v>
      </c>
      <c r="P107" s="18"/>
      <c r="Q107" t="str">
        <f>ASSETs!$AD$2</f>
        <v>Phang-nga</v>
      </c>
      <c r="R107">
        <f>ASSETs!$AE$2</f>
        <v>99</v>
      </c>
      <c r="S107" s="11">
        <v>146</v>
      </c>
      <c r="T107" s="3">
        <f>IF(TIM!F104=TIM!F104,TIM!F104,"")</f>
        <v>0</v>
      </c>
      <c r="U107" s="18">
        <f>ASSETs!X104</f>
        <v>0</v>
      </c>
      <c r="V107" t="str">
        <f>ASSETs!$AA$2</f>
        <v>Phuket</v>
      </c>
      <c r="W107" s="3">
        <f>ASSETs!$AB$2</f>
        <v>99</v>
      </c>
      <c r="X107" s="6" t="str">
        <f>ASSETs!AN104</f>
        <v>/0/543</v>
      </c>
      <c r="Y107" t="str">
        <f>ASSETs!$AF$2</f>
        <v>12.00</v>
      </c>
      <c r="Z107" s="18">
        <v>1</v>
      </c>
    </row>
    <row r="108" spans="1:27" ht="15">
      <c r="A108" s="16">
        <f>ROWS($A$5:B108:C108)</f>
        <v>104</v>
      </c>
      <c r="B108" s="16" t="str">
        <f>ASSETs!AU105</f>
        <v>/0/543</v>
      </c>
      <c r="C108" s="26" t="s">
        <v>309</v>
      </c>
      <c r="D108">
        <f>IF(TIM!Q105=TIM!Q105,TIM!Q105,"")</f>
        <v>0</v>
      </c>
      <c r="I108" t="str">
        <f>IFERROR(VLOOKUP(TIM!E105,ASSETs!$AA$6:$AB$7,2,FALSE),"")</f>
        <v/>
      </c>
      <c r="J108" s="2">
        <f>(IF(TIM!B105=TIM!B105,TIM!B105,""))</f>
        <v>0</v>
      </c>
      <c r="L108">
        <f>IF(TIM!C105=TIM!C105,TIM!C105,"")</f>
        <v>0</v>
      </c>
      <c r="M108" t="str">
        <f>ASSETs!W105</f>
        <v/>
      </c>
      <c r="N108" s="18"/>
      <c r="O108">
        <f>IF(TIM!G105=TIM!G105,TIM!G105,"")</f>
        <v>0</v>
      </c>
      <c r="P108" s="18"/>
      <c r="Q108" t="str">
        <f>ASSETs!$AD$2</f>
        <v>Phang-nga</v>
      </c>
      <c r="R108">
        <f>ASSETs!$AE$2</f>
        <v>99</v>
      </c>
      <c r="S108" s="11">
        <v>146</v>
      </c>
      <c r="T108" s="3">
        <f>IF(TIM!F105=TIM!F105,TIM!F105,"")</f>
        <v>0</v>
      </c>
      <c r="U108" s="18">
        <f>ASSETs!X105</f>
        <v>0</v>
      </c>
      <c r="V108" t="str">
        <f>ASSETs!$AA$2</f>
        <v>Phuket</v>
      </c>
      <c r="W108" s="3">
        <f>ASSETs!$AB$2</f>
        <v>99</v>
      </c>
      <c r="X108" s="6" t="str">
        <f>ASSETs!AN105</f>
        <v>/0/543</v>
      </c>
      <c r="Y108" t="str">
        <f>ASSETs!$AF$2</f>
        <v>12.00</v>
      </c>
      <c r="Z108" s="18">
        <v>1</v>
      </c>
    </row>
    <row r="109" spans="1:27" ht="15">
      <c r="A109" s="16">
        <f>ROWS($A$5:B109:C109)</f>
        <v>105</v>
      </c>
      <c r="B109" s="16" t="str">
        <f>ASSETs!AU106</f>
        <v>/0/543</v>
      </c>
      <c r="C109" s="26" t="s">
        <v>309</v>
      </c>
      <c r="D109">
        <f>IF(TIM!Q106=TIM!Q106,TIM!Q106,"")</f>
        <v>0</v>
      </c>
      <c r="G109" s="18"/>
      <c r="I109" t="str">
        <f>IFERROR(VLOOKUP(TIM!E106,ASSETs!$AA$6:$AB$7,2,FALSE),"")</f>
        <v/>
      </c>
      <c r="J109" s="2">
        <f>(IF(TIM!B106=TIM!B106,TIM!B106,""))</f>
        <v>0</v>
      </c>
      <c r="K109" s="18"/>
      <c r="L109">
        <f>IF(TIM!C106=TIM!C106,TIM!C106,"")</f>
        <v>0</v>
      </c>
      <c r="M109" t="str">
        <f>ASSETs!W106</f>
        <v/>
      </c>
      <c r="N109" s="18"/>
      <c r="O109">
        <f>IF(TIM!G106=TIM!G106,TIM!G106,"")</f>
        <v>0</v>
      </c>
      <c r="P109" s="18"/>
      <c r="Q109" t="str">
        <f>ASSETs!$AD$2</f>
        <v>Phang-nga</v>
      </c>
      <c r="R109">
        <f>ASSETs!$AE$2</f>
        <v>99</v>
      </c>
      <c r="S109" s="11">
        <v>146</v>
      </c>
      <c r="T109" s="3">
        <f>IF(TIM!F106=TIM!F106,TIM!F106,"")</f>
        <v>0</v>
      </c>
      <c r="U109" s="18">
        <f>ASSETs!X106</f>
        <v>0</v>
      </c>
      <c r="V109" t="str">
        <f>ASSETs!$AA$2</f>
        <v>Phuket</v>
      </c>
      <c r="W109" s="3">
        <f>ASSETs!$AB$2</f>
        <v>99</v>
      </c>
      <c r="X109" s="6" t="str">
        <f>ASSETs!AN106</f>
        <v>/0/543</v>
      </c>
      <c r="Y109" t="str">
        <f>ASSETs!$AF$2</f>
        <v>12.00</v>
      </c>
      <c r="Z109" s="18">
        <v>1</v>
      </c>
      <c r="AA109" s="18"/>
    </row>
    <row r="110" spans="1:27" ht="15">
      <c r="A110" s="16">
        <f>ROWS($A$5:B110:C110)</f>
        <v>106</v>
      </c>
      <c r="B110" s="16" t="str">
        <f>ASSETs!AU107</f>
        <v>/0/543</v>
      </c>
      <c r="C110" s="26" t="s">
        <v>309</v>
      </c>
      <c r="D110">
        <f>IF(TIM!Q107=TIM!Q107,TIM!Q107,"")</f>
        <v>0</v>
      </c>
      <c r="E110" s="18"/>
      <c r="F110" s="18"/>
      <c r="G110" s="18"/>
      <c r="H110" s="18"/>
      <c r="I110" t="str">
        <f>IFERROR(VLOOKUP(TIM!E107,ASSETs!$AA$6:$AB$7,2,FALSE),"")</f>
        <v/>
      </c>
      <c r="J110" s="2">
        <f>(IF(TIM!B107=TIM!B107,TIM!B107,""))</f>
        <v>0</v>
      </c>
      <c r="K110" s="18"/>
      <c r="L110">
        <f>IF(TIM!C107=TIM!C107,TIM!C107,"")</f>
        <v>0</v>
      </c>
      <c r="M110" t="str">
        <f>ASSETs!W107</f>
        <v/>
      </c>
      <c r="N110" s="27"/>
      <c r="O110">
        <f>IF(TIM!G107=TIM!G107,TIM!G107,"")</f>
        <v>0</v>
      </c>
      <c r="P110" s="18"/>
      <c r="Q110" t="str">
        <f>ASSETs!$AD$2</f>
        <v>Phang-nga</v>
      </c>
      <c r="R110">
        <f>ASSETs!$AE$2</f>
        <v>99</v>
      </c>
      <c r="S110" s="11">
        <v>146</v>
      </c>
      <c r="T110" s="3">
        <f>IF(TIM!F107=TIM!F107,TIM!F107,"")</f>
        <v>0</v>
      </c>
      <c r="U110" s="18">
        <f>ASSETs!X107</f>
        <v>0</v>
      </c>
      <c r="V110" t="str">
        <f>ASSETs!$AA$2</f>
        <v>Phuket</v>
      </c>
      <c r="W110" s="3">
        <f>ASSETs!$AB$2</f>
        <v>99</v>
      </c>
      <c r="X110" s="6" t="str">
        <f>ASSETs!AN107</f>
        <v>/0/543</v>
      </c>
      <c r="Y110" t="str">
        <f>ASSETs!$AF$2</f>
        <v>12.00</v>
      </c>
      <c r="Z110" s="18">
        <v>1</v>
      </c>
    </row>
    <row r="111" spans="1:27" ht="15">
      <c r="A111" s="16">
        <f>ROWS($A$5:B111:C111)</f>
        <v>107</v>
      </c>
      <c r="B111" s="16" t="str">
        <f>ASSETs!AU108</f>
        <v>/0/543</v>
      </c>
      <c r="C111" s="26" t="s">
        <v>309</v>
      </c>
      <c r="D111">
        <f>IF(TIM!Q108=TIM!Q108,TIM!Q108,"")</f>
        <v>0</v>
      </c>
      <c r="E111" s="18"/>
      <c r="F111" s="18"/>
      <c r="G111" s="18"/>
      <c r="H111" s="18"/>
      <c r="I111" t="str">
        <f>IFERROR(VLOOKUP(TIM!E108,ASSETs!$AA$6:$AB$7,2,FALSE),"")</f>
        <v/>
      </c>
      <c r="J111" s="2">
        <f>(IF(TIM!B108=TIM!B108,TIM!B108,""))</f>
        <v>0</v>
      </c>
      <c r="K111" s="18"/>
      <c r="L111">
        <f>IF(TIM!C108=TIM!C108,TIM!C108,"")</f>
        <v>0</v>
      </c>
      <c r="M111" t="str">
        <f>ASSETs!W108</f>
        <v/>
      </c>
      <c r="N111" s="27"/>
      <c r="O111">
        <f>IF(TIM!G108=TIM!G108,TIM!G108,"")</f>
        <v>0</v>
      </c>
      <c r="P111" s="18"/>
      <c r="Q111" t="str">
        <f>ASSETs!$AD$2</f>
        <v>Phang-nga</v>
      </c>
      <c r="R111">
        <f>ASSETs!$AE$2</f>
        <v>99</v>
      </c>
      <c r="S111" s="11">
        <v>146</v>
      </c>
      <c r="T111" s="3">
        <f>IF(TIM!F108=TIM!F108,TIM!F108,"")</f>
        <v>0</v>
      </c>
      <c r="U111" s="18">
        <f>ASSETs!X108</f>
        <v>0</v>
      </c>
      <c r="V111" t="str">
        <f>ASSETs!$AA$2</f>
        <v>Phuket</v>
      </c>
      <c r="W111" s="3">
        <f>ASSETs!$AB$2</f>
        <v>99</v>
      </c>
      <c r="X111" s="6" t="str">
        <f>ASSETs!AN108</f>
        <v>/0/543</v>
      </c>
      <c r="Y111" t="str">
        <f>ASSETs!$AF$2</f>
        <v>12.00</v>
      </c>
      <c r="Z111" s="18">
        <v>1</v>
      </c>
    </row>
    <row r="112" spans="1:27" ht="15">
      <c r="A112" s="16">
        <f>ROWS($A$5:B112:C112)</f>
        <v>108</v>
      </c>
      <c r="B112" s="16" t="str">
        <f>ASSETs!AU109</f>
        <v>/0/543</v>
      </c>
      <c r="C112" s="26" t="s">
        <v>309</v>
      </c>
      <c r="D112">
        <f>IF(TIM!Q109=TIM!Q109,TIM!Q109,"")</f>
        <v>0</v>
      </c>
      <c r="I112" t="str">
        <f>IFERROR(VLOOKUP(TIM!E109,ASSETs!$AA$6:$AB$7,2,FALSE),"")</f>
        <v/>
      </c>
      <c r="J112" s="2">
        <f>(IF(TIM!B109=TIM!B109,TIM!B109,""))</f>
        <v>0</v>
      </c>
      <c r="L112">
        <f>IF(TIM!C109=TIM!C109,TIM!C109,"")</f>
        <v>0</v>
      </c>
      <c r="M112" t="str">
        <f>ASSETs!W109</f>
        <v/>
      </c>
      <c r="N112" s="18"/>
      <c r="O112">
        <f>IF(TIM!G109=TIM!G109,TIM!G109,"")</f>
        <v>0</v>
      </c>
      <c r="P112" s="18"/>
      <c r="Q112" t="str">
        <f>ASSETs!$AD$2</f>
        <v>Phang-nga</v>
      </c>
      <c r="R112">
        <f>ASSETs!$AE$2</f>
        <v>99</v>
      </c>
      <c r="S112" s="11">
        <v>146</v>
      </c>
      <c r="T112" s="3">
        <f>IF(TIM!F109=TIM!F109,TIM!F109,"")</f>
        <v>0</v>
      </c>
      <c r="U112" s="18">
        <f>ASSETs!X109</f>
        <v>0</v>
      </c>
      <c r="V112" t="str">
        <f>ASSETs!$AA$2</f>
        <v>Phuket</v>
      </c>
      <c r="W112" s="3">
        <f>ASSETs!$AB$2</f>
        <v>99</v>
      </c>
      <c r="X112" s="6" t="str">
        <f>ASSETs!AN109</f>
        <v>/0/543</v>
      </c>
      <c r="Y112" t="str">
        <f>ASSETs!$AF$2</f>
        <v>12.00</v>
      </c>
      <c r="Z112" s="18">
        <v>1</v>
      </c>
    </row>
    <row r="113" spans="1:27" ht="15">
      <c r="A113" s="16">
        <f>ROWS($A$5:B113:C113)</f>
        <v>109</v>
      </c>
      <c r="B113" s="16" t="str">
        <f>ASSETs!AU110</f>
        <v>/0/543</v>
      </c>
      <c r="C113" s="26" t="s">
        <v>309</v>
      </c>
      <c r="D113">
        <f>IF(TIM!Q110=TIM!Q110,TIM!Q110,"")</f>
        <v>0</v>
      </c>
      <c r="G113" s="18"/>
      <c r="I113" t="str">
        <f>IFERROR(VLOOKUP(TIM!E110,ASSETs!$AA$6:$AB$7,2,FALSE),"")</f>
        <v/>
      </c>
      <c r="J113" s="2">
        <f>(IF(TIM!B110=TIM!B110,TIM!B110,""))</f>
        <v>0</v>
      </c>
      <c r="K113" s="18"/>
      <c r="L113">
        <f>IF(TIM!C110=TIM!C110,TIM!C110,"")</f>
        <v>0</v>
      </c>
      <c r="M113" t="str">
        <f>ASSETs!W110</f>
        <v/>
      </c>
      <c r="N113" s="18"/>
      <c r="O113">
        <f>IF(TIM!G110=TIM!G110,TIM!G110,"")</f>
        <v>0</v>
      </c>
      <c r="P113" s="18"/>
      <c r="Q113" t="str">
        <f>ASSETs!$AD$2</f>
        <v>Phang-nga</v>
      </c>
      <c r="R113">
        <f>ASSETs!$AE$2</f>
        <v>99</v>
      </c>
      <c r="S113" s="11">
        <v>146</v>
      </c>
      <c r="T113" s="3">
        <f>IF(TIM!F110=TIM!F110,TIM!F110,"")</f>
        <v>0</v>
      </c>
      <c r="U113" s="18">
        <f>ASSETs!X110</f>
        <v>0</v>
      </c>
      <c r="V113" t="str">
        <f>ASSETs!$AA$2</f>
        <v>Phuket</v>
      </c>
      <c r="W113" s="3">
        <f>ASSETs!$AB$2</f>
        <v>99</v>
      </c>
      <c r="X113" s="6" t="str">
        <f>ASSETs!AN110</f>
        <v>/0/543</v>
      </c>
      <c r="Y113" t="str">
        <f>ASSETs!$AF$2</f>
        <v>12.00</v>
      </c>
      <c r="Z113" s="18">
        <v>1</v>
      </c>
      <c r="AA113" s="18"/>
    </row>
    <row r="114" spans="1:27" ht="15">
      <c r="A114" s="16">
        <f>ROWS($A$5:B114:C114)</f>
        <v>110</v>
      </c>
      <c r="B114" s="16" t="str">
        <f>ASSETs!AU111</f>
        <v>/0/543</v>
      </c>
      <c r="C114" s="26" t="s">
        <v>309</v>
      </c>
      <c r="D114">
        <f>IF(TIM!Q111=TIM!Q111,TIM!Q111,"")</f>
        <v>0</v>
      </c>
      <c r="I114" t="str">
        <f>IFERROR(VLOOKUP(TIM!E111,ASSETs!$AA$6:$AB$7,2,FALSE),"")</f>
        <v/>
      </c>
      <c r="J114" s="2">
        <f>(IF(TIM!B111=TIM!B111,TIM!B111,""))</f>
        <v>0</v>
      </c>
      <c r="L114">
        <f>IF(TIM!C111=TIM!C111,TIM!C111,"")</f>
        <v>0</v>
      </c>
      <c r="M114" t="str">
        <f>ASSETs!W111</f>
        <v/>
      </c>
      <c r="N114" s="18"/>
      <c r="O114">
        <f>IF(TIM!G111=TIM!G111,TIM!G111,"")</f>
        <v>0</v>
      </c>
      <c r="P114" s="18"/>
      <c r="Q114" t="str">
        <f>ASSETs!$AD$2</f>
        <v>Phang-nga</v>
      </c>
      <c r="R114">
        <f>ASSETs!$AE$2</f>
        <v>99</v>
      </c>
      <c r="S114" s="11">
        <v>146</v>
      </c>
      <c r="T114" s="3">
        <f>IF(TIM!F111=TIM!F111,TIM!F111,"")</f>
        <v>0</v>
      </c>
      <c r="U114" s="18">
        <f>ASSETs!X111</f>
        <v>0</v>
      </c>
      <c r="V114" t="str">
        <f>ASSETs!$AA$2</f>
        <v>Phuket</v>
      </c>
      <c r="W114" s="3">
        <f>ASSETs!$AB$2</f>
        <v>99</v>
      </c>
      <c r="X114" s="6" t="str">
        <f>ASSETs!AN111</f>
        <v>/0/543</v>
      </c>
      <c r="Y114" t="str">
        <f>ASSETs!$AF$2</f>
        <v>12.00</v>
      </c>
      <c r="Z114" s="18">
        <v>1</v>
      </c>
    </row>
    <row r="115" spans="1:27" ht="15">
      <c r="A115" s="16">
        <f>ROWS($A$5:B115:C115)</f>
        <v>111</v>
      </c>
      <c r="B115" s="16" t="str">
        <f>ASSETs!AU112</f>
        <v>/0/543</v>
      </c>
      <c r="C115" s="26" t="s">
        <v>309</v>
      </c>
      <c r="D115">
        <f>IF(TIM!Q112=TIM!Q112,TIM!Q112,"")</f>
        <v>0</v>
      </c>
      <c r="I115" t="str">
        <f>IFERROR(VLOOKUP(TIM!E112,ASSETs!$AA$6:$AB$7,2,FALSE),"")</f>
        <v/>
      </c>
      <c r="J115" s="2">
        <f>(IF(TIM!B112=TIM!B112,TIM!B112,""))</f>
        <v>0</v>
      </c>
      <c r="L115">
        <f>IF(TIM!C112=TIM!C112,TIM!C112,"")</f>
        <v>0</v>
      </c>
      <c r="M115" t="str">
        <f>ASSETs!W112</f>
        <v/>
      </c>
      <c r="N115" s="18"/>
      <c r="O115">
        <f>IF(TIM!G112=TIM!G112,TIM!G112,"")</f>
        <v>0</v>
      </c>
      <c r="P115" s="18"/>
      <c r="Q115" t="str">
        <f>ASSETs!$AD$2</f>
        <v>Phang-nga</v>
      </c>
      <c r="R115">
        <f>ASSETs!$AE$2</f>
        <v>99</v>
      </c>
      <c r="S115" s="11">
        <v>146</v>
      </c>
      <c r="T115" s="3">
        <f>IF(TIM!F112=TIM!F112,TIM!F112,"")</f>
        <v>0</v>
      </c>
      <c r="U115" s="18">
        <f>ASSETs!X112</f>
        <v>0</v>
      </c>
      <c r="V115" t="str">
        <f>ASSETs!$AA$2</f>
        <v>Phuket</v>
      </c>
      <c r="W115" s="3">
        <f>ASSETs!$AB$2</f>
        <v>99</v>
      </c>
      <c r="X115" s="6" t="str">
        <f>ASSETs!AN112</f>
        <v>/0/543</v>
      </c>
      <c r="Y115" t="str">
        <f>ASSETs!$AF$2</f>
        <v>12.00</v>
      </c>
      <c r="Z115" s="18">
        <v>1</v>
      </c>
    </row>
    <row r="116" spans="1:27" ht="15">
      <c r="A116" s="16">
        <f>ROWS($A$5:B116:C116)</f>
        <v>112</v>
      </c>
      <c r="B116" s="16" t="str">
        <f>ASSETs!AU113</f>
        <v>/0/543</v>
      </c>
      <c r="C116" s="26" t="s">
        <v>309</v>
      </c>
      <c r="D116">
        <f>IF(TIM!Q113=TIM!Q113,TIM!Q113,"")</f>
        <v>0</v>
      </c>
      <c r="I116" t="str">
        <f>IFERROR(VLOOKUP(TIM!E113,ASSETs!$AA$6:$AB$7,2,FALSE),"")</f>
        <v/>
      </c>
      <c r="J116" s="2">
        <f>(IF(TIM!B113=TIM!B113,TIM!B113,""))</f>
        <v>0</v>
      </c>
      <c r="L116">
        <f>IF(TIM!C113=TIM!C113,TIM!C113,"")</f>
        <v>0</v>
      </c>
      <c r="M116" t="str">
        <f>ASSETs!W113</f>
        <v/>
      </c>
      <c r="N116" s="18"/>
      <c r="O116">
        <f>IF(TIM!G113=TIM!G113,TIM!G113,"")</f>
        <v>0</v>
      </c>
      <c r="P116" s="18"/>
      <c r="Q116" t="str">
        <f>ASSETs!$AD$2</f>
        <v>Phang-nga</v>
      </c>
      <c r="R116">
        <f>ASSETs!$AE$2</f>
        <v>99</v>
      </c>
      <c r="S116" s="11">
        <v>146</v>
      </c>
      <c r="T116" s="3">
        <f>IF(TIM!F113=TIM!F113,TIM!F113,"")</f>
        <v>0</v>
      </c>
      <c r="U116" s="18">
        <f>ASSETs!X113</f>
        <v>0</v>
      </c>
      <c r="V116" t="str">
        <f>ASSETs!$AA$2</f>
        <v>Phuket</v>
      </c>
      <c r="W116" s="3">
        <f>ASSETs!$AB$2</f>
        <v>99</v>
      </c>
      <c r="X116" s="6" t="str">
        <f>ASSETs!AN113</f>
        <v>/0/543</v>
      </c>
      <c r="Y116" t="str">
        <f>ASSETs!$AF$2</f>
        <v>12.00</v>
      </c>
      <c r="Z116" s="18">
        <v>1</v>
      </c>
    </row>
    <row r="117" spans="1:27" ht="15">
      <c r="A117" s="16">
        <f>ROWS($A$5:B117:C117)</f>
        <v>113</v>
      </c>
      <c r="B117" s="16" t="str">
        <f>ASSETs!AU114</f>
        <v>/0/543</v>
      </c>
      <c r="C117" s="26" t="s">
        <v>309</v>
      </c>
      <c r="D117">
        <f>IF(TIM!Q114=TIM!Q114,TIM!Q114,"")</f>
        <v>0</v>
      </c>
      <c r="I117" t="str">
        <f>IFERROR(VLOOKUP(TIM!E114,ASSETs!$AA$6:$AB$7,2,FALSE),"")</f>
        <v/>
      </c>
      <c r="J117" s="2">
        <f>(IF(TIM!B114=TIM!B114,TIM!B114,""))</f>
        <v>0</v>
      </c>
      <c r="L117">
        <f>IF(TIM!C114=TIM!C114,TIM!C114,"")</f>
        <v>0</v>
      </c>
      <c r="M117" t="str">
        <f>ASSETs!W114</f>
        <v/>
      </c>
      <c r="N117" s="18"/>
      <c r="O117">
        <f>IF(TIM!G114=TIM!G114,TIM!G114,"")</f>
        <v>0</v>
      </c>
      <c r="P117" s="18"/>
      <c r="Q117" t="str">
        <f>ASSETs!$AD$2</f>
        <v>Phang-nga</v>
      </c>
      <c r="R117">
        <f>ASSETs!$AE$2</f>
        <v>99</v>
      </c>
      <c r="S117" s="11">
        <v>146</v>
      </c>
      <c r="T117" s="3">
        <f>IF(TIM!F114=TIM!F114,TIM!F114,"")</f>
        <v>0</v>
      </c>
      <c r="U117" s="18">
        <f>ASSETs!X114</f>
        <v>0</v>
      </c>
      <c r="V117" t="str">
        <f>ASSETs!$AA$2</f>
        <v>Phuket</v>
      </c>
      <c r="W117" s="3">
        <f>ASSETs!$AB$2</f>
        <v>99</v>
      </c>
      <c r="X117" s="6" t="str">
        <f>ASSETs!AN114</f>
        <v>/0/543</v>
      </c>
      <c r="Y117" t="str">
        <f>ASSETs!$AF$2</f>
        <v>12.00</v>
      </c>
      <c r="Z117" s="18">
        <v>1</v>
      </c>
    </row>
    <row r="118" spans="1:27" ht="15">
      <c r="A118" s="16">
        <f>ROWS($A$5:B118:C118)</f>
        <v>114</v>
      </c>
      <c r="B118" s="16" t="str">
        <f>ASSETs!AU115</f>
        <v>/0/543</v>
      </c>
      <c r="C118" s="26" t="s">
        <v>309</v>
      </c>
      <c r="D118">
        <f>IF(TIM!Q115=TIM!Q115,TIM!Q115,"")</f>
        <v>0</v>
      </c>
      <c r="I118" t="str">
        <f>IFERROR(VLOOKUP(TIM!E115,ASSETs!$AA$6:$AB$7,2,FALSE),"")</f>
        <v/>
      </c>
      <c r="J118" s="2">
        <f>(IF(TIM!B115=TIM!B115,TIM!B115,""))</f>
        <v>0</v>
      </c>
      <c r="L118">
        <f>IF(TIM!C115=TIM!C115,TIM!C115,"")</f>
        <v>0</v>
      </c>
      <c r="M118" t="str">
        <f>ASSETs!W115</f>
        <v/>
      </c>
      <c r="N118" s="18"/>
      <c r="O118">
        <f>IF(TIM!G115=TIM!G115,TIM!G115,"")</f>
        <v>0</v>
      </c>
      <c r="P118" s="18"/>
      <c r="Q118" t="str">
        <f>ASSETs!$AD$2</f>
        <v>Phang-nga</v>
      </c>
      <c r="R118">
        <f>ASSETs!$AE$2</f>
        <v>99</v>
      </c>
      <c r="S118" s="11">
        <v>146</v>
      </c>
      <c r="T118" s="3">
        <f>IF(TIM!F115=TIM!F115,TIM!F115,"")</f>
        <v>0</v>
      </c>
      <c r="U118" s="18">
        <f>ASSETs!X115</f>
        <v>0</v>
      </c>
      <c r="V118" t="str">
        <f>ASSETs!$AA$2</f>
        <v>Phuket</v>
      </c>
      <c r="W118" s="3">
        <f>ASSETs!$AB$2</f>
        <v>99</v>
      </c>
      <c r="X118" s="6" t="str">
        <f>ASSETs!AN115</f>
        <v>/0/543</v>
      </c>
      <c r="Y118" t="str">
        <f>ASSETs!$AF$2</f>
        <v>12.00</v>
      </c>
      <c r="Z118" s="18">
        <v>1</v>
      </c>
    </row>
    <row r="119" spans="1:27" ht="15">
      <c r="A119" s="16">
        <f>ROWS($A$5:B119:C119)</f>
        <v>115</v>
      </c>
      <c r="B119" s="16" t="str">
        <f>ASSETs!AU116</f>
        <v>/0/543</v>
      </c>
      <c r="C119" s="26" t="s">
        <v>309</v>
      </c>
      <c r="D119">
        <f>IF(TIM!Q116=TIM!Q116,TIM!Q116,"")</f>
        <v>0</v>
      </c>
      <c r="I119" t="str">
        <f>IFERROR(VLOOKUP(TIM!E116,ASSETs!$AA$6:$AB$7,2,FALSE),"")</f>
        <v/>
      </c>
      <c r="J119" s="2">
        <f>(IF(TIM!B116=TIM!B116,TIM!B116,""))</f>
        <v>0</v>
      </c>
      <c r="L119">
        <f>IF(TIM!C116=TIM!C116,TIM!C116,"")</f>
        <v>0</v>
      </c>
      <c r="M119" t="str">
        <f>ASSETs!W116</f>
        <v/>
      </c>
      <c r="N119" s="18"/>
      <c r="O119">
        <f>IF(TIM!G116=TIM!G116,TIM!G116,"")</f>
        <v>0</v>
      </c>
      <c r="P119" s="18"/>
      <c r="Q119" t="str">
        <f>ASSETs!$AD$2</f>
        <v>Phang-nga</v>
      </c>
      <c r="R119">
        <f>ASSETs!$AE$2</f>
        <v>99</v>
      </c>
      <c r="S119" s="11">
        <v>146</v>
      </c>
      <c r="T119" s="3">
        <f>IF(TIM!F116=TIM!F116,TIM!F116,"")</f>
        <v>0</v>
      </c>
      <c r="U119" s="18">
        <f>ASSETs!X116</f>
        <v>0</v>
      </c>
      <c r="V119" t="str">
        <f>ASSETs!$AA$2</f>
        <v>Phuket</v>
      </c>
      <c r="W119" s="3">
        <f>ASSETs!$AB$2</f>
        <v>99</v>
      </c>
      <c r="X119" s="6" t="str">
        <f>ASSETs!AN116</f>
        <v>/0/543</v>
      </c>
      <c r="Y119" t="str">
        <f>ASSETs!$AF$2</f>
        <v>12.00</v>
      </c>
      <c r="Z119" s="18">
        <v>1</v>
      </c>
    </row>
    <row r="120" spans="1:27" ht="15">
      <c r="A120" s="16">
        <f>ROWS($A$5:B120:C120)</f>
        <v>116</v>
      </c>
      <c r="B120" s="16" t="str">
        <f>ASSETs!AU117</f>
        <v>/0/543</v>
      </c>
      <c r="C120" s="26" t="s">
        <v>309</v>
      </c>
      <c r="D120">
        <f>IF(TIM!Q117=TIM!Q117,TIM!Q117,"")</f>
        <v>0</v>
      </c>
      <c r="G120" s="18"/>
      <c r="I120" t="str">
        <f>IFERROR(VLOOKUP(TIM!E117,ASSETs!$AA$6:$AB$7,2,FALSE),"")</f>
        <v/>
      </c>
      <c r="J120" s="2">
        <f>(IF(TIM!B117=TIM!B117,TIM!B117,""))</f>
        <v>0</v>
      </c>
      <c r="K120" s="18"/>
      <c r="L120">
        <f>IF(TIM!C117=TIM!C117,TIM!C117,"")</f>
        <v>0</v>
      </c>
      <c r="M120" t="str">
        <f>ASSETs!W117</f>
        <v/>
      </c>
      <c r="N120" s="18"/>
      <c r="O120">
        <f>IF(TIM!G117=TIM!G117,TIM!G117,"")</f>
        <v>0</v>
      </c>
      <c r="P120" s="18"/>
      <c r="Q120" t="str">
        <f>ASSETs!$AD$2</f>
        <v>Phang-nga</v>
      </c>
      <c r="R120">
        <f>ASSETs!$AE$2</f>
        <v>99</v>
      </c>
      <c r="S120" s="11">
        <v>146</v>
      </c>
      <c r="T120" s="3">
        <f>IF(TIM!F117=TIM!F117,TIM!F117,"")</f>
        <v>0</v>
      </c>
      <c r="U120" s="18">
        <f>ASSETs!X117</f>
        <v>0</v>
      </c>
      <c r="V120" t="str">
        <f>ASSETs!$AA$2</f>
        <v>Phuket</v>
      </c>
      <c r="W120" s="3">
        <f>ASSETs!$AB$2</f>
        <v>99</v>
      </c>
      <c r="X120" s="6" t="str">
        <f>ASSETs!AN117</f>
        <v>/0/543</v>
      </c>
      <c r="Y120" t="str">
        <f>ASSETs!$AF$2</f>
        <v>12.00</v>
      </c>
      <c r="Z120" s="18">
        <v>1</v>
      </c>
      <c r="AA120" s="18"/>
    </row>
    <row r="121" spans="1:27" ht="15">
      <c r="A121" s="16">
        <f>ROWS($A$5:B121:C121)</f>
        <v>117</v>
      </c>
      <c r="B121" s="16" t="str">
        <f>ASSETs!AU118</f>
        <v>/0/543</v>
      </c>
      <c r="C121" s="26" t="s">
        <v>309</v>
      </c>
      <c r="D121">
        <f>IF(TIM!Q118=TIM!Q118,TIM!Q118,"")</f>
        <v>0</v>
      </c>
      <c r="I121" t="str">
        <f>IFERROR(VLOOKUP(TIM!E118,ASSETs!$AA$6:$AB$7,2,FALSE),"")</f>
        <v/>
      </c>
      <c r="J121" s="2">
        <f>(IF(TIM!B118=TIM!B118,TIM!B118,""))</f>
        <v>0</v>
      </c>
      <c r="L121">
        <f>IF(TIM!C118=TIM!C118,TIM!C118,"")</f>
        <v>0</v>
      </c>
      <c r="M121" t="str">
        <f>ASSETs!W118</f>
        <v/>
      </c>
      <c r="N121" s="18"/>
      <c r="O121">
        <f>IF(TIM!G118=TIM!G118,TIM!G118,"")</f>
        <v>0</v>
      </c>
      <c r="P121" s="18"/>
      <c r="Q121" t="str">
        <f>ASSETs!$AD$2</f>
        <v>Phang-nga</v>
      </c>
      <c r="R121">
        <f>ASSETs!$AE$2</f>
        <v>99</v>
      </c>
      <c r="S121" s="11">
        <v>146</v>
      </c>
      <c r="T121" s="3">
        <f>IF(TIM!F118=TIM!F118,TIM!F118,"")</f>
        <v>0</v>
      </c>
      <c r="U121" s="18">
        <f>ASSETs!X118</f>
        <v>0</v>
      </c>
      <c r="V121" t="str">
        <f>ASSETs!$AA$2</f>
        <v>Phuket</v>
      </c>
      <c r="W121" s="3">
        <f>ASSETs!$AB$2</f>
        <v>99</v>
      </c>
      <c r="X121" s="6" t="str">
        <f>ASSETs!AN118</f>
        <v>/0/543</v>
      </c>
      <c r="Y121" t="str">
        <f>ASSETs!$AF$2</f>
        <v>12.00</v>
      </c>
      <c r="Z121" s="18">
        <v>1</v>
      </c>
    </row>
    <row r="122" spans="1:27" ht="15">
      <c r="A122" s="16">
        <f>ROWS($A$5:B122:C122)</f>
        <v>118</v>
      </c>
      <c r="B122" s="16" t="str">
        <f>ASSETs!AU119</f>
        <v>/0/543</v>
      </c>
      <c r="C122" s="26" t="s">
        <v>309</v>
      </c>
      <c r="D122">
        <f>IF(TIM!Q119=TIM!Q119,TIM!Q119,"")</f>
        <v>0</v>
      </c>
      <c r="I122" t="str">
        <f>IFERROR(VLOOKUP(TIM!E119,ASSETs!$AA$6:$AB$7,2,FALSE),"")</f>
        <v/>
      </c>
      <c r="J122" s="2">
        <f>(IF(TIM!B119=TIM!B119,TIM!B119,""))</f>
        <v>0</v>
      </c>
      <c r="L122">
        <f>IF(TIM!C119=TIM!C119,TIM!C119,"")</f>
        <v>0</v>
      </c>
      <c r="M122" t="str">
        <f>ASSETs!W119</f>
        <v/>
      </c>
      <c r="N122" s="18"/>
      <c r="O122">
        <f>IF(TIM!G119=TIM!G119,TIM!G119,"")</f>
        <v>0</v>
      </c>
      <c r="P122" s="18"/>
      <c r="Q122" t="str">
        <f>ASSETs!$AD$2</f>
        <v>Phang-nga</v>
      </c>
      <c r="R122">
        <f>ASSETs!$AE$2</f>
        <v>99</v>
      </c>
      <c r="S122" s="11">
        <v>146</v>
      </c>
      <c r="T122" s="3">
        <f>IF(TIM!F119=TIM!F119,TIM!F119,"")</f>
        <v>0</v>
      </c>
      <c r="U122" s="18">
        <f>ASSETs!X119</f>
        <v>0</v>
      </c>
      <c r="V122" t="str">
        <f>ASSETs!$AA$2</f>
        <v>Phuket</v>
      </c>
      <c r="W122" s="3">
        <f>ASSETs!$AB$2</f>
        <v>99</v>
      </c>
      <c r="X122" s="6" t="str">
        <f>ASSETs!AN119</f>
        <v>/0/543</v>
      </c>
      <c r="Y122" t="str">
        <f>ASSETs!$AF$2</f>
        <v>12.00</v>
      </c>
      <c r="Z122" s="18">
        <v>1</v>
      </c>
    </row>
    <row r="123" spans="1:27" ht="15">
      <c r="A123" s="16">
        <f>ROWS($A$5:B123:C123)</f>
        <v>119</v>
      </c>
      <c r="B123" s="16" t="str">
        <f>ASSETs!AU120</f>
        <v>/0/543</v>
      </c>
      <c r="C123" s="26" t="s">
        <v>309</v>
      </c>
      <c r="D123">
        <f>IF(TIM!Q120=TIM!Q120,TIM!Q120,"")</f>
        <v>0</v>
      </c>
      <c r="I123" t="str">
        <f>IFERROR(VLOOKUP(TIM!E120,ASSETs!$AA$6:$AB$7,2,FALSE),"")</f>
        <v/>
      </c>
      <c r="J123" s="2">
        <f>(IF(TIM!B120=TIM!B120,TIM!B120,""))</f>
        <v>0</v>
      </c>
      <c r="L123">
        <f>IF(TIM!C120=TIM!C120,TIM!C120,"")</f>
        <v>0</v>
      </c>
      <c r="M123" t="str">
        <f>ASSETs!W120</f>
        <v/>
      </c>
      <c r="N123" s="18"/>
      <c r="O123">
        <f>IF(TIM!G120=TIM!G120,TIM!G120,"")</f>
        <v>0</v>
      </c>
      <c r="P123" s="18"/>
      <c r="Q123" t="str">
        <f>ASSETs!$AD$2</f>
        <v>Phang-nga</v>
      </c>
      <c r="R123">
        <f>ASSETs!$AE$2</f>
        <v>99</v>
      </c>
      <c r="S123" s="11">
        <v>146</v>
      </c>
      <c r="T123" s="3">
        <f>IF(TIM!F120=TIM!F120,TIM!F120,"")</f>
        <v>0</v>
      </c>
      <c r="U123" s="18">
        <f>ASSETs!X120</f>
        <v>0</v>
      </c>
      <c r="V123" t="str">
        <f>ASSETs!$AA$2</f>
        <v>Phuket</v>
      </c>
      <c r="W123" s="3">
        <f>ASSETs!$AB$2</f>
        <v>99</v>
      </c>
      <c r="X123" s="6" t="str">
        <f>ASSETs!AN120</f>
        <v>/0/543</v>
      </c>
      <c r="Y123" t="str">
        <f>ASSETs!$AF$2</f>
        <v>12.00</v>
      </c>
      <c r="Z123" s="18">
        <v>1</v>
      </c>
    </row>
    <row r="124" spans="1:27" ht="15">
      <c r="A124" s="16">
        <f>ROWS($A$5:B124:C124)</f>
        <v>120</v>
      </c>
      <c r="B124" s="16" t="str">
        <f>ASSETs!AU121</f>
        <v>/0/543</v>
      </c>
      <c r="C124" s="26" t="s">
        <v>309</v>
      </c>
      <c r="D124">
        <f>IF(TIM!Q121=TIM!Q121,TIM!Q121,"")</f>
        <v>0</v>
      </c>
      <c r="I124" t="str">
        <f>IFERROR(VLOOKUP(TIM!E121,ASSETs!$AA$6:$AB$7,2,FALSE),"")</f>
        <v/>
      </c>
      <c r="J124" s="2">
        <f>(IF(TIM!B121=TIM!B121,TIM!B121,""))</f>
        <v>0</v>
      </c>
      <c r="L124">
        <f>IF(TIM!C121=TIM!C121,TIM!C121,"")</f>
        <v>0</v>
      </c>
      <c r="M124" t="str">
        <f>ASSETs!W121</f>
        <v/>
      </c>
      <c r="N124" s="18"/>
      <c r="O124">
        <f>IF(TIM!G121=TIM!G121,TIM!G121,"")</f>
        <v>0</v>
      </c>
      <c r="P124" s="18"/>
      <c r="Q124" t="str">
        <f>ASSETs!$AD$2</f>
        <v>Phang-nga</v>
      </c>
      <c r="R124">
        <f>ASSETs!$AE$2</f>
        <v>99</v>
      </c>
      <c r="S124" s="11">
        <v>146</v>
      </c>
      <c r="T124" s="3">
        <f>IF(TIM!F121=TIM!F121,TIM!F121,"")</f>
        <v>0</v>
      </c>
      <c r="U124" s="18">
        <f>ASSETs!X121</f>
        <v>0</v>
      </c>
      <c r="V124" t="str">
        <f>ASSETs!$AA$2</f>
        <v>Phuket</v>
      </c>
      <c r="W124" s="3">
        <f>ASSETs!$AB$2</f>
        <v>99</v>
      </c>
      <c r="X124" s="6" t="str">
        <f>ASSETs!AN121</f>
        <v>/0/543</v>
      </c>
      <c r="Y124" t="str">
        <f>ASSETs!$AF$2</f>
        <v>12.00</v>
      </c>
      <c r="Z124" s="18">
        <v>1</v>
      </c>
    </row>
    <row r="125" spans="1:27" ht="15">
      <c r="A125" s="16">
        <f>ROWS($A$5:B125:C125)</f>
        <v>121</v>
      </c>
      <c r="B125" s="16" t="str">
        <f>ASSETs!AU122</f>
        <v>/0/543</v>
      </c>
      <c r="C125" s="26" t="s">
        <v>309</v>
      </c>
      <c r="D125">
        <f>IF(TIM!Q122=TIM!Q122,TIM!Q122,"")</f>
        <v>0</v>
      </c>
      <c r="G125" s="18"/>
      <c r="I125" t="str">
        <f>IFERROR(VLOOKUP(TIM!E122,ASSETs!$AA$6:$AB$7,2,FALSE),"")</f>
        <v/>
      </c>
      <c r="J125" s="2">
        <f>(IF(TIM!B122=TIM!B122,TIM!B122,""))</f>
        <v>0</v>
      </c>
      <c r="K125" s="18"/>
      <c r="L125">
        <f>IF(TIM!C122=TIM!C122,TIM!C122,"")</f>
        <v>0</v>
      </c>
      <c r="M125" t="str">
        <f>ASSETs!W122</f>
        <v/>
      </c>
      <c r="N125" s="18"/>
      <c r="O125">
        <f>IF(TIM!G122=TIM!G122,TIM!G122,"")</f>
        <v>0</v>
      </c>
      <c r="P125" s="18"/>
      <c r="Q125" t="str">
        <f>ASSETs!$AD$2</f>
        <v>Phang-nga</v>
      </c>
      <c r="R125">
        <f>ASSETs!$AE$2</f>
        <v>99</v>
      </c>
      <c r="S125" s="11">
        <v>146</v>
      </c>
      <c r="T125" s="3">
        <f>IF(TIM!F122=TIM!F122,TIM!F122,"")</f>
        <v>0</v>
      </c>
      <c r="U125" s="18">
        <f>ASSETs!X122</f>
        <v>0</v>
      </c>
      <c r="V125" t="str">
        <f>ASSETs!$AA$2</f>
        <v>Phuket</v>
      </c>
      <c r="W125" s="3">
        <f>ASSETs!$AB$2</f>
        <v>99</v>
      </c>
      <c r="X125" s="6" t="str">
        <f>ASSETs!AN122</f>
        <v>/0/543</v>
      </c>
      <c r="Y125" t="str">
        <f>ASSETs!$AF$2</f>
        <v>12.00</v>
      </c>
      <c r="Z125" s="18">
        <v>1</v>
      </c>
      <c r="AA125" s="18"/>
    </row>
    <row r="126" spans="1:27" ht="15">
      <c r="A126" s="16">
        <f>ROWS($A$5:B126:C126)</f>
        <v>122</v>
      </c>
      <c r="B126" s="16" t="str">
        <f>ASSETs!AU123</f>
        <v>/0/543</v>
      </c>
      <c r="C126" s="26" t="s">
        <v>309</v>
      </c>
      <c r="D126">
        <f>IF(TIM!Q123=TIM!Q123,TIM!Q123,"")</f>
        <v>0</v>
      </c>
      <c r="I126" t="str">
        <f>IFERROR(VLOOKUP(TIM!E123,ASSETs!$AA$6:$AB$7,2,FALSE),"")</f>
        <v/>
      </c>
      <c r="J126" s="2">
        <f>(IF(TIM!B123=TIM!B123,TIM!B123,""))</f>
        <v>0</v>
      </c>
      <c r="L126">
        <f>IF(TIM!C123=TIM!C123,TIM!C123,"")</f>
        <v>0</v>
      </c>
      <c r="M126" t="str">
        <f>ASSETs!W123</f>
        <v/>
      </c>
      <c r="N126" s="18"/>
      <c r="O126">
        <f>IF(TIM!G123=TIM!G123,TIM!G123,"")</f>
        <v>0</v>
      </c>
      <c r="P126" s="18"/>
      <c r="Q126" t="str">
        <f>ASSETs!$AD$2</f>
        <v>Phang-nga</v>
      </c>
      <c r="R126">
        <f>ASSETs!$AE$2</f>
        <v>99</v>
      </c>
      <c r="S126" s="11">
        <v>146</v>
      </c>
      <c r="T126" s="3">
        <f>IF(TIM!F123=TIM!F123,TIM!F123,"")</f>
        <v>0</v>
      </c>
      <c r="U126" s="18">
        <f>ASSETs!X123</f>
        <v>0</v>
      </c>
      <c r="V126" t="str">
        <f>ASSETs!$AA$2</f>
        <v>Phuket</v>
      </c>
      <c r="W126" s="3">
        <f>ASSETs!$AB$2</f>
        <v>99</v>
      </c>
      <c r="X126" s="6" t="str">
        <f>ASSETs!AN123</f>
        <v>/0/543</v>
      </c>
      <c r="Y126" t="str">
        <f>ASSETs!$AF$2</f>
        <v>12.00</v>
      </c>
      <c r="Z126" s="18">
        <v>1</v>
      </c>
    </row>
    <row r="127" spans="1:27" ht="15">
      <c r="A127" s="16">
        <f>ROWS($A$5:B127:C127)</f>
        <v>123</v>
      </c>
      <c r="B127" s="16" t="str">
        <f>ASSETs!AU124</f>
        <v>/0/543</v>
      </c>
      <c r="C127" s="26" t="s">
        <v>309</v>
      </c>
      <c r="D127">
        <f>IF(TIM!Q124=TIM!Q124,TIM!Q124,"")</f>
        <v>0</v>
      </c>
      <c r="G127" s="18"/>
      <c r="I127" t="str">
        <f>IFERROR(VLOOKUP(TIM!E124,ASSETs!$AA$6:$AB$7,2,FALSE),"")</f>
        <v/>
      </c>
      <c r="J127" s="2">
        <f>(IF(TIM!B124=TIM!B124,TIM!B124,""))</f>
        <v>0</v>
      </c>
      <c r="K127" s="18"/>
      <c r="L127">
        <f>IF(TIM!C124=TIM!C124,TIM!C124,"")</f>
        <v>0</v>
      </c>
      <c r="M127" t="str">
        <f>ASSETs!W124</f>
        <v/>
      </c>
      <c r="N127" s="18"/>
      <c r="O127">
        <f>IF(TIM!G124=TIM!G124,TIM!G124,"")</f>
        <v>0</v>
      </c>
      <c r="P127" s="18"/>
      <c r="Q127" t="str">
        <f>ASSETs!$AD$2</f>
        <v>Phang-nga</v>
      </c>
      <c r="R127">
        <f>ASSETs!$AE$2</f>
        <v>99</v>
      </c>
      <c r="S127" s="11">
        <v>146</v>
      </c>
      <c r="T127" s="3">
        <f>IF(TIM!F124=TIM!F124,TIM!F124,"")</f>
        <v>0</v>
      </c>
      <c r="U127" s="18">
        <f>ASSETs!X124</f>
        <v>0</v>
      </c>
      <c r="V127" t="str">
        <f>ASSETs!$AA$2</f>
        <v>Phuket</v>
      </c>
      <c r="W127" s="3">
        <f>ASSETs!$AB$2</f>
        <v>99</v>
      </c>
      <c r="X127" s="6" t="str">
        <f>ASSETs!AN124</f>
        <v>/0/543</v>
      </c>
      <c r="Y127" t="str">
        <f>ASSETs!$AF$2</f>
        <v>12.00</v>
      </c>
      <c r="Z127" s="18">
        <v>1</v>
      </c>
      <c r="AA127" s="18"/>
    </row>
    <row r="128" spans="1:27" ht="15">
      <c r="A128" s="16">
        <f>ROWS($A$5:B128:C128)</f>
        <v>124</v>
      </c>
      <c r="B128" s="16" t="str">
        <f>ASSETs!AU125</f>
        <v>/0/543</v>
      </c>
      <c r="C128" s="26" t="s">
        <v>309</v>
      </c>
      <c r="D128">
        <f>IF(TIM!Q125=TIM!Q125,TIM!Q125,"")</f>
        <v>0</v>
      </c>
      <c r="G128" s="18"/>
      <c r="I128" t="str">
        <f>IFERROR(VLOOKUP(TIM!E125,ASSETs!$AA$6:$AB$7,2,FALSE),"")</f>
        <v/>
      </c>
      <c r="J128" s="2">
        <f>(IF(TIM!B125=TIM!B125,TIM!B125,""))</f>
        <v>0</v>
      </c>
      <c r="K128" s="18"/>
      <c r="L128">
        <f>IF(TIM!C125=TIM!C125,TIM!C125,"")</f>
        <v>0</v>
      </c>
      <c r="M128" t="str">
        <f>ASSETs!W125</f>
        <v/>
      </c>
      <c r="N128" s="18"/>
      <c r="O128">
        <f>IF(TIM!G125=TIM!G125,TIM!G125,"")</f>
        <v>0</v>
      </c>
      <c r="P128" s="18"/>
      <c r="Q128" t="str">
        <f>ASSETs!$AD$2</f>
        <v>Phang-nga</v>
      </c>
      <c r="R128">
        <f>ASSETs!$AE$2</f>
        <v>99</v>
      </c>
      <c r="S128" s="11">
        <v>146</v>
      </c>
      <c r="T128" s="3">
        <f>IF(TIM!F125=TIM!F125,TIM!F125,"")</f>
        <v>0</v>
      </c>
      <c r="U128" s="18">
        <f>ASSETs!X125</f>
        <v>0</v>
      </c>
      <c r="V128" t="str">
        <f>ASSETs!$AA$2</f>
        <v>Phuket</v>
      </c>
      <c r="W128" s="3">
        <f>ASSETs!$AB$2</f>
        <v>99</v>
      </c>
      <c r="X128" s="6" t="str">
        <f>ASSETs!AN125</f>
        <v>/0/543</v>
      </c>
      <c r="Y128" t="str">
        <f>ASSETs!$AF$2</f>
        <v>12.00</v>
      </c>
      <c r="Z128" s="18">
        <v>1</v>
      </c>
      <c r="AA128" s="18"/>
    </row>
    <row r="129" spans="1:26" ht="15">
      <c r="A129" s="16">
        <f>ROWS($A$5:B129:C129)</f>
        <v>125</v>
      </c>
      <c r="B129" s="16" t="str">
        <f>ASSETs!AU126</f>
        <v>/0/543</v>
      </c>
      <c r="C129" s="26" t="s">
        <v>309</v>
      </c>
      <c r="D129">
        <f>IF(TIM!Q126=TIM!Q126,TIM!Q126,"")</f>
        <v>0</v>
      </c>
      <c r="G129" s="18"/>
      <c r="I129" t="str">
        <f>IFERROR(VLOOKUP(TIM!E126,ASSETs!$AA$6:$AB$7,2,FALSE),"")</f>
        <v/>
      </c>
      <c r="J129" s="2">
        <f>(IF(TIM!B126=TIM!B126,TIM!B126,""))</f>
        <v>0</v>
      </c>
      <c r="K129" s="18"/>
      <c r="L129">
        <f>IF(TIM!C126=TIM!C126,TIM!C126,"")</f>
        <v>0</v>
      </c>
      <c r="M129" t="str">
        <f>ASSETs!W126</f>
        <v/>
      </c>
      <c r="N129" s="27"/>
      <c r="O129">
        <f>IF(TIM!G126=TIM!G126,TIM!G126,"")</f>
        <v>0</v>
      </c>
      <c r="P129" s="18"/>
      <c r="Q129" t="str">
        <f>ASSETs!$AD$2</f>
        <v>Phang-nga</v>
      </c>
      <c r="R129">
        <f>ASSETs!$AE$2</f>
        <v>99</v>
      </c>
      <c r="S129" s="11">
        <v>146</v>
      </c>
      <c r="T129" s="3">
        <f>IF(TIM!F126=TIM!F126,TIM!F126,"")</f>
        <v>0</v>
      </c>
      <c r="U129" s="18">
        <f>ASSETs!X126</f>
        <v>0</v>
      </c>
      <c r="V129" t="str">
        <f>ASSETs!$AA$2</f>
        <v>Phuket</v>
      </c>
      <c r="W129" s="3">
        <f>ASSETs!$AB$2</f>
        <v>99</v>
      </c>
      <c r="X129" s="6" t="str">
        <f>ASSETs!AN126</f>
        <v>/0/543</v>
      </c>
      <c r="Y129" t="str">
        <f>ASSETs!$AF$2</f>
        <v>12.00</v>
      </c>
      <c r="Z129" s="18">
        <v>1</v>
      </c>
    </row>
    <row r="130" spans="1:26" ht="15">
      <c r="A130" s="16">
        <f>ROWS($A$5:B130:C130)</f>
        <v>126</v>
      </c>
      <c r="B130" s="16" t="str">
        <f>ASSETs!AU127</f>
        <v>/0/543</v>
      </c>
      <c r="C130" s="26" t="s">
        <v>309</v>
      </c>
      <c r="D130">
        <f>IF(TIM!Q127=TIM!Q127,TIM!Q127,"")</f>
        <v>0</v>
      </c>
      <c r="I130" t="str">
        <f>IFERROR(VLOOKUP(TIM!E127,ASSETs!$AA$6:$AB$7,2,FALSE),"")</f>
        <v/>
      </c>
      <c r="J130" s="2">
        <f>(IF(TIM!B127=TIM!B127,TIM!B127,""))</f>
        <v>0</v>
      </c>
      <c r="L130">
        <f>IF(TIM!C127=TIM!C127,TIM!C127,"")</f>
        <v>0</v>
      </c>
      <c r="M130" t="str">
        <f>ASSETs!W127</f>
        <v/>
      </c>
      <c r="N130" s="18"/>
      <c r="O130">
        <f>IF(TIM!G127=TIM!G127,TIM!G127,"")</f>
        <v>0</v>
      </c>
      <c r="P130" s="18"/>
      <c r="Q130" t="str">
        <f>ASSETs!$AD$2</f>
        <v>Phang-nga</v>
      </c>
      <c r="R130">
        <f>ASSETs!$AE$2</f>
        <v>99</v>
      </c>
      <c r="S130" s="11">
        <v>146</v>
      </c>
      <c r="T130" s="3">
        <f>IF(TIM!F127=TIM!F127,TIM!F127,"")</f>
        <v>0</v>
      </c>
      <c r="U130" s="18">
        <f>ASSETs!X127</f>
        <v>0</v>
      </c>
      <c r="V130" t="str">
        <f>ASSETs!$AA$2</f>
        <v>Phuket</v>
      </c>
      <c r="W130" s="3">
        <f>ASSETs!$AB$2</f>
        <v>99</v>
      </c>
      <c r="X130" s="6" t="str">
        <f>ASSETs!AN127</f>
        <v>/0/543</v>
      </c>
      <c r="Y130" t="str">
        <f>ASSETs!$AF$2</f>
        <v>12.00</v>
      </c>
      <c r="Z130" s="18">
        <v>1</v>
      </c>
    </row>
    <row r="131" spans="1:26" ht="15">
      <c r="A131" s="16">
        <f>ROWS($A$5:B131:C131)</f>
        <v>127</v>
      </c>
      <c r="B131" s="16" t="str">
        <f>ASSETs!AU128</f>
        <v>/0/543</v>
      </c>
      <c r="C131" s="26" t="s">
        <v>309</v>
      </c>
      <c r="D131">
        <f>IF(TIM!Q128=TIM!Q128,TIM!Q128,"")</f>
        <v>0</v>
      </c>
      <c r="E131" s="18"/>
      <c r="G131" s="18"/>
      <c r="I131" t="str">
        <f>IFERROR(VLOOKUP(TIM!E128,ASSETs!$AA$6:$AB$7,2,FALSE),"")</f>
        <v/>
      </c>
      <c r="J131" s="2">
        <f>(IF(TIM!B128=TIM!B128,TIM!B128,""))</f>
        <v>0</v>
      </c>
      <c r="K131" s="18"/>
      <c r="L131">
        <f>IF(TIM!C128=TIM!C128,TIM!C128,"")</f>
        <v>0</v>
      </c>
      <c r="M131" t="str">
        <f>ASSETs!W128</f>
        <v/>
      </c>
      <c r="N131" s="27"/>
      <c r="O131">
        <f>IF(TIM!G128=TIM!G128,TIM!G128,"")</f>
        <v>0</v>
      </c>
      <c r="P131" s="18"/>
      <c r="Q131" t="str">
        <f>ASSETs!$AD$2</f>
        <v>Phang-nga</v>
      </c>
      <c r="R131">
        <f>ASSETs!$AE$2</f>
        <v>99</v>
      </c>
      <c r="S131" s="11">
        <v>146</v>
      </c>
      <c r="T131" s="3">
        <f>IF(TIM!F128=TIM!F128,TIM!F128,"")</f>
        <v>0</v>
      </c>
      <c r="U131" s="18">
        <f>ASSETs!X128</f>
        <v>0</v>
      </c>
      <c r="V131" t="str">
        <f>ASSETs!$AA$2</f>
        <v>Phuket</v>
      </c>
      <c r="W131" s="3">
        <f>ASSETs!$AB$2</f>
        <v>99</v>
      </c>
      <c r="X131" s="6" t="str">
        <f>ASSETs!AN128</f>
        <v>/0/543</v>
      </c>
      <c r="Y131" t="str">
        <f>ASSETs!$AF$2</f>
        <v>12.00</v>
      </c>
      <c r="Z131" s="18">
        <v>1</v>
      </c>
    </row>
    <row r="132" spans="1:26" ht="15">
      <c r="A132" s="16">
        <f>ROWS($A$5:B132:C132)</f>
        <v>128</v>
      </c>
      <c r="B132" s="16" t="str">
        <f>ASSETs!AU129</f>
        <v>/0/543</v>
      </c>
      <c r="C132" s="26" t="s">
        <v>309</v>
      </c>
      <c r="D132">
        <f>IF(TIM!Q129=TIM!Q129,TIM!Q129,"")</f>
        <v>0</v>
      </c>
      <c r="I132" t="str">
        <f>IFERROR(VLOOKUP(TIM!E129,ASSETs!$AA$6:$AB$7,2,FALSE),"")</f>
        <v/>
      </c>
      <c r="J132" s="2">
        <f>(IF(TIM!B129=TIM!B129,TIM!B129,""))</f>
        <v>0</v>
      </c>
      <c r="L132">
        <f>IF(TIM!C129=TIM!C129,TIM!C129,"")</f>
        <v>0</v>
      </c>
      <c r="M132" t="str">
        <f>ASSETs!W129</f>
        <v/>
      </c>
      <c r="N132" s="18"/>
      <c r="O132">
        <f>IF(TIM!G129=TIM!G129,TIM!G129,"")</f>
        <v>0</v>
      </c>
      <c r="P132" s="18"/>
      <c r="Q132" t="str">
        <f>ASSETs!$AD$2</f>
        <v>Phang-nga</v>
      </c>
      <c r="R132">
        <f>ASSETs!$AE$2</f>
        <v>99</v>
      </c>
      <c r="S132" s="11">
        <v>146</v>
      </c>
      <c r="T132" s="3">
        <f>IF(TIM!F129=TIM!F129,TIM!F129,"")</f>
        <v>0</v>
      </c>
      <c r="U132" s="18">
        <f>ASSETs!X129</f>
        <v>0</v>
      </c>
      <c r="V132" t="str">
        <f>ASSETs!$AA$2</f>
        <v>Phuket</v>
      </c>
      <c r="W132" s="3">
        <f>ASSETs!$AB$2</f>
        <v>99</v>
      </c>
      <c r="X132" s="6" t="str">
        <f>ASSETs!AN129</f>
        <v>/0/543</v>
      </c>
      <c r="Y132" t="str">
        <f>ASSETs!$AF$2</f>
        <v>12.00</v>
      </c>
      <c r="Z132" s="18">
        <v>1</v>
      </c>
    </row>
    <row r="133" spans="1:26" ht="15">
      <c r="A133" s="16">
        <f>ROWS($A$5:B133:C133)</f>
        <v>129</v>
      </c>
      <c r="B133" s="16" t="str">
        <f>ASSETs!AU130</f>
        <v>/0/543</v>
      </c>
      <c r="C133" s="26" t="s">
        <v>309</v>
      </c>
      <c r="D133">
        <f>IF(TIM!Q130=TIM!Q130,TIM!Q130,"")</f>
        <v>0</v>
      </c>
      <c r="E133" s="18"/>
      <c r="F133" s="18"/>
      <c r="G133" s="18"/>
      <c r="H133" s="18"/>
      <c r="I133" t="str">
        <f>IFERROR(VLOOKUP(TIM!E130,ASSETs!$AA$6:$AB$7,2,FALSE),"")</f>
        <v/>
      </c>
      <c r="J133" s="2">
        <f>(IF(TIM!B130=TIM!B130,TIM!B130,""))</f>
        <v>0</v>
      </c>
      <c r="K133" s="18"/>
      <c r="L133">
        <f>IF(TIM!C130=TIM!C130,TIM!C130,"")</f>
        <v>0</v>
      </c>
      <c r="M133" t="str">
        <f>ASSETs!W130</f>
        <v/>
      </c>
      <c r="N133" s="27"/>
      <c r="O133">
        <f>IF(TIM!G130=TIM!G130,TIM!G130,"")</f>
        <v>0</v>
      </c>
      <c r="P133" s="18"/>
      <c r="Q133" t="str">
        <f>ASSETs!$AD$2</f>
        <v>Phang-nga</v>
      </c>
      <c r="R133">
        <f>ASSETs!$AE$2</f>
        <v>99</v>
      </c>
      <c r="S133" s="11">
        <v>146</v>
      </c>
      <c r="T133" s="3">
        <f>IF(TIM!F130=TIM!F130,TIM!F130,"")</f>
        <v>0</v>
      </c>
      <c r="U133" s="18">
        <f>ASSETs!X130</f>
        <v>0</v>
      </c>
      <c r="V133" t="str">
        <f>ASSETs!$AA$2</f>
        <v>Phuket</v>
      </c>
      <c r="W133" s="3">
        <f>ASSETs!$AB$2</f>
        <v>99</v>
      </c>
      <c r="X133" s="6" t="str">
        <f>ASSETs!AN130</f>
        <v>/0/543</v>
      </c>
      <c r="Y133" t="str">
        <f>ASSETs!$AF$2</f>
        <v>12.00</v>
      </c>
      <c r="Z133" s="18">
        <v>1</v>
      </c>
    </row>
    <row r="134" spans="1:26" ht="15">
      <c r="A134" s="16">
        <f>ROWS($A$5:B134:C134)</f>
        <v>130</v>
      </c>
      <c r="B134" s="16" t="str">
        <f>ASSETs!AU131</f>
        <v>/0/543</v>
      </c>
      <c r="C134" s="26" t="s">
        <v>309</v>
      </c>
      <c r="D134">
        <f>IF(TIM!Q131=TIM!Q131,TIM!Q131,"")</f>
        <v>0</v>
      </c>
      <c r="E134" s="18"/>
      <c r="F134" s="18"/>
      <c r="G134" s="18"/>
      <c r="H134" s="18"/>
      <c r="I134" t="str">
        <f>IFERROR(VLOOKUP(TIM!E131,ASSETs!$AA$6:$AB$7,2,FALSE),"")</f>
        <v/>
      </c>
      <c r="J134" s="2">
        <f>(IF(TIM!B131=TIM!B131,TIM!B131,""))</f>
        <v>0</v>
      </c>
      <c r="K134" s="18"/>
      <c r="L134">
        <f>IF(TIM!C131=TIM!C131,TIM!C131,"")</f>
        <v>0</v>
      </c>
      <c r="M134" t="str">
        <f>ASSETs!W131</f>
        <v/>
      </c>
      <c r="N134" s="27"/>
      <c r="O134">
        <f>IF(TIM!G131=TIM!G131,TIM!G131,"")</f>
        <v>0</v>
      </c>
      <c r="P134" s="18"/>
      <c r="Q134" t="str">
        <f>ASSETs!$AD$2</f>
        <v>Phang-nga</v>
      </c>
      <c r="R134">
        <f>ASSETs!$AE$2</f>
        <v>99</v>
      </c>
      <c r="S134" s="11">
        <v>146</v>
      </c>
      <c r="T134" s="3">
        <f>IF(TIM!F131=TIM!F131,TIM!F131,"")</f>
        <v>0</v>
      </c>
      <c r="U134" s="18">
        <f>ASSETs!X131</f>
        <v>0</v>
      </c>
      <c r="V134" t="str">
        <f>ASSETs!$AA$2</f>
        <v>Phuket</v>
      </c>
      <c r="W134" s="3">
        <f>ASSETs!$AB$2</f>
        <v>99</v>
      </c>
      <c r="X134" s="6" t="str">
        <f>ASSETs!AN131</f>
        <v>/0/543</v>
      </c>
      <c r="Y134" t="str">
        <f>ASSETs!$AF$2</f>
        <v>12.00</v>
      </c>
      <c r="Z134" s="18">
        <v>1</v>
      </c>
    </row>
    <row r="135" spans="1:26" ht="15">
      <c r="A135" s="16">
        <f>ROWS($A$5:B135:C135)</f>
        <v>131</v>
      </c>
      <c r="B135" s="16" t="str">
        <f>ASSETs!AU132</f>
        <v>/0/543</v>
      </c>
      <c r="C135" s="26" t="s">
        <v>309</v>
      </c>
      <c r="D135">
        <f>IF(TIM!Q132=TIM!Q132,TIM!Q132,"")</f>
        <v>0</v>
      </c>
      <c r="E135" s="18"/>
      <c r="F135" s="18"/>
      <c r="G135" s="18"/>
      <c r="H135" s="18"/>
      <c r="I135" t="str">
        <f>IFERROR(VLOOKUP(TIM!E132,ASSETs!$AA$6:$AB$7,2,FALSE),"")</f>
        <v/>
      </c>
      <c r="J135" s="2">
        <f>(IF(TIM!B132=TIM!B132,TIM!B132,""))</f>
        <v>0</v>
      </c>
      <c r="K135" s="18"/>
      <c r="L135">
        <f>IF(TIM!C132=TIM!C132,TIM!C132,"")</f>
        <v>0</v>
      </c>
      <c r="M135" t="str">
        <f>ASSETs!W132</f>
        <v/>
      </c>
      <c r="N135" s="27"/>
      <c r="O135">
        <f>IF(TIM!G132=TIM!G132,TIM!G132,"")</f>
        <v>0</v>
      </c>
      <c r="P135" s="18"/>
      <c r="Q135" t="str">
        <f>ASSETs!$AD$2</f>
        <v>Phang-nga</v>
      </c>
      <c r="R135">
        <f>ASSETs!$AE$2</f>
        <v>99</v>
      </c>
      <c r="S135" s="11">
        <v>146</v>
      </c>
      <c r="T135" s="3">
        <f>IF(TIM!F132=TIM!F132,TIM!F132,"")</f>
        <v>0</v>
      </c>
      <c r="U135" s="18">
        <f>ASSETs!X132</f>
        <v>0</v>
      </c>
      <c r="V135" t="str">
        <f>ASSETs!$AA$2</f>
        <v>Phuket</v>
      </c>
      <c r="W135" s="3">
        <f>ASSETs!$AB$2</f>
        <v>99</v>
      </c>
      <c r="X135" s="6" t="str">
        <f>ASSETs!AN132</f>
        <v>/0/543</v>
      </c>
      <c r="Y135" t="str">
        <f>ASSETs!$AF$2</f>
        <v>12.00</v>
      </c>
      <c r="Z135" s="18">
        <v>1</v>
      </c>
    </row>
    <row r="136" spans="1:26" ht="15">
      <c r="A136" s="16">
        <f>ROWS($A$5:B136:C136)</f>
        <v>132</v>
      </c>
      <c r="B136" s="16" t="str">
        <f>ASSETs!AU133</f>
        <v>/0/543</v>
      </c>
      <c r="C136" s="26" t="s">
        <v>309</v>
      </c>
      <c r="D136">
        <f>IF(TIM!Q133=TIM!Q133,TIM!Q133,"")</f>
        <v>0</v>
      </c>
      <c r="I136" t="str">
        <f>IFERROR(VLOOKUP(TIM!E133,ASSETs!$AA$6:$AB$7,2,FALSE),"")</f>
        <v/>
      </c>
      <c r="J136" s="2">
        <f>(IF(TIM!B133=TIM!B133,TIM!B133,""))</f>
        <v>0</v>
      </c>
      <c r="L136">
        <f>IF(TIM!C133=TIM!C133,TIM!C133,"")</f>
        <v>0</v>
      </c>
      <c r="M136" t="str">
        <f>ASSETs!W133</f>
        <v/>
      </c>
      <c r="N136" s="18"/>
      <c r="O136">
        <f>IF(TIM!G133=TIM!G133,TIM!G133,"")</f>
        <v>0</v>
      </c>
      <c r="P136" s="18"/>
      <c r="Q136" t="str">
        <f>ASSETs!$AD$2</f>
        <v>Phang-nga</v>
      </c>
      <c r="R136">
        <f>ASSETs!$AE$2</f>
        <v>99</v>
      </c>
      <c r="S136" s="11">
        <v>146</v>
      </c>
      <c r="T136" s="3">
        <f>IF(TIM!F133=TIM!F133,TIM!F133,"")</f>
        <v>0</v>
      </c>
      <c r="U136" s="18">
        <f>ASSETs!X133</f>
        <v>0</v>
      </c>
      <c r="V136" t="str">
        <f>ASSETs!$AA$2</f>
        <v>Phuket</v>
      </c>
      <c r="W136" s="3">
        <f>ASSETs!$AB$2</f>
        <v>99</v>
      </c>
      <c r="X136" s="6" t="str">
        <f>ASSETs!AN133</f>
        <v>/0/543</v>
      </c>
      <c r="Y136" t="str">
        <f>ASSETs!$AF$2</f>
        <v>12.00</v>
      </c>
      <c r="Z136" s="18">
        <v>1</v>
      </c>
    </row>
    <row r="137" spans="1:26" ht="15">
      <c r="A137" s="16">
        <f>ROWS($A$5:B137:C137)</f>
        <v>133</v>
      </c>
      <c r="B137" s="16" t="str">
        <f>ASSETs!AU134</f>
        <v>/0/543</v>
      </c>
      <c r="C137" s="26" t="s">
        <v>309</v>
      </c>
      <c r="D137">
        <f>IF(TIM!Q134=TIM!Q134,TIM!Q134,"")</f>
        <v>0</v>
      </c>
      <c r="I137" t="str">
        <f>IFERROR(VLOOKUP(TIM!E134,ASSETs!$AA$6:$AB$7,2,FALSE),"")</f>
        <v/>
      </c>
      <c r="J137" s="2">
        <f>(IF(TIM!B134=TIM!B134,TIM!B134,""))</f>
        <v>0</v>
      </c>
      <c r="L137">
        <f>IF(TIM!C134=TIM!C134,TIM!C134,"")</f>
        <v>0</v>
      </c>
      <c r="M137" t="str">
        <f>ASSETs!W134</f>
        <v/>
      </c>
      <c r="N137" s="18"/>
      <c r="O137">
        <f>IF(TIM!G134=TIM!G134,TIM!G134,"")</f>
        <v>0</v>
      </c>
      <c r="P137" s="18"/>
      <c r="Q137" t="str">
        <f>ASSETs!$AD$2</f>
        <v>Phang-nga</v>
      </c>
      <c r="R137">
        <f>ASSETs!$AE$2</f>
        <v>99</v>
      </c>
      <c r="S137" s="11">
        <v>146</v>
      </c>
      <c r="T137" s="3">
        <f>IF(TIM!F134=TIM!F134,TIM!F134,"")</f>
        <v>0</v>
      </c>
      <c r="U137" s="18">
        <f>ASSETs!X134</f>
        <v>0</v>
      </c>
      <c r="V137" t="str">
        <f>ASSETs!$AA$2</f>
        <v>Phuket</v>
      </c>
      <c r="W137" s="3">
        <f>ASSETs!$AB$2</f>
        <v>99</v>
      </c>
      <c r="X137" s="6" t="str">
        <f>ASSETs!AN134</f>
        <v>/0/543</v>
      </c>
      <c r="Y137" t="str">
        <f>ASSETs!$AF$2</f>
        <v>12.00</v>
      </c>
      <c r="Z137" s="18">
        <v>1</v>
      </c>
    </row>
    <row r="138" spans="1:26" ht="15">
      <c r="A138" s="16">
        <f>ROWS($A$5:B138:C138)</f>
        <v>134</v>
      </c>
      <c r="B138" s="16" t="str">
        <f>ASSETs!AU135</f>
        <v>/0/543</v>
      </c>
      <c r="C138" s="26" t="s">
        <v>309</v>
      </c>
      <c r="D138">
        <f>IF(TIM!Q135=TIM!Q135,TIM!Q135,"")</f>
        <v>0</v>
      </c>
      <c r="I138" t="str">
        <f>IFERROR(VLOOKUP(TIM!E135,ASSETs!$AA$6:$AB$7,2,FALSE),"")</f>
        <v/>
      </c>
      <c r="J138" s="2">
        <f>(IF(TIM!B135=TIM!B135,TIM!B135,""))</f>
        <v>0</v>
      </c>
      <c r="L138">
        <f>IF(TIM!C135=TIM!C135,TIM!C135,"")</f>
        <v>0</v>
      </c>
      <c r="M138" t="str">
        <f>ASSETs!W135</f>
        <v/>
      </c>
      <c r="N138" s="18"/>
      <c r="O138">
        <f>IF(TIM!G135=TIM!G135,TIM!G135,"")</f>
        <v>0</v>
      </c>
      <c r="P138" s="18"/>
      <c r="Q138" t="str">
        <f>ASSETs!$AD$2</f>
        <v>Phang-nga</v>
      </c>
      <c r="R138">
        <f>ASSETs!$AE$2</f>
        <v>99</v>
      </c>
      <c r="S138" s="11">
        <v>146</v>
      </c>
      <c r="T138" s="3">
        <f>IF(TIM!F135=TIM!F135,TIM!F135,"")</f>
        <v>0</v>
      </c>
      <c r="U138" s="18">
        <f>ASSETs!X135</f>
        <v>0</v>
      </c>
      <c r="V138" t="str">
        <f>ASSETs!$AA$2</f>
        <v>Phuket</v>
      </c>
      <c r="W138" s="3">
        <f>ASSETs!$AB$2</f>
        <v>99</v>
      </c>
      <c r="X138" s="6" t="str">
        <f>ASSETs!AN135</f>
        <v>/0/543</v>
      </c>
      <c r="Y138" t="str">
        <f>ASSETs!$AF$2</f>
        <v>12.00</v>
      </c>
      <c r="Z138" s="18">
        <v>1</v>
      </c>
    </row>
    <row r="139" spans="1:26" ht="15">
      <c r="A139" s="16">
        <f>ROWS($A$5:B139:C139)</f>
        <v>135</v>
      </c>
      <c r="B139" s="16" t="str">
        <f>ASSETs!AU136</f>
        <v>/0/543</v>
      </c>
      <c r="C139" s="26" t="s">
        <v>309</v>
      </c>
      <c r="D139">
        <f>IF(TIM!Q136=TIM!Q136,TIM!Q136,"")</f>
        <v>0</v>
      </c>
      <c r="I139" t="str">
        <f>IFERROR(VLOOKUP(TIM!E136,ASSETs!$AA$6:$AB$7,2,FALSE),"")</f>
        <v/>
      </c>
      <c r="J139" s="2">
        <f>(IF(TIM!B136=TIM!B136,TIM!B136,""))</f>
        <v>0</v>
      </c>
      <c r="L139">
        <f>IF(TIM!C136=TIM!C136,TIM!C136,"")</f>
        <v>0</v>
      </c>
      <c r="M139" t="str">
        <f>ASSETs!W136</f>
        <v/>
      </c>
      <c r="N139" s="18"/>
      <c r="O139">
        <f>IF(TIM!G136=TIM!G136,TIM!G136,"")</f>
        <v>0</v>
      </c>
      <c r="P139" s="18"/>
      <c r="Q139" t="str">
        <f>ASSETs!$AD$2</f>
        <v>Phang-nga</v>
      </c>
      <c r="R139">
        <f>ASSETs!$AE$2</f>
        <v>99</v>
      </c>
      <c r="S139" s="11">
        <v>146</v>
      </c>
      <c r="T139" s="3">
        <f>IF(TIM!F136=TIM!F136,TIM!F136,"")</f>
        <v>0</v>
      </c>
      <c r="U139" s="18">
        <f>ASSETs!X136</f>
        <v>0</v>
      </c>
      <c r="V139" t="str">
        <f>ASSETs!$AA$2</f>
        <v>Phuket</v>
      </c>
      <c r="W139" s="3">
        <f>ASSETs!$AB$2</f>
        <v>99</v>
      </c>
      <c r="X139" s="6" t="str">
        <f>ASSETs!AN136</f>
        <v>/0/543</v>
      </c>
      <c r="Y139" t="str">
        <f>ASSETs!$AF$2</f>
        <v>12.00</v>
      </c>
      <c r="Z139" s="18">
        <v>1</v>
      </c>
    </row>
    <row r="140" spans="1:26" ht="15">
      <c r="A140" s="16">
        <f>ROWS($A$5:B140:C140)</f>
        <v>136</v>
      </c>
      <c r="B140" s="16" t="str">
        <f>ASSETs!AU137</f>
        <v>/0/543</v>
      </c>
      <c r="C140" s="26" t="s">
        <v>309</v>
      </c>
      <c r="D140">
        <f>IF(TIM!Q137=TIM!Q137,TIM!Q137,"")</f>
        <v>0</v>
      </c>
      <c r="I140" t="str">
        <f>IFERROR(VLOOKUP(TIM!E137,ASSETs!$AA$6:$AB$7,2,FALSE),"")</f>
        <v/>
      </c>
      <c r="J140" s="2">
        <f>(IF(TIM!B137=TIM!B137,TIM!B137,""))</f>
        <v>0</v>
      </c>
      <c r="L140">
        <f>IF(TIM!C137=TIM!C137,TIM!C137,"")</f>
        <v>0</v>
      </c>
      <c r="M140" t="str">
        <f>ASSETs!W137</f>
        <v/>
      </c>
      <c r="N140" s="18"/>
      <c r="O140">
        <f>IF(TIM!G137=TIM!G137,TIM!G137,"")</f>
        <v>0</v>
      </c>
      <c r="P140" s="18"/>
      <c r="Q140" t="str">
        <f>ASSETs!$AD$2</f>
        <v>Phang-nga</v>
      </c>
      <c r="R140">
        <f>ASSETs!$AE$2</f>
        <v>99</v>
      </c>
      <c r="S140" s="11">
        <v>146</v>
      </c>
      <c r="T140" s="3">
        <f>IF(TIM!F137=TIM!F137,TIM!F137,"")</f>
        <v>0</v>
      </c>
      <c r="U140" s="18">
        <f>ASSETs!X137</f>
        <v>0</v>
      </c>
      <c r="V140" t="str">
        <f>ASSETs!$AA$2</f>
        <v>Phuket</v>
      </c>
      <c r="W140" s="3">
        <f>ASSETs!$AB$2</f>
        <v>99</v>
      </c>
      <c r="X140" s="6" t="str">
        <f>ASSETs!AN137</f>
        <v>/0/543</v>
      </c>
      <c r="Y140" t="str">
        <f>ASSETs!$AF$2</f>
        <v>12.00</v>
      </c>
      <c r="Z140" s="18">
        <v>1</v>
      </c>
    </row>
    <row r="141" spans="1:26" ht="15">
      <c r="A141" s="16">
        <f>ROWS($A$5:B141:C141)</f>
        <v>137</v>
      </c>
      <c r="B141" s="16" t="str">
        <f>ASSETs!AU138</f>
        <v>/0/543</v>
      </c>
      <c r="C141" s="26" t="s">
        <v>309</v>
      </c>
      <c r="D141">
        <f>IF(TIM!Q138=TIM!Q138,TIM!Q138,"")</f>
        <v>0</v>
      </c>
      <c r="I141" t="str">
        <f>IFERROR(VLOOKUP(TIM!E138,ASSETs!$AA$6:$AB$7,2,FALSE),"")</f>
        <v/>
      </c>
      <c r="J141" s="2">
        <f>(IF(TIM!B138=TIM!B138,TIM!B138,""))</f>
        <v>0</v>
      </c>
      <c r="L141">
        <f>IF(TIM!C138=TIM!C138,TIM!C138,"")</f>
        <v>0</v>
      </c>
      <c r="M141" t="str">
        <f>ASSETs!W138</f>
        <v/>
      </c>
      <c r="N141" s="18"/>
      <c r="O141">
        <f>IF(TIM!G138=TIM!G138,TIM!G138,"")</f>
        <v>0</v>
      </c>
      <c r="P141" s="18"/>
      <c r="Q141" t="str">
        <f>ASSETs!$AD$2</f>
        <v>Phang-nga</v>
      </c>
      <c r="R141">
        <f>ASSETs!$AE$2</f>
        <v>99</v>
      </c>
      <c r="S141" s="11">
        <v>146</v>
      </c>
      <c r="T141" s="3">
        <f>IF(TIM!F138=TIM!F138,TIM!F138,"")</f>
        <v>0</v>
      </c>
      <c r="U141" s="18">
        <f>ASSETs!X138</f>
        <v>0</v>
      </c>
      <c r="V141" t="str">
        <f>ASSETs!$AA$2</f>
        <v>Phuket</v>
      </c>
      <c r="W141" s="3">
        <f>ASSETs!$AB$2</f>
        <v>99</v>
      </c>
      <c r="X141" s="6" t="str">
        <f>ASSETs!AN138</f>
        <v>/0/543</v>
      </c>
      <c r="Y141" t="str">
        <f>ASSETs!$AF$2</f>
        <v>12.00</v>
      </c>
      <c r="Z141" s="18">
        <v>1</v>
      </c>
    </row>
    <row r="142" spans="1:26" ht="15">
      <c r="A142" s="16">
        <f>ROWS($A$5:B142:C142)</f>
        <v>138</v>
      </c>
      <c r="B142" s="16" t="str">
        <f>ASSETs!AU139</f>
        <v>/0/543</v>
      </c>
      <c r="C142" s="26" t="s">
        <v>309</v>
      </c>
      <c r="D142">
        <f>IF(TIM!Q139=TIM!Q139,TIM!Q139,"")</f>
        <v>0</v>
      </c>
      <c r="I142" t="str">
        <f>IFERROR(VLOOKUP(TIM!E139,ASSETs!$AA$6:$AB$7,2,FALSE),"")</f>
        <v/>
      </c>
      <c r="J142" s="2">
        <f>(IF(TIM!B139=TIM!B139,TIM!B139,""))</f>
        <v>0</v>
      </c>
      <c r="L142">
        <f>IF(TIM!C139=TIM!C139,TIM!C139,"")</f>
        <v>0</v>
      </c>
      <c r="M142" t="str">
        <f>ASSETs!W139</f>
        <v/>
      </c>
      <c r="N142" s="18"/>
      <c r="O142">
        <f>IF(TIM!G139=TIM!G139,TIM!G139,"")</f>
        <v>0</v>
      </c>
      <c r="P142" s="18"/>
      <c r="Q142" t="str">
        <f>ASSETs!$AD$2</f>
        <v>Phang-nga</v>
      </c>
      <c r="R142">
        <f>ASSETs!$AE$2</f>
        <v>99</v>
      </c>
      <c r="S142" s="11">
        <v>146</v>
      </c>
      <c r="T142" s="3">
        <f>IF(TIM!F139=TIM!F139,TIM!F139,"")</f>
        <v>0</v>
      </c>
      <c r="U142" s="18">
        <f>ASSETs!X139</f>
        <v>0</v>
      </c>
      <c r="V142" t="str">
        <f>ASSETs!$AA$2</f>
        <v>Phuket</v>
      </c>
      <c r="W142" s="3">
        <f>ASSETs!$AB$2</f>
        <v>99</v>
      </c>
      <c r="X142" s="6" t="str">
        <f>ASSETs!AN139</f>
        <v>/0/543</v>
      </c>
      <c r="Y142" t="str">
        <f>ASSETs!$AF$2</f>
        <v>12.00</v>
      </c>
      <c r="Z142" s="18">
        <v>1</v>
      </c>
    </row>
    <row r="143" spans="1:26" ht="15">
      <c r="A143" s="16">
        <f>ROWS($A$5:B143:C143)</f>
        <v>139</v>
      </c>
      <c r="B143" s="16" t="str">
        <f>ASSETs!AU140</f>
        <v>/0/543</v>
      </c>
      <c r="C143" s="26" t="s">
        <v>309</v>
      </c>
      <c r="D143">
        <f>IF(TIM!Q140=TIM!Q140,TIM!Q140,"")</f>
        <v>0</v>
      </c>
      <c r="I143" t="str">
        <f>IFERROR(VLOOKUP(TIM!E140,ASSETs!$AA$6:$AB$7,2,FALSE),"")</f>
        <v/>
      </c>
      <c r="J143" s="2">
        <f>(IF(TIM!B140=TIM!B140,TIM!B140,""))</f>
        <v>0</v>
      </c>
      <c r="L143">
        <f>IF(TIM!C140=TIM!C140,TIM!C140,"")</f>
        <v>0</v>
      </c>
      <c r="M143" t="str">
        <f>ASSETs!W140</f>
        <v/>
      </c>
      <c r="N143" s="18"/>
      <c r="O143">
        <f>IF(TIM!G140=TIM!G140,TIM!G140,"")</f>
        <v>0</v>
      </c>
      <c r="P143" s="18"/>
      <c r="Q143" t="str">
        <f>ASSETs!$AD$2</f>
        <v>Phang-nga</v>
      </c>
      <c r="R143">
        <f>ASSETs!$AE$2</f>
        <v>99</v>
      </c>
      <c r="S143" s="11">
        <v>146</v>
      </c>
      <c r="T143" s="3">
        <f>IF(TIM!F140=TIM!F140,TIM!F140,"")</f>
        <v>0</v>
      </c>
      <c r="U143" s="18">
        <f>ASSETs!X140</f>
        <v>0</v>
      </c>
      <c r="V143" t="str">
        <f>ASSETs!$AA$2</f>
        <v>Phuket</v>
      </c>
      <c r="W143" s="3">
        <f>ASSETs!$AB$2</f>
        <v>99</v>
      </c>
      <c r="X143" s="6" t="str">
        <f>ASSETs!AN140</f>
        <v>/0/543</v>
      </c>
      <c r="Y143" t="str">
        <f>ASSETs!$AF$2</f>
        <v>12.00</v>
      </c>
      <c r="Z143" s="18">
        <v>1</v>
      </c>
    </row>
    <row r="144" spans="1:26" ht="15">
      <c r="A144" s="16">
        <f>ROWS($A$5:B144:C144)</f>
        <v>140</v>
      </c>
      <c r="B144" s="16" t="str">
        <f>ASSETs!AU141</f>
        <v>/0/543</v>
      </c>
      <c r="C144" s="26" t="s">
        <v>309</v>
      </c>
      <c r="D144">
        <f>IF(TIM!Q141=TIM!Q141,TIM!Q141,"")</f>
        <v>0</v>
      </c>
      <c r="I144" t="str">
        <f>IFERROR(VLOOKUP(TIM!E141,ASSETs!$AA$6:$AB$7,2,FALSE),"")</f>
        <v/>
      </c>
      <c r="J144" s="2">
        <f>(IF(TIM!B141=TIM!B141,TIM!B141,""))</f>
        <v>0</v>
      </c>
      <c r="L144">
        <f>IF(TIM!C141=TIM!C141,TIM!C141,"")</f>
        <v>0</v>
      </c>
      <c r="M144" t="str">
        <f>ASSETs!W141</f>
        <v/>
      </c>
      <c r="N144" s="18"/>
      <c r="O144">
        <f>IF(TIM!G141=TIM!G141,TIM!G141,"")</f>
        <v>0</v>
      </c>
      <c r="P144" s="18"/>
      <c r="Q144" t="str">
        <f>ASSETs!$AD$2</f>
        <v>Phang-nga</v>
      </c>
      <c r="R144">
        <f>ASSETs!$AE$2</f>
        <v>99</v>
      </c>
      <c r="S144" s="11">
        <v>146</v>
      </c>
      <c r="T144" s="3">
        <f>IF(TIM!F141=TIM!F141,TIM!F141,"")</f>
        <v>0</v>
      </c>
      <c r="U144" s="18">
        <f>ASSETs!X141</f>
        <v>0</v>
      </c>
      <c r="V144" t="str">
        <f>ASSETs!$AA$2</f>
        <v>Phuket</v>
      </c>
      <c r="W144" s="3">
        <f>ASSETs!$AB$2</f>
        <v>99</v>
      </c>
      <c r="X144" s="6" t="str">
        <f>ASSETs!AN141</f>
        <v>/0/543</v>
      </c>
      <c r="Y144" t="str">
        <f>ASSETs!$AF$2</f>
        <v>12.00</v>
      </c>
      <c r="Z144" s="18">
        <v>1</v>
      </c>
    </row>
    <row r="145" spans="1:26" ht="15">
      <c r="A145" s="16">
        <f>ROWS($A$5:B145:C145)</f>
        <v>141</v>
      </c>
      <c r="B145" s="16" t="str">
        <f>ASSETs!AU142</f>
        <v>/0/543</v>
      </c>
      <c r="C145" s="26" t="s">
        <v>309</v>
      </c>
      <c r="D145">
        <f>IF(TIM!Q142=TIM!Q142,TIM!Q142,"")</f>
        <v>0</v>
      </c>
      <c r="I145" t="str">
        <f>IFERROR(VLOOKUP(TIM!E142,ASSETs!$AA$6:$AB$7,2,FALSE),"")</f>
        <v/>
      </c>
      <c r="J145" s="2">
        <f>(IF(TIM!B142=TIM!B142,TIM!B142,""))</f>
        <v>0</v>
      </c>
      <c r="L145">
        <f>IF(TIM!C142=TIM!C142,TIM!C142,"")</f>
        <v>0</v>
      </c>
      <c r="M145" t="str">
        <f>ASSETs!W142</f>
        <v/>
      </c>
      <c r="N145" s="18"/>
      <c r="O145">
        <f>IF(TIM!G142=TIM!G142,TIM!G142,"")</f>
        <v>0</v>
      </c>
      <c r="P145" s="18"/>
      <c r="Q145" t="str">
        <f>ASSETs!$AD$2</f>
        <v>Phang-nga</v>
      </c>
      <c r="R145">
        <f>ASSETs!$AE$2</f>
        <v>99</v>
      </c>
      <c r="S145" s="11">
        <v>146</v>
      </c>
      <c r="T145" s="3">
        <f>IF(TIM!F142=TIM!F142,TIM!F142,"")</f>
        <v>0</v>
      </c>
      <c r="U145" s="18">
        <f>ASSETs!X142</f>
        <v>0</v>
      </c>
      <c r="V145" t="str">
        <f>ASSETs!$AA$2</f>
        <v>Phuket</v>
      </c>
      <c r="W145" s="3">
        <f>ASSETs!$AB$2</f>
        <v>99</v>
      </c>
      <c r="X145" s="6" t="str">
        <f>ASSETs!AN142</f>
        <v>/0/543</v>
      </c>
      <c r="Y145" t="str">
        <f>ASSETs!$AF$2</f>
        <v>12.00</v>
      </c>
      <c r="Z145" s="18">
        <v>1</v>
      </c>
    </row>
    <row r="146" spans="1:26" ht="15">
      <c r="A146" s="16">
        <f>ROWS($A$5:B146:C146)</f>
        <v>142</v>
      </c>
      <c r="B146" s="16" t="str">
        <f>ASSETs!AU143</f>
        <v>/0/543</v>
      </c>
      <c r="C146" s="26" t="s">
        <v>309</v>
      </c>
      <c r="D146">
        <f>IF(TIM!Q143=TIM!Q143,TIM!Q143,"")</f>
        <v>0</v>
      </c>
      <c r="I146" t="str">
        <f>IFERROR(VLOOKUP(TIM!E143,ASSETs!$AA$6:$AB$7,2,FALSE),"")</f>
        <v/>
      </c>
      <c r="J146" s="2">
        <f>(IF(TIM!B143=TIM!B143,TIM!B143,""))</f>
        <v>0</v>
      </c>
      <c r="L146">
        <f>IF(TIM!C143=TIM!C143,TIM!C143,"")</f>
        <v>0</v>
      </c>
      <c r="M146" t="str">
        <f>ASSETs!W143</f>
        <v/>
      </c>
      <c r="N146" s="18"/>
      <c r="O146">
        <f>IF(TIM!G143=TIM!G143,TIM!G143,"")</f>
        <v>0</v>
      </c>
      <c r="P146" s="18"/>
      <c r="Q146" t="str">
        <f>ASSETs!$AD$2</f>
        <v>Phang-nga</v>
      </c>
      <c r="R146">
        <f>ASSETs!$AE$2</f>
        <v>99</v>
      </c>
      <c r="S146" s="11">
        <v>146</v>
      </c>
      <c r="T146" s="3">
        <f>IF(TIM!F143=TIM!F143,TIM!F143,"")</f>
        <v>0</v>
      </c>
      <c r="U146" s="18">
        <f>ASSETs!X143</f>
        <v>0</v>
      </c>
      <c r="V146" t="str">
        <f>ASSETs!$AA$2</f>
        <v>Phuket</v>
      </c>
      <c r="W146" s="3">
        <f>ASSETs!$AB$2</f>
        <v>99</v>
      </c>
      <c r="X146" s="6" t="str">
        <f>ASSETs!AN143</f>
        <v>/0/543</v>
      </c>
      <c r="Y146" t="str">
        <f>ASSETs!$AF$2</f>
        <v>12.00</v>
      </c>
      <c r="Z146" s="18">
        <v>1</v>
      </c>
    </row>
    <row r="147" spans="1:26" ht="15">
      <c r="A147" s="16">
        <f>ROWS($A$5:B147:C147)</f>
        <v>143</v>
      </c>
      <c r="B147" s="16" t="str">
        <f>ASSETs!AU144</f>
        <v>/0/543</v>
      </c>
      <c r="C147" s="26" t="s">
        <v>309</v>
      </c>
      <c r="D147">
        <f>IF(TIM!Q144=TIM!Q144,TIM!Q144,"")</f>
        <v>0</v>
      </c>
      <c r="I147" t="str">
        <f>IFERROR(VLOOKUP(TIM!E144,ASSETs!$AA$6:$AB$7,2,FALSE),"")</f>
        <v/>
      </c>
      <c r="J147" s="2">
        <f>(IF(TIM!B144=TIM!B144,TIM!B144,""))</f>
        <v>0</v>
      </c>
      <c r="L147">
        <f>IF(TIM!C144=TIM!C144,TIM!C144,"")</f>
        <v>0</v>
      </c>
      <c r="M147" t="str">
        <f>ASSETs!W144</f>
        <v/>
      </c>
      <c r="N147" s="18"/>
      <c r="O147">
        <f>IF(TIM!G144=TIM!G144,TIM!G144,"")</f>
        <v>0</v>
      </c>
      <c r="P147" s="18"/>
      <c r="Q147" t="str">
        <f>ASSETs!$AD$2</f>
        <v>Phang-nga</v>
      </c>
      <c r="R147">
        <f>ASSETs!$AE$2</f>
        <v>99</v>
      </c>
      <c r="S147" s="11">
        <v>146</v>
      </c>
      <c r="T147" s="3">
        <f>IF(TIM!F144=TIM!F144,TIM!F144,"")</f>
        <v>0</v>
      </c>
      <c r="U147" s="18">
        <f>ASSETs!X144</f>
        <v>0</v>
      </c>
      <c r="V147" t="str">
        <f>ASSETs!$AA$2</f>
        <v>Phuket</v>
      </c>
      <c r="W147" s="3">
        <f>ASSETs!$AB$2</f>
        <v>99</v>
      </c>
      <c r="X147" s="6" t="str">
        <f>ASSETs!AN144</f>
        <v>/0/543</v>
      </c>
      <c r="Y147" t="str">
        <f>ASSETs!$AF$2</f>
        <v>12.00</v>
      </c>
      <c r="Z147" s="18">
        <v>1</v>
      </c>
    </row>
    <row r="148" spans="1:26" ht="15">
      <c r="A148" s="16">
        <f>ROWS($A$5:B148:C148)</f>
        <v>144</v>
      </c>
      <c r="B148" s="16" t="str">
        <f>ASSETs!AU145</f>
        <v>/0/543</v>
      </c>
      <c r="C148" s="26" t="s">
        <v>309</v>
      </c>
      <c r="D148">
        <f>IF(TIM!Q145=TIM!Q145,TIM!Q145,"")</f>
        <v>0</v>
      </c>
      <c r="I148" t="str">
        <f>IFERROR(VLOOKUP(TIM!E145,ASSETs!$AA$6:$AB$7,2,FALSE),"")</f>
        <v/>
      </c>
      <c r="J148" s="2">
        <f>(IF(TIM!B145=TIM!B145,TIM!B145,""))</f>
        <v>0</v>
      </c>
      <c r="L148">
        <f>IF(TIM!C145=TIM!C145,TIM!C145,"")</f>
        <v>0</v>
      </c>
      <c r="M148" t="str">
        <f>ASSETs!W145</f>
        <v/>
      </c>
      <c r="N148" s="18"/>
      <c r="O148">
        <f>IF(TIM!G145=TIM!G145,TIM!G145,"")</f>
        <v>0</v>
      </c>
      <c r="P148" s="18"/>
      <c r="Q148" t="str">
        <f>ASSETs!$AD$2</f>
        <v>Phang-nga</v>
      </c>
      <c r="R148">
        <f>ASSETs!$AE$2</f>
        <v>99</v>
      </c>
      <c r="S148" s="11">
        <v>146</v>
      </c>
      <c r="T148" s="3">
        <f>IF(TIM!F145=TIM!F145,TIM!F145,"")</f>
        <v>0</v>
      </c>
      <c r="U148" s="18">
        <f>ASSETs!X145</f>
        <v>0</v>
      </c>
      <c r="V148" t="str">
        <f>ASSETs!$AA$2</f>
        <v>Phuket</v>
      </c>
      <c r="W148" s="3">
        <f>ASSETs!$AB$2</f>
        <v>99</v>
      </c>
      <c r="X148" s="6" t="str">
        <f>ASSETs!AN145</f>
        <v>/0/543</v>
      </c>
      <c r="Y148" t="str">
        <f>ASSETs!$AF$2</f>
        <v>12.00</v>
      </c>
      <c r="Z148" s="18">
        <v>1</v>
      </c>
    </row>
    <row r="149" spans="1:26" ht="15">
      <c r="A149" s="16">
        <f>ROWS($A$5:B149:C149)</f>
        <v>145</v>
      </c>
      <c r="B149" s="16" t="str">
        <f>ASSETs!AU146</f>
        <v>/0/543</v>
      </c>
      <c r="C149" s="26" t="s">
        <v>309</v>
      </c>
      <c r="D149">
        <f>IF(TIM!Q146=TIM!Q146,TIM!Q146,"")</f>
        <v>0</v>
      </c>
      <c r="I149" t="str">
        <f>IFERROR(VLOOKUP(TIM!E146,ASSETs!$AA$6:$AB$7,2,FALSE),"")</f>
        <v/>
      </c>
      <c r="J149" s="2">
        <f>(IF(TIM!B146=TIM!B146,TIM!B146,""))</f>
        <v>0</v>
      </c>
      <c r="L149">
        <f>IF(TIM!C146=TIM!C146,TIM!C146,"")</f>
        <v>0</v>
      </c>
      <c r="M149" t="str">
        <f>ASSETs!W146</f>
        <v/>
      </c>
      <c r="N149" s="18"/>
      <c r="O149">
        <f>IF(TIM!G146=TIM!G146,TIM!G146,"")</f>
        <v>0</v>
      </c>
      <c r="P149" s="18"/>
      <c r="Q149" t="str">
        <f>ASSETs!$AD$2</f>
        <v>Phang-nga</v>
      </c>
      <c r="R149">
        <f>ASSETs!$AE$2</f>
        <v>99</v>
      </c>
      <c r="S149" s="11">
        <v>146</v>
      </c>
      <c r="T149" s="3">
        <f>IF(TIM!F146=TIM!F146,TIM!F146,"")</f>
        <v>0</v>
      </c>
      <c r="U149" s="18">
        <f>ASSETs!X146</f>
        <v>0</v>
      </c>
      <c r="V149" t="str">
        <f>ASSETs!$AA$2</f>
        <v>Phuket</v>
      </c>
      <c r="W149" s="3">
        <f>ASSETs!$AB$2</f>
        <v>99</v>
      </c>
      <c r="X149" s="6" t="str">
        <f>ASSETs!AN146</f>
        <v>/0/543</v>
      </c>
      <c r="Y149" t="str">
        <f>ASSETs!$AF$2</f>
        <v>12.00</v>
      </c>
      <c r="Z149" s="18">
        <v>1</v>
      </c>
    </row>
    <row r="150" spans="1:26" ht="15">
      <c r="A150" s="16">
        <f>ROWS($A$5:B150:C150)</f>
        <v>146</v>
      </c>
      <c r="B150" s="16" t="str">
        <f>ASSETs!AU147</f>
        <v>/0/543</v>
      </c>
      <c r="C150" s="26" t="s">
        <v>309</v>
      </c>
      <c r="D150">
        <f>IF(TIM!Q147=TIM!Q147,TIM!Q147,"")</f>
        <v>0</v>
      </c>
      <c r="I150" t="str">
        <f>IFERROR(VLOOKUP(TIM!E147,ASSETs!$AA$6:$AB$7,2,FALSE),"")</f>
        <v/>
      </c>
      <c r="J150" s="2">
        <f>(IF(TIM!B147=TIM!B147,TIM!B147,""))</f>
        <v>0</v>
      </c>
      <c r="L150">
        <f>IF(TIM!C147=TIM!C147,TIM!C147,"")</f>
        <v>0</v>
      </c>
      <c r="M150" t="str">
        <f>ASSETs!W147</f>
        <v/>
      </c>
      <c r="N150" s="18"/>
      <c r="O150">
        <f>IF(TIM!G147=TIM!G147,TIM!G147,"")</f>
        <v>0</v>
      </c>
      <c r="P150" s="18"/>
      <c r="Q150" t="str">
        <f>ASSETs!$AD$2</f>
        <v>Phang-nga</v>
      </c>
      <c r="R150">
        <f>ASSETs!$AE$2</f>
        <v>99</v>
      </c>
      <c r="S150" s="11">
        <v>146</v>
      </c>
      <c r="T150" s="3">
        <f>IF(TIM!F147=TIM!F147,TIM!F147,"")</f>
        <v>0</v>
      </c>
      <c r="U150" s="18">
        <f>ASSETs!X147</f>
        <v>0</v>
      </c>
      <c r="V150" t="str">
        <f>ASSETs!$AA$2</f>
        <v>Phuket</v>
      </c>
      <c r="W150" s="3">
        <f>ASSETs!$AB$2</f>
        <v>99</v>
      </c>
      <c r="X150" s="6" t="str">
        <f>ASSETs!AN147</f>
        <v>/0/543</v>
      </c>
      <c r="Y150" t="str">
        <f>ASSETs!$AF$2</f>
        <v>12.00</v>
      </c>
      <c r="Z150" s="18">
        <v>1</v>
      </c>
    </row>
    <row r="151" spans="1:26" ht="15">
      <c r="A151" s="16">
        <f>ROWS($A$5:B151:C151)</f>
        <v>147</v>
      </c>
      <c r="B151" s="16" t="str">
        <f>ASSETs!AU148</f>
        <v>/0/543</v>
      </c>
      <c r="C151" s="26" t="s">
        <v>309</v>
      </c>
      <c r="D151">
        <f>IF(TIM!Q148=TIM!Q148,TIM!Q148,"")</f>
        <v>0</v>
      </c>
      <c r="I151" t="str">
        <f>IFERROR(VLOOKUP(TIM!E148,ASSETs!$AA$6:$AB$7,2,FALSE),"")</f>
        <v/>
      </c>
      <c r="J151" s="2">
        <f>(IF(TIM!B148=TIM!B148,TIM!B148,""))</f>
        <v>0</v>
      </c>
      <c r="L151">
        <f>IF(TIM!C148=TIM!C148,TIM!C148,"")</f>
        <v>0</v>
      </c>
      <c r="M151" t="str">
        <f>ASSETs!W148</f>
        <v/>
      </c>
      <c r="N151" s="18"/>
      <c r="O151">
        <f>IF(TIM!G148=TIM!G148,TIM!G148,"")</f>
        <v>0</v>
      </c>
      <c r="P151" s="18"/>
      <c r="Q151" t="str">
        <f>ASSETs!$AD$2</f>
        <v>Phang-nga</v>
      </c>
      <c r="R151">
        <f>ASSETs!$AE$2</f>
        <v>99</v>
      </c>
      <c r="S151" s="11">
        <v>146</v>
      </c>
      <c r="T151" s="3">
        <f>IF(TIM!F148=TIM!F148,TIM!F148,"")</f>
        <v>0</v>
      </c>
      <c r="U151" s="18">
        <f>ASSETs!X148</f>
        <v>0</v>
      </c>
      <c r="V151" t="str">
        <f>ASSETs!$AA$2</f>
        <v>Phuket</v>
      </c>
      <c r="W151" s="3">
        <f>ASSETs!$AB$2</f>
        <v>99</v>
      </c>
      <c r="X151" s="6" t="str">
        <f>ASSETs!AN148</f>
        <v>/0/543</v>
      </c>
      <c r="Y151" t="str">
        <f>ASSETs!$AF$2</f>
        <v>12.00</v>
      </c>
      <c r="Z151" s="18">
        <v>1</v>
      </c>
    </row>
    <row r="152" spans="1:26" ht="15">
      <c r="A152" s="16">
        <f>ROWS($A$5:B152:C152)</f>
        <v>148</v>
      </c>
      <c r="B152" s="16" t="str">
        <f>ASSETs!AU149</f>
        <v>/0/543</v>
      </c>
      <c r="C152" s="26" t="s">
        <v>309</v>
      </c>
      <c r="D152">
        <f>IF(TIM!Q149=TIM!Q149,TIM!Q149,"")</f>
        <v>0</v>
      </c>
      <c r="I152" t="str">
        <f>IFERROR(VLOOKUP(TIM!E149,ASSETs!$AA$6:$AB$7,2,FALSE),"")</f>
        <v/>
      </c>
      <c r="J152" s="2">
        <f>(IF(TIM!B149=TIM!B149,TIM!B149,""))</f>
        <v>0</v>
      </c>
      <c r="L152">
        <f>IF(TIM!C149=TIM!C149,TIM!C149,"")</f>
        <v>0</v>
      </c>
      <c r="M152" t="str">
        <f>ASSETs!W149</f>
        <v/>
      </c>
      <c r="N152" s="18"/>
      <c r="O152">
        <f>IF(TIM!G149=TIM!G149,TIM!G149,"")</f>
        <v>0</v>
      </c>
      <c r="P152" s="18"/>
      <c r="Q152" t="str">
        <f>ASSETs!$AD$2</f>
        <v>Phang-nga</v>
      </c>
      <c r="R152">
        <f>ASSETs!$AE$2</f>
        <v>99</v>
      </c>
      <c r="S152" s="11">
        <v>146</v>
      </c>
      <c r="T152" s="3">
        <f>IF(TIM!F149=TIM!F149,TIM!F149,"")</f>
        <v>0</v>
      </c>
      <c r="U152" s="18">
        <f>ASSETs!X149</f>
        <v>0</v>
      </c>
      <c r="V152" t="str">
        <f>ASSETs!$AA$2</f>
        <v>Phuket</v>
      </c>
      <c r="W152" s="3">
        <f>ASSETs!$AB$2</f>
        <v>99</v>
      </c>
      <c r="X152" s="6" t="str">
        <f>ASSETs!AN149</f>
        <v>/0/543</v>
      </c>
      <c r="Y152" t="str">
        <f>ASSETs!$AF$2</f>
        <v>12.00</v>
      </c>
      <c r="Z152" s="18">
        <v>1</v>
      </c>
    </row>
    <row r="153" spans="1:26" ht="15">
      <c r="A153" s="16">
        <f>ROWS($A$5:B153:C153)</f>
        <v>149</v>
      </c>
      <c r="B153" s="16" t="str">
        <f>ASSETs!AU150</f>
        <v>/0/543</v>
      </c>
      <c r="C153" s="26" t="s">
        <v>309</v>
      </c>
      <c r="D153">
        <f>IF(TIM!Q150=TIM!Q150,TIM!Q150,"")</f>
        <v>0</v>
      </c>
      <c r="I153" t="str">
        <f>IFERROR(VLOOKUP(TIM!E150,ASSETs!$AA$6:$AB$7,2,FALSE),"")</f>
        <v/>
      </c>
      <c r="J153" s="2">
        <f>(IF(TIM!B150=TIM!B150,TIM!B150,""))</f>
        <v>0</v>
      </c>
      <c r="L153">
        <f>IF(TIM!C150=TIM!C150,TIM!C150,"")</f>
        <v>0</v>
      </c>
      <c r="M153" t="str">
        <f>ASSETs!W150</f>
        <v/>
      </c>
      <c r="N153" s="18"/>
      <c r="O153">
        <f>IF(TIM!G150=TIM!G150,TIM!G150,"")</f>
        <v>0</v>
      </c>
      <c r="P153" s="18"/>
      <c r="Q153" t="str">
        <f>ASSETs!$AD$2</f>
        <v>Phang-nga</v>
      </c>
      <c r="R153">
        <f>ASSETs!$AE$2</f>
        <v>99</v>
      </c>
      <c r="S153" s="11">
        <v>146</v>
      </c>
      <c r="T153" s="3">
        <f>IF(TIM!F150=TIM!F150,TIM!F150,"")</f>
        <v>0</v>
      </c>
      <c r="U153" s="18">
        <f>ASSETs!X150</f>
        <v>0</v>
      </c>
      <c r="V153" t="str">
        <f>ASSETs!$AA$2</f>
        <v>Phuket</v>
      </c>
      <c r="W153" s="3">
        <f>ASSETs!$AB$2</f>
        <v>99</v>
      </c>
      <c r="X153" s="6" t="str">
        <f>ASSETs!AN150</f>
        <v>/0/543</v>
      </c>
      <c r="Y153" t="str">
        <f>ASSETs!$AF$2</f>
        <v>12.00</v>
      </c>
      <c r="Z153" s="18">
        <v>1</v>
      </c>
    </row>
    <row r="154" spans="1:26" ht="15">
      <c r="A154" s="16">
        <f>ROWS($A$5:B154:C154)</f>
        <v>150</v>
      </c>
      <c r="B154" s="16" t="str">
        <f>ASSETs!AU151</f>
        <v>/0/543</v>
      </c>
      <c r="C154" s="26" t="s">
        <v>309</v>
      </c>
      <c r="D154">
        <f>IF(TIM!Q151=TIM!Q151,TIM!Q151,"")</f>
        <v>0</v>
      </c>
      <c r="I154" t="str">
        <f>IFERROR(VLOOKUP(TIM!E151,ASSETs!$AA$6:$AB$7,2,FALSE),"")</f>
        <v/>
      </c>
      <c r="J154" s="2">
        <f>(IF(TIM!B151=TIM!B151,TIM!B151,""))</f>
        <v>0</v>
      </c>
      <c r="L154">
        <f>IF(TIM!C151=TIM!C151,TIM!C151,"")</f>
        <v>0</v>
      </c>
      <c r="M154" t="str">
        <f>ASSETs!W151</f>
        <v/>
      </c>
      <c r="N154" s="18"/>
      <c r="O154">
        <f>IF(TIM!G151=TIM!G151,TIM!G151,"")</f>
        <v>0</v>
      </c>
      <c r="P154" s="18"/>
      <c r="Q154" t="str">
        <f>ASSETs!$AD$2</f>
        <v>Phang-nga</v>
      </c>
      <c r="R154">
        <f>ASSETs!$AE$2</f>
        <v>99</v>
      </c>
      <c r="S154" s="11">
        <v>146</v>
      </c>
      <c r="T154" s="3">
        <f>IF(TIM!F151=TIM!F151,TIM!F151,"")</f>
        <v>0</v>
      </c>
      <c r="U154" s="18">
        <f>ASSETs!X151</f>
        <v>0</v>
      </c>
      <c r="V154" t="str">
        <f>ASSETs!$AA$2</f>
        <v>Phuket</v>
      </c>
      <c r="W154" s="3">
        <f>ASSETs!$AB$2</f>
        <v>99</v>
      </c>
      <c r="X154" s="6" t="str">
        <f>ASSETs!AN151</f>
        <v>/0/543</v>
      </c>
      <c r="Y154" t="str">
        <f>ASSETs!$AF$2</f>
        <v>12.00</v>
      </c>
      <c r="Z154" s="18">
        <v>1</v>
      </c>
    </row>
    <row r="155" spans="1:26" ht="15">
      <c r="A155" s="16">
        <f>ROWS($A$5:B155:C155)</f>
        <v>151</v>
      </c>
      <c r="B155" s="16" t="str">
        <f>ASSETs!AU152</f>
        <v>/0/543</v>
      </c>
      <c r="C155" s="26" t="s">
        <v>309</v>
      </c>
      <c r="D155">
        <f>IF(TIM!Q152=TIM!Q152,TIM!Q152,"")</f>
        <v>0</v>
      </c>
      <c r="I155" t="str">
        <f>IFERROR(VLOOKUP(TIM!E152,ASSETs!$AA$6:$AB$7,2,FALSE),"")</f>
        <v/>
      </c>
      <c r="J155" s="2">
        <f>(IF(TIM!B152=TIM!B152,TIM!B152,""))</f>
        <v>0</v>
      </c>
      <c r="L155">
        <f>IF(TIM!C152=TIM!C152,TIM!C152,"")</f>
        <v>0</v>
      </c>
      <c r="M155" t="str">
        <f>ASSETs!W152</f>
        <v/>
      </c>
      <c r="N155" s="18"/>
      <c r="O155">
        <f>IF(TIM!G152=TIM!G152,TIM!G152,"")</f>
        <v>0</v>
      </c>
      <c r="P155" s="18"/>
      <c r="Q155" t="str">
        <f>ASSETs!$AD$2</f>
        <v>Phang-nga</v>
      </c>
      <c r="R155">
        <f>ASSETs!$AE$2</f>
        <v>99</v>
      </c>
      <c r="S155" s="11">
        <v>146</v>
      </c>
      <c r="T155" s="3">
        <f>IF(TIM!F152=TIM!F152,TIM!F152,"")</f>
        <v>0</v>
      </c>
      <c r="U155" s="18">
        <f>ASSETs!X152</f>
        <v>0</v>
      </c>
      <c r="V155" t="str">
        <f>ASSETs!$AA$2</f>
        <v>Phuket</v>
      </c>
      <c r="W155" s="3">
        <f>ASSETs!$AB$2</f>
        <v>99</v>
      </c>
      <c r="X155" s="6" t="str">
        <f>ASSETs!AN152</f>
        <v>/0/543</v>
      </c>
      <c r="Y155" t="str">
        <f>ASSETs!$AF$2</f>
        <v>12.00</v>
      </c>
      <c r="Z155" s="18">
        <v>1</v>
      </c>
    </row>
    <row r="156" spans="1:26" ht="15">
      <c r="A156" s="16">
        <f>ROWS($A$5:B156:C156)</f>
        <v>152</v>
      </c>
      <c r="B156" s="16" t="str">
        <f>ASSETs!AU153</f>
        <v>/0/543</v>
      </c>
      <c r="C156" s="26" t="s">
        <v>309</v>
      </c>
      <c r="D156">
        <f>IF(TIM!Q153=TIM!Q153,TIM!Q153,"")</f>
        <v>0</v>
      </c>
      <c r="I156" t="str">
        <f>IFERROR(VLOOKUP(TIM!E153,ASSETs!$AA$6:$AB$7,2,FALSE),"")</f>
        <v/>
      </c>
      <c r="J156" s="2">
        <f>(IF(TIM!B153=TIM!B153,TIM!B153,""))</f>
        <v>0</v>
      </c>
      <c r="L156">
        <f>IF(TIM!C153=TIM!C153,TIM!C153,"")</f>
        <v>0</v>
      </c>
      <c r="M156" t="str">
        <f>ASSETs!W153</f>
        <v/>
      </c>
      <c r="N156" s="18"/>
      <c r="O156">
        <f>IF(TIM!G153=TIM!G153,TIM!G153,"")</f>
        <v>0</v>
      </c>
      <c r="P156" s="18"/>
      <c r="Q156" t="str">
        <f>ASSETs!$AD$2</f>
        <v>Phang-nga</v>
      </c>
      <c r="R156">
        <f>ASSETs!$AE$2</f>
        <v>99</v>
      </c>
      <c r="S156" s="11">
        <v>146</v>
      </c>
      <c r="T156" s="3">
        <f>IF(TIM!F153=TIM!F153,TIM!F153,"")</f>
        <v>0</v>
      </c>
      <c r="U156" s="18">
        <f>ASSETs!X153</f>
        <v>0</v>
      </c>
      <c r="V156" t="str">
        <f>ASSETs!$AA$2</f>
        <v>Phuket</v>
      </c>
      <c r="W156" s="3">
        <f>ASSETs!$AB$2</f>
        <v>99</v>
      </c>
      <c r="X156" s="6" t="str">
        <f>ASSETs!AN153</f>
        <v>/0/543</v>
      </c>
      <c r="Y156" t="str">
        <f>ASSETs!$AF$2</f>
        <v>12.00</v>
      </c>
      <c r="Z156" s="18">
        <v>1</v>
      </c>
    </row>
    <row r="157" spans="1:26" ht="15">
      <c r="A157" s="16">
        <f>ROWS($A$5:B157:C157)</f>
        <v>153</v>
      </c>
      <c r="B157" s="16" t="str">
        <f>ASSETs!AU154</f>
        <v>/0/543</v>
      </c>
      <c r="C157" s="26" t="s">
        <v>309</v>
      </c>
      <c r="D157">
        <f>IF(TIM!Q154=TIM!Q154,TIM!Q154,"")</f>
        <v>0</v>
      </c>
      <c r="I157" t="str">
        <f>IFERROR(VLOOKUP(TIM!E154,ASSETs!$AA$6:$AB$7,2,FALSE),"")</f>
        <v/>
      </c>
      <c r="J157" s="2">
        <f>(IF(TIM!B154=TIM!B154,TIM!B154,""))</f>
        <v>0</v>
      </c>
      <c r="L157">
        <f>IF(TIM!C154=TIM!C154,TIM!C154,"")</f>
        <v>0</v>
      </c>
      <c r="M157" t="str">
        <f>ASSETs!W154</f>
        <v/>
      </c>
      <c r="N157" s="18"/>
      <c r="O157">
        <f>IF(TIM!G154=TIM!G154,TIM!G154,"")</f>
        <v>0</v>
      </c>
      <c r="P157" s="18"/>
      <c r="Q157" t="str">
        <f>ASSETs!$AD$2</f>
        <v>Phang-nga</v>
      </c>
      <c r="R157">
        <f>ASSETs!$AE$2</f>
        <v>99</v>
      </c>
      <c r="S157" s="11">
        <v>146</v>
      </c>
      <c r="T157" s="3">
        <f>IF(TIM!F154=TIM!F154,TIM!F154,"")</f>
        <v>0</v>
      </c>
      <c r="U157" s="18">
        <f>ASSETs!X154</f>
        <v>0</v>
      </c>
      <c r="V157" t="str">
        <f>ASSETs!$AA$2</f>
        <v>Phuket</v>
      </c>
      <c r="W157" s="3">
        <f>ASSETs!$AB$2</f>
        <v>99</v>
      </c>
      <c r="X157" s="6" t="str">
        <f>ASSETs!AN154</f>
        <v>/0/543</v>
      </c>
      <c r="Y157" t="str">
        <f>ASSETs!$AF$2</f>
        <v>12.00</v>
      </c>
      <c r="Z157" s="18">
        <v>1</v>
      </c>
    </row>
    <row r="158" spans="1:26" ht="15">
      <c r="A158" s="16">
        <f>ROWS($A$5:B158:C158)</f>
        <v>154</v>
      </c>
      <c r="B158" s="16" t="str">
        <f>ASSETs!AU155</f>
        <v>/0/543</v>
      </c>
      <c r="C158" s="26" t="s">
        <v>309</v>
      </c>
      <c r="D158">
        <f>IF(TIM!Q155=TIM!Q155,TIM!Q155,"")</f>
        <v>0</v>
      </c>
      <c r="I158" t="str">
        <f>IFERROR(VLOOKUP(TIM!E155,ASSETs!$AA$6:$AB$7,2,FALSE),"")</f>
        <v/>
      </c>
      <c r="J158" s="2">
        <f>(IF(TIM!B155=TIM!B155,TIM!B155,""))</f>
        <v>0</v>
      </c>
      <c r="L158">
        <f>IF(TIM!C155=TIM!C155,TIM!C155,"")</f>
        <v>0</v>
      </c>
      <c r="M158" t="str">
        <f>ASSETs!W155</f>
        <v/>
      </c>
      <c r="N158" s="18"/>
      <c r="O158">
        <f>IF(TIM!G155=TIM!G155,TIM!G155,"")</f>
        <v>0</v>
      </c>
      <c r="P158" s="18"/>
      <c r="Q158" t="str">
        <f>ASSETs!$AD$2</f>
        <v>Phang-nga</v>
      </c>
      <c r="R158">
        <f>ASSETs!$AE$2</f>
        <v>99</v>
      </c>
      <c r="S158" s="11">
        <v>146</v>
      </c>
      <c r="T158" s="3">
        <f>IF(TIM!F155=TIM!F155,TIM!F155,"")</f>
        <v>0</v>
      </c>
      <c r="U158" s="18">
        <f>ASSETs!X155</f>
        <v>0</v>
      </c>
      <c r="V158" t="str">
        <f>ASSETs!$AA$2</f>
        <v>Phuket</v>
      </c>
      <c r="W158" s="3">
        <f>ASSETs!$AB$2</f>
        <v>99</v>
      </c>
      <c r="X158" s="6" t="str">
        <f>ASSETs!AN155</f>
        <v>/0/543</v>
      </c>
      <c r="Y158" t="str">
        <f>ASSETs!$AF$2</f>
        <v>12.00</v>
      </c>
      <c r="Z158" s="18">
        <v>1</v>
      </c>
    </row>
    <row r="159" spans="1:26" ht="15">
      <c r="A159" s="16">
        <f>ROWS($A$5:B159:C159)</f>
        <v>155</v>
      </c>
      <c r="B159" s="16" t="str">
        <f>ASSETs!AU156</f>
        <v>/0/543</v>
      </c>
      <c r="C159" s="26" t="s">
        <v>309</v>
      </c>
      <c r="D159">
        <f>IF(TIM!Q156=TIM!Q156,TIM!Q156,"")</f>
        <v>0</v>
      </c>
      <c r="I159" t="str">
        <f>IFERROR(VLOOKUP(TIM!E156,ASSETs!$AA$6:$AB$7,2,FALSE),"")</f>
        <v/>
      </c>
      <c r="J159" s="2">
        <f>(IF(TIM!B156=TIM!B156,TIM!B156,""))</f>
        <v>0</v>
      </c>
      <c r="L159">
        <f>IF(TIM!C156=TIM!C156,TIM!C156,"")</f>
        <v>0</v>
      </c>
      <c r="M159" t="str">
        <f>ASSETs!W156</f>
        <v/>
      </c>
      <c r="N159" s="18"/>
      <c r="O159">
        <f>IF(TIM!G156=TIM!G156,TIM!G156,"")</f>
        <v>0</v>
      </c>
      <c r="P159" s="18"/>
      <c r="Q159" t="str">
        <f>ASSETs!$AD$2</f>
        <v>Phang-nga</v>
      </c>
      <c r="R159">
        <f>ASSETs!$AE$2</f>
        <v>99</v>
      </c>
      <c r="S159" s="11">
        <v>146</v>
      </c>
      <c r="T159" s="3">
        <f>IF(TIM!F156=TIM!F156,TIM!F156,"")</f>
        <v>0</v>
      </c>
      <c r="U159" s="18">
        <f>ASSETs!X156</f>
        <v>0</v>
      </c>
      <c r="V159" t="str">
        <f>ASSETs!$AA$2</f>
        <v>Phuket</v>
      </c>
      <c r="W159" s="3">
        <f>ASSETs!$AB$2</f>
        <v>99</v>
      </c>
      <c r="X159" s="6" t="str">
        <f>ASSETs!AN156</f>
        <v>/0/543</v>
      </c>
      <c r="Y159" t="str">
        <f>ASSETs!$AF$2</f>
        <v>12.00</v>
      </c>
      <c r="Z159" s="18">
        <v>1</v>
      </c>
    </row>
    <row r="160" spans="1:26" ht="15">
      <c r="A160" s="16">
        <f>ROWS($A$5:B160:C160)</f>
        <v>156</v>
      </c>
      <c r="B160" s="16" t="str">
        <f>ASSETs!AU157</f>
        <v>/0/543</v>
      </c>
      <c r="C160" s="26" t="s">
        <v>309</v>
      </c>
      <c r="D160">
        <f>IF(TIM!Q157=TIM!Q157,TIM!Q157,"")</f>
        <v>0</v>
      </c>
      <c r="I160" t="str">
        <f>IFERROR(VLOOKUP(TIM!E157,ASSETs!$AA$6:$AB$7,2,FALSE),"")</f>
        <v/>
      </c>
      <c r="J160" s="2">
        <f>(IF(TIM!B157=TIM!B157,TIM!B157,""))</f>
        <v>0</v>
      </c>
      <c r="L160">
        <f>IF(TIM!C157=TIM!C157,TIM!C157,"")</f>
        <v>0</v>
      </c>
      <c r="M160" t="str">
        <f>ASSETs!W157</f>
        <v/>
      </c>
      <c r="N160" s="18"/>
      <c r="O160">
        <f>IF(TIM!G157=TIM!G157,TIM!G157,"")</f>
        <v>0</v>
      </c>
      <c r="P160" s="18"/>
      <c r="Q160" t="str">
        <f>ASSETs!$AD$2</f>
        <v>Phang-nga</v>
      </c>
      <c r="R160">
        <f>ASSETs!$AE$2</f>
        <v>99</v>
      </c>
      <c r="S160" s="11">
        <v>146</v>
      </c>
      <c r="T160" s="3">
        <f>IF(TIM!F157=TIM!F157,TIM!F157,"")</f>
        <v>0</v>
      </c>
      <c r="U160" s="18">
        <f>ASSETs!X157</f>
        <v>0</v>
      </c>
      <c r="V160" t="str">
        <f>ASSETs!$AA$2</f>
        <v>Phuket</v>
      </c>
      <c r="W160" s="3">
        <f>ASSETs!$AB$2</f>
        <v>99</v>
      </c>
      <c r="X160" s="6" t="str">
        <f>ASSETs!AN157</f>
        <v>/0/543</v>
      </c>
      <c r="Y160" t="str">
        <f>ASSETs!$AF$2</f>
        <v>12.00</v>
      </c>
      <c r="Z160" s="18">
        <v>1</v>
      </c>
    </row>
    <row r="161" spans="1:26" ht="15">
      <c r="A161" s="16">
        <f>ROWS($A$5:B161:C161)</f>
        <v>157</v>
      </c>
      <c r="B161" s="16" t="str">
        <f>ASSETs!AU158</f>
        <v>/0/543</v>
      </c>
      <c r="C161" s="26" t="s">
        <v>309</v>
      </c>
      <c r="D161">
        <f>IF(TIM!Q158=TIM!Q158,TIM!Q158,"")</f>
        <v>0</v>
      </c>
      <c r="I161" t="str">
        <f>IFERROR(VLOOKUP(TIM!E158,ASSETs!$AA$6:$AB$7,2,FALSE),"")</f>
        <v/>
      </c>
      <c r="J161" s="2">
        <f>(IF(TIM!B158=TIM!B158,TIM!B158,""))</f>
        <v>0</v>
      </c>
      <c r="L161">
        <f>IF(TIM!C158=TIM!C158,TIM!C158,"")</f>
        <v>0</v>
      </c>
      <c r="M161" t="str">
        <f>ASSETs!W158</f>
        <v/>
      </c>
      <c r="N161" s="18"/>
      <c r="O161">
        <f>IF(TIM!G158=TIM!G158,TIM!G158,"")</f>
        <v>0</v>
      </c>
      <c r="P161" s="18"/>
      <c r="Q161" t="str">
        <f>ASSETs!$AD$2</f>
        <v>Phang-nga</v>
      </c>
      <c r="R161">
        <f>ASSETs!$AE$2</f>
        <v>99</v>
      </c>
      <c r="S161" s="11">
        <v>146</v>
      </c>
      <c r="T161" s="3">
        <f>IF(TIM!F158=TIM!F158,TIM!F158,"")</f>
        <v>0</v>
      </c>
      <c r="U161" s="18">
        <f>ASSETs!X158</f>
        <v>0</v>
      </c>
      <c r="V161" t="str">
        <f>ASSETs!$AA$2</f>
        <v>Phuket</v>
      </c>
      <c r="W161" s="3">
        <f>ASSETs!$AB$2</f>
        <v>99</v>
      </c>
      <c r="X161" s="6" t="str">
        <f>ASSETs!AN158</f>
        <v>/0/543</v>
      </c>
      <c r="Y161" t="str">
        <f>ASSETs!$AF$2</f>
        <v>12.00</v>
      </c>
      <c r="Z161" s="18">
        <v>1</v>
      </c>
    </row>
    <row r="162" spans="1:26" ht="15">
      <c r="A162" s="16">
        <f>ROWS($A$5:B162:C162)</f>
        <v>158</v>
      </c>
      <c r="B162" s="16" t="str">
        <f>ASSETs!AU159</f>
        <v>/0/543</v>
      </c>
      <c r="C162" s="26" t="s">
        <v>309</v>
      </c>
      <c r="D162">
        <f>IF(TIM!Q159=TIM!Q159,TIM!Q159,"")</f>
        <v>0</v>
      </c>
      <c r="I162" t="str">
        <f>IFERROR(VLOOKUP(TIM!E159,ASSETs!$AA$6:$AB$7,2,FALSE),"")</f>
        <v/>
      </c>
      <c r="J162" s="2">
        <f>(IF(TIM!B159=TIM!B159,TIM!B159,""))</f>
        <v>0</v>
      </c>
      <c r="L162">
        <f>IF(TIM!C159=TIM!C159,TIM!C159,"")</f>
        <v>0</v>
      </c>
      <c r="M162" t="str">
        <f>ASSETs!W159</f>
        <v/>
      </c>
      <c r="N162" s="18"/>
      <c r="O162">
        <f>IF(TIM!G159=TIM!G159,TIM!G159,"")</f>
        <v>0</v>
      </c>
      <c r="P162" s="18"/>
      <c r="Q162" t="str">
        <f>ASSETs!$AD$2</f>
        <v>Phang-nga</v>
      </c>
      <c r="R162">
        <f>ASSETs!$AE$2</f>
        <v>99</v>
      </c>
      <c r="S162" s="11">
        <v>146</v>
      </c>
      <c r="T162" s="3">
        <f>IF(TIM!F159=TIM!F159,TIM!F159,"")</f>
        <v>0</v>
      </c>
      <c r="U162" s="18">
        <f>ASSETs!X159</f>
        <v>0</v>
      </c>
      <c r="V162" t="str">
        <f>ASSETs!$AA$2</f>
        <v>Phuket</v>
      </c>
      <c r="W162" s="3">
        <f>ASSETs!$AB$2</f>
        <v>99</v>
      </c>
      <c r="X162" s="6" t="str">
        <f>ASSETs!AN159</f>
        <v>/0/543</v>
      </c>
      <c r="Y162" t="str">
        <f>ASSETs!$AF$2</f>
        <v>12.00</v>
      </c>
      <c r="Z162" s="18">
        <v>1</v>
      </c>
    </row>
    <row r="163" spans="1:26" ht="15">
      <c r="A163" s="16">
        <f>ROWS($A$5:B163:C163)</f>
        <v>159</v>
      </c>
      <c r="B163" s="16" t="str">
        <f>ASSETs!AU160</f>
        <v>/0/543</v>
      </c>
      <c r="C163" s="26" t="s">
        <v>309</v>
      </c>
      <c r="D163">
        <f>IF(TIM!Q160=TIM!Q160,TIM!Q160,"")</f>
        <v>0</v>
      </c>
      <c r="I163" t="str">
        <f>IFERROR(VLOOKUP(TIM!E160,ASSETs!$AA$6:$AB$7,2,FALSE),"")</f>
        <v/>
      </c>
      <c r="J163" s="2">
        <f>(IF(TIM!B160=TIM!B160,TIM!B160,""))</f>
        <v>0</v>
      </c>
      <c r="L163">
        <f>IF(TIM!C160=TIM!C160,TIM!C160,"")</f>
        <v>0</v>
      </c>
      <c r="M163" t="str">
        <f>ASSETs!W160</f>
        <v/>
      </c>
      <c r="N163" s="18"/>
      <c r="O163">
        <f>IF(TIM!G160=TIM!G160,TIM!G160,"")</f>
        <v>0</v>
      </c>
      <c r="P163" s="18"/>
      <c r="Q163" t="str">
        <f>ASSETs!$AD$2</f>
        <v>Phang-nga</v>
      </c>
      <c r="R163">
        <f>ASSETs!$AE$2</f>
        <v>99</v>
      </c>
      <c r="S163" s="11">
        <v>146</v>
      </c>
      <c r="T163" s="3">
        <f>IF(TIM!F160=TIM!F160,TIM!F160,"")</f>
        <v>0</v>
      </c>
      <c r="U163" s="18">
        <f>ASSETs!X160</f>
        <v>0</v>
      </c>
      <c r="V163" t="str">
        <f>ASSETs!$AA$2</f>
        <v>Phuket</v>
      </c>
      <c r="W163" s="3">
        <f>ASSETs!$AB$2</f>
        <v>99</v>
      </c>
      <c r="X163" s="6" t="str">
        <f>ASSETs!AN160</f>
        <v>/0/543</v>
      </c>
      <c r="Y163" t="str">
        <f>ASSETs!$AF$2</f>
        <v>12.00</v>
      </c>
      <c r="Z163" s="18">
        <v>1</v>
      </c>
    </row>
    <row r="164" spans="1:26" ht="15">
      <c r="A164" s="16">
        <f>ROWS($A$5:B164:C164)</f>
        <v>160</v>
      </c>
      <c r="B164" s="16" t="str">
        <f>ASSETs!AU161</f>
        <v>/0/543</v>
      </c>
      <c r="C164" s="26" t="s">
        <v>309</v>
      </c>
      <c r="D164">
        <f>IF(TIM!Q161=TIM!Q161,TIM!Q161,"")</f>
        <v>0</v>
      </c>
      <c r="I164" t="str">
        <f>IFERROR(VLOOKUP(TIM!E161,ASSETs!$AA$6:$AB$7,2,FALSE),"")</f>
        <v/>
      </c>
      <c r="J164" s="2">
        <f>(IF(TIM!B161=TIM!B161,TIM!B161,""))</f>
        <v>0</v>
      </c>
      <c r="L164">
        <f>IF(TIM!C161=TIM!C161,TIM!C161,"")</f>
        <v>0</v>
      </c>
      <c r="M164" t="str">
        <f>ASSETs!W161</f>
        <v/>
      </c>
      <c r="N164" s="18"/>
      <c r="O164">
        <f>IF(TIM!G161=TIM!G161,TIM!G161,"")</f>
        <v>0</v>
      </c>
      <c r="P164" s="18"/>
      <c r="Q164" t="str">
        <f>ASSETs!$AD$2</f>
        <v>Phang-nga</v>
      </c>
      <c r="R164">
        <f>ASSETs!$AE$2</f>
        <v>99</v>
      </c>
      <c r="S164" s="11">
        <v>146</v>
      </c>
      <c r="T164" s="3">
        <f>IF(TIM!F161=TIM!F161,TIM!F161,"")</f>
        <v>0</v>
      </c>
      <c r="U164" s="18">
        <f>ASSETs!X161</f>
        <v>0</v>
      </c>
      <c r="V164" t="str">
        <f>ASSETs!$AA$2</f>
        <v>Phuket</v>
      </c>
      <c r="W164" s="3">
        <f>ASSETs!$AB$2</f>
        <v>99</v>
      </c>
      <c r="X164" s="6" t="str">
        <f>ASSETs!AN161</f>
        <v>/0/543</v>
      </c>
      <c r="Y164" t="str">
        <f>ASSETs!$AF$2</f>
        <v>12.00</v>
      </c>
      <c r="Z164" s="18">
        <v>1</v>
      </c>
    </row>
    <row r="165" spans="1:26" ht="15">
      <c r="A165" s="16">
        <f>ROWS($A$5:B165:C165)</f>
        <v>161</v>
      </c>
      <c r="B165" s="16" t="str">
        <f>ASSETs!AU162</f>
        <v>/0/543</v>
      </c>
      <c r="C165" s="26" t="s">
        <v>309</v>
      </c>
      <c r="D165">
        <f>IF(TIM!Q162=TIM!Q162,TIM!Q162,"")</f>
        <v>0</v>
      </c>
      <c r="I165" t="str">
        <f>IFERROR(VLOOKUP(TIM!E162,ASSETs!$AA$6:$AB$7,2,FALSE),"")</f>
        <v/>
      </c>
      <c r="J165" s="2">
        <f>(IF(TIM!B162=TIM!B162,TIM!B162,""))</f>
        <v>0</v>
      </c>
      <c r="L165">
        <f>IF(TIM!C162=TIM!C162,TIM!C162,"")</f>
        <v>0</v>
      </c>
      <c r="M165" t="str">
        <f>ASSETs!W162</f>
        <v/>
      </c>
      <c r="N165" s="18"/>
      <c r="O165">
        <f>IF(TIM!G162=TIM!G162,TIM!G162,"")</f>
        <v>0</v>
      </c>
      <c r="P165" s="18"/>
      <c r="Q165" t="str">
        <f>ASSETs!$AD$2</f>
        <v>Phang-nga</v>
      </c>
      <c r="R165">
        <f>ASSETs!$AE$2</f>
        <v>99</v>
      </c>
      <c r="S165" s="11">
        <v>146</v>
      </c>
      <c r="T165" s="3">
        <f>IF(TIM!F162=TIM!F162,TIM!F162,"")</f>
        <v>0</v>
      </c>
      <c r="U165" s="18">
        <f>ASSETs!X162</f>
        <v>0</v>
      </c>
      <c r="V165" t="str">
        <f>ASSETs!$AA$2</f>
        <v>Phuket</v>
      </c>
      <c r="W165" s="3">
        <f>ASSETs!$AB$2</f>
        <v>99</v>
      </c>
      <c r="X165" s="6" t="str">
        <f>ASSETs!AN162</f>
        <v>/0/543</v>
      </c>
      <c r="Y165" t="str">
        <f>ASSETs!$AF$2</f>
        <v>12.00</v>
      </c>
      <c r="Z165" s="18">
        <v>1</v>
      </c>
    </row>
    <row r="166" spans="1:26" ht="15">
      <c r="A166" s="16">
        <f>ROWS($A$5:B166:C166)</f>
        <v>162</v>
      </c>
      <c r="B166" s="16" t="str">
        <f>ASSETs!AU163</f>
        <v>/0/543</v>
      </c>
      <c r="C166" s="26" t="s">
        <v>309</v>
      </c>
      <c r="D166">
        <f>IF(TIM!Q163=TIM!Q163,TIM!Q163,"")</f>
        <v>0</v>
      </c>
      <c r="I166" t="str">
        <f>IFERROR(VLOOKUP(TIM!E163,ASSETs!$AA$6:$AB$7,2,FALSE),"")</f>
        <v/>
      </c>
      <c r="J166" s="2">
        <f>(IF(TIM!B163=TIM!B163,TIM!B163,""))</f>
        <v>0</v>
      </c>
      <c r="L166">
        <f>IF(TIM!C163=TIM!C163,TIM!C163,"")</f>
        <v>0</v>
      </c>
      <c r="M166" t="str">
        <f>ASSETs!W163</f>
        <v/>
      </c>
      <c r="N166" s="18"/>
      <c r="O166">
        <f>IF(TIM!G163=TIM!G163,TIM!G163,"")</f>
        <v>0</v>
      </c>
      <c r="P166" s="18"/>
      <c r="Q166" t="str">
        <f>ASSETs!$AD$2</f>
        <v>Phang-nga</v>
      </c>
      <c r="R166">
        <f>ASSETs!$AE$2</f>
        <v>99</v>
      </c>
      <c r="S166" s="11">
        <v>146</v>
      </c>
      <c r="T166" s="3">
        <f>IF(TIM!F163=TIM!F163,TIM!F163,"")</f>
        <v>0</v>
      </c>
      <c r="U166" s="18">
        <f>ASSETs!X163</f>
        <v>0</v>
      </c>
      <c r="V166" t="str">
        <f>ASSETs!$AA$2</f>
        <v>Phuket</v>
      </c>
      <c r="W166" s="3">
        <f>ASSETs!$AB$2</f>
        <v>99</v>
      </c>
      <c r="X166" s="6" t="str">
        <f>ASSETs!AN163</f>
        <v>/0/543</v>
      </c>
      <c r="Y166" t="str">
        <f>ASSETs!$AF$2</f>
        <v>12.00</v>
      </c>
      <c r="Z166" s="18">
        <v>1</v>
      </c>
    </row>
    <row r="167" spans="1:26" ht="15">
      <c r="A167" s="16">
        <f>ROWS($A$5:B167:C167)</f>
        <v>163</v>
      </c>
      <c r="B167" s="16" t="str">
        <f>ASSETs!AU164</f>
        <v>/0/543</v>
      </c>
      <c r="C167" s="26" t="s">
        <v>309</v>
      </c>
      <c r="D167">
        <f>IF(TIM!Q164=TIM!Q164,TIM!Q164,"")</f>
        <v>0</v>
      </c>
      <c r="I167" t="str">
        <f>IFERROR(VLOOKUP(TIM!E164,ASSETs!$AA$6:$AB$7,2,FALSE),"")</f>
        <v/>
      </c>
      <c r="J167" s="2">
        <f>(IF(TIM!B164=TIM!B164,TIM!B164,""))</f>
        <v>0</v>
      </c>
      <c r="L167">
        <f>IF(TIM!C164=TIM!C164,TIM!C164,"")</f>
        <v>0</v>
      </c>
      <c r="M167" t="str">
        <f>ASSETs!W164</f>
        <v/>
      </c>
      <c r="N167" s="18"/>
      <c r="O167">
        <f>IF(TIM!G164=TIM!G164,TIM!G164,"")</f>
        <v>0</v>
      </c>
      <c r="P167" s="18"/>
      <c r="Q167" t="str">
        <f>ASSETs!$AD$2</f>
        <v>Phang-nga</v>
      </c>
      <c r="R167">
        <f>ASSETs!$AE$2</f>
        <v>99</v>
      </c>
      <c r="S167" s="11">
        <v>146</v>
      </c>
      <c r="T167" s="3">
        <f>IF(TIM!F164=TIM!F164,TIM!F164,"")</f>
        <v>0</v>
      </c>
      <c r="U167" s="18">
        <f>ASSETs!X164</f>
        <v>0</v>
      </c>
      <c r="V167" t="str">
        <f>ASSETs!$AA$2</f>
        <v>Phuket</v>
      </c>
      <c r="W167" s="3">
        <f>ASSETs!$AB$2</f>
        <v>99</v>
      </c>
      <c r="X167" s="6" t="str">
        <f>ASSETs!AN164</f>
        <v>/0/543</v>
      </c>
      <c r="Y167" t="str">
        <f>ASSETs!$AF$2</f>
        <v>12.00</v>
      </c>
      <c r="Z167" s="18">
        <v>1</v>
      </c>
    </row>
    <row r="168" spans="1:26" ht="15">
      <c r="A168" s="16">
        <f>ROWS($A$5:B168:C168)</f>
        <v>164</v>
      </c>
      <c r="B168" s="16" t="str">
        <f>ASSETs!AU165</f>
        <v>/0/543</v>
      </c>
      <c r="C168" s="26" t="s">
        <v>309</v>
      </c>
      <c r="D168">
        <f>IF(TIM!Q165=TIM!Q165,TIM!Q165,"")</f>
        <v>0</v>
      </c>
      <c r="E168" s="18"/>
      <c r="G168" s="18"/>
      <c r="I168" t="str">
        <f>IFERROR(VLOOKUP(TIM!E165,ASSETs!$AA$6:$AB$7,2,FALSE),"")</f>
        <v/>
      </c>
      <c r="J168" s="2">
        <f>(IF(TIM!B165=TIM!B165,TIM!B165,""))</f>
        <v>0</v>
      </c>
      <c r="K168" s="18"/>
      <c r="L168">
        <f>IF(TIM!C165=TIM!C165,TIM!C165,"")</f>
        <v>0</v>
      </c>
      <c r="M168" t="str">
        <f>ASSETs!W165</f>
        <v/>
      </c>
      <c r="N168" s="27"/>
      <c r="O168">
        <f>IF(TIM!G165=TIM!G165,TIM!G165,"")</f>
        <v>0</v>
      </c>
      <c r="P168" s="18"/>
      <c r="Q168" t="str">
        <f>ASSETs!$AD$2</f>
        <v>Phang-nga</v>
      </c>
      <c r="R168">
        <f>ASSETs!$AE$2</f>
        <v>99</v>
      </c>
      <c r="S168" s="11">
        <v>146</v>
      </c>
      <c r="T168" s="3">
        <f>IF(TIM!F165=TIM!F165,TIM!F165,"")</f>
        <v>0</v>
      </c>
      <c r="U168" s="18">
        <f>ASSETs!X165</f>
        <v>0</v>
      </c>
      <c r="V168" t="str">
        <f>ASSETs!$AA$2</f>
        <v>Phuket</v>
      </c>
      <c r="W168" s="3">
        <f>ASSETs!$AB$2</f>
        <v>99</v>
      </c>
      <c r="X168" s="6" t="str">
        <f>ASSETs!AN165</f>
        <v>/0/543</v>
      </c>
      <c r="Y168" t="str">
        <f>ASSETs!$AF$2</f>
        <v>12.00</v>
      </c>
      <c r="Z168" s="18">
        <v>1</v>
      </c>
    </row>
    <row r="169" spans="1:26" ht="15">
      <c r="A169" s="16">
        <f>ROWS($A$5:B169:C169)</f>
        <v>165</v>
      </c>
      <c r="B169" s="16" t="str">
        <f>ASSETs!AU166</f>
        <v>/0/543</v>
      </c>
      <c r="C169" s="26" t="s">
        <v>309</v>
      </c>
      <c r="D169">
        <f>IF(TIM!Q166=TIM!Q166,TIM!Q166,"")</f>
        <v>0</v>
      </c>
      <c r="I169" t="str">
        <f>IFERROR(VLOOKUP(TIM!E166,ASSETs!$AA$6:$AB$7,2,FALSE),"")</f>
        <v/>
      </c>
      <c r="J169" s="2">
        <f>(IF(TIM!B166=TIM!B166,TIM!B166,""))</f>
        <v>0</v>
      </c>
      <c r="L169">
        <f>IF(TIM!C166=TIM!C166,TIM!C166,"")</f>
        <v>0</v>
      </c>
      <c r="M169" t="str">
        <f>ASSETs!W166</f>
        <v/>
      </c>
      <c r="N169" s="18"/>
      <c r="O169">
        <f>IF(TIM!G166=TIM!G166,TIM!G166,"")</f>
        <v>0</v>
      </c>
      <c r="P169" s="18"/>
      <c r="Q169" t="str">
        <f>ASSETs!$AD$2</f>
        <v>Phang-nga</v>
      </c>
      <c r="R169">
        <f>ASSETs!$AE$2</f>
        <v>99</v>
      </c>
      <c r="S169" s="11">
        <v>146</v>
      </c>
      <c r="T169" s="3">
        <f>IF(TIM!F166=TIM!F166,TIM!F166,"")</f>
        <v>0</v>
      </c>
      <c r="U169" s="18">
        <f>ASSETs!X166</f>
        <v>0</v>
      </c>
      <c r="V169" t="str">
        <f>ASSETs!$AA$2</f>
        <v>Phuket</v>
      </c>
      <c r="W169" s="3">
        <f>ASSETs!$AB$2</f>
        <v>99</v>
      </c>
      <c r="X169" s="6" t="str">
        <f>ASSETs!AN166</f>
        <v>/0/543</v>
      </c>
      <c r="Y169" t="str">
        <f>ASSETs!$AF$2</f>
        <v>12.00</v>
      </c>
      <c r="Z169" s="18">
        <v>1</v>
      </c>
    </row>
    <row r="170" spans="1:26" ht="15">
      <c r="A170" s="16">
        <f>ROWS($A$5:B170:C170)</f>
        <v>166</v>
      </c>
      <c r="B170" s="16" t="str">
        <f>ASSETs!AU167</f>
        <v>/0/543</v>
      </c>
      <c r="C170" s="26" t="s">
        <v>309</v>
      </c>
      <c r="D170">
        <f>IF(TIM!Q167=TIM!Q167,TIM!Q167,"")</f>
        <v>0</v>
      </c>
      <c r="I170" t="str">
        <f>IFERROR(VLOOKUP(TIM!E167,ASSETs!$AA$6:$AB$7,2,FALSE),"")</f>
        <v/>
      </c>
      <c r="J170" s="2">
        <f>(IF(TIM!B167=TIM!B167,TIM!B167,""))</f>
        <v>0</v>
      </c>
      <c r="L170">
        <f>IF(TIM!C167=TIM!C167,TIM!C167,"")</f>
        <v>0</v>
      </c>
      <c r="M170" t="str">
        <f>ASSETs!W167</f>
        <v/>
      </c>
      <c r="N170" s="18"/>
      <c r="O170">
        <f>IF(TIM!G167=TIM!G167,TIM!G167,"")</f>
        <v>0</v>
      </c>
      <c r="P170" s="18"/>
      <c r="Q170" t="str">
        <f>ASSETs!$AD$2</f>
        <v>Phang-nga</v>
      </c>
      <c r="R170">
        <f>ASSETs!$AE$2</f>
        <v>99</v>
      </c>
      <c r="S170" s="11">
        <v>146</v>
      </c>
      <c r="T170" s="3">
        <f>IF(TIM!F167=TIM!F167,TIM!F167,"")</f>
        <v>0</v>
      </c>
      <c r="U170" s="18">
        <f>ASSETs!X167</f>
        <v>0</v>
      </c>
      <c r="V170" t="str">
        <f>ASSETs!$AA$2</f>
        <v>Phuket</v>
      </c>
      <c r="W170" s="3">
        <f>ASSETs!$AB$2</f>
        <v>99</v>
      </c>
      <c r="X170" s="6" t="str">
        <f>ASSETs!AN167</f>
        <v>/0/543</v>
      </c>
      <c r="Y170" t="str">
        <f>ASSETs!$AF$2</f>
        <v>12.00</v>
      </c>
      <c r="Z170" s="18">
        <v>1</v>
      </c>
    </row>
    <row r="171" spans="1:26" ht="15">
      <c r="A171" s="16">
        <f>ROWS($A$5:B171:C171)</f>
        <v>167</v>
      </c>
      <c r="B171" s="16" t="str">
        <f>ASSETs!AU168</f>
        <v>/0/543</v>
      </c>
      <c r="C171" s="26" t="s">
        <v>309</v>
      </c>
      <c r="D171">
        <f>IF(TIM!Q168=TIM!Q168,TIM!Q168,"")</f>
        <v>0</v>
      </c>
      <c r="E171" s="18"/>
      <c r="F171" s="18"/>
      <c r="G171" s="18"/>
      <c r="H171" s="18"/>
      <c r="I171" t="str">
        <f>IFERROR(VLOOKUP(TIM!E168,ASSETs!$AA$6:$AB$7,2,FALSE),"")</f>
        <v/>
      </c>
      <c r="J171" s="2">
        <f>(IF(TIM!B168=TIM!B168,TIM!B168,""))</f>
        <v>0</v>
      </c>
      <c r="K171" s="18"/>
      <c r="L171">
        <f>IF(TIM!C168=TIM!C168,TIM!C168,"")</f>
        <v>0</v>
      </c>
      <c r="M171" t="str">
        <f>ASSETs!W168</f>
        <v/>
      </c>
      <c r="N171" s="27"/>
      <c r="O171">
        <f>IF(TIM!G168=TIM!G168,TIM!G168,"")</f>
        <v>0</v>
      </c>
      <c r="P171" s="18"/>
      <c r="Q171" t="str">
        <f>ASSETs!$AD$2</f>
        <v>Phang-nga</v>
      </c>
      <c r="R171">
        <f>ASSETs!$AE$2</f>
        <v>99</v>
      </c>
      <c r="S171" s="11">
        <v>146</v>
      </c>
      <c r="T171" s="3">
        <f>IF(TIM!F168=TIM!F168,TIM!F168,"")</f>
        <v>0</v>
      </c>
      <c r="U171" s="18">
        <f>ASSETs!X168</f>
        <v>0</v>
      </c>
      <c r="V171" t="str">
        <f>ASSETs!$AA$2</f>
        <v>Phuket</v>
      </c>
      <c r="W171" s="3">
        <f>ASSETs!$AB$2</f>
        <v>99</v>
      </c>
      <c r="X171" s="6" t="str">
        <f>ASSETs!AN168</f>
        <v>/0/543</v>
      </c>
      <c r="Y171" t="str">
        <f>ASSETs!$AF$2</f>
        <v>12.00</v>
      </c>
      <c r="Z171" s="18">
        <v>1</v>
      </c>
    </row>
    <row r="172" spans="1:26" ht="15">
      <c r="A172" s="16">
        <f>ROWS($A$5:B172:C172)</f>
        <v>168</v>
      </c>
      <c r="B172" s="16" t="str">
        <f>ASSETs!AU169</f>
        <v>/0/543</v>
      </c>
      <c r="C172" s="26" t="s">
        <v>309</v>
      </c>
      <c r="D172">
        <f>IF(TIM!Q169=TIM!Q169,TIM!Q169,"")</f>
        <v>0</v>
      </c>
      <c r="I172" t="str">
        <f>IFERROR(VLOOKUP(TIM!E169,ASSETs!$AA$6:$AB$7,2,FALSE),"")</f>
        <v/>
      </c>
      <c r="J172" s="2">
        <f>(IF(TIM!B169=TIM!B169,TIM!B169,""))</f>
        <v>0</v>
      </c>
      <c r="L172">
        <f>IF(TIM!C169=TIM!C169,TIM!C169,"")</f>
        <v>0</v>
      </c>
      <c r="M172" t="str">
        <f>ASSETs!W169</f>
        <v/>
      </c>
      <c r="N172" s="18"/>
      <c r="O172">
        <f>IF(TIM!G169=TIM!G169,TIM!G169,"")</f>
        <v>0</v>
      </c>
      <c r="P172" s="18"/>
      <c r="Q172" t="str">
        <f>ASSETs!$AD$2</f>
        <v>Phang-nga</v>
      </c>
      <c r="R172">
        <f>ASSETs!$AE$2</f>
        <v>99</v>
      </c>
      <c r="S172" s="11">
        <v>146</v>
      </c>
      <c r="T172" s="3">
        <f>IF(TIM!F169=TIM!F169,TIM!F169,"")</f>
        <v>0</v>
      </c>
      <c r="U172" s="18">
        <f>ASSETs!X169</f>
        <v>0</v>
      </c>
      <c r="V172" t="str">
        <f>ASSETs!$AA$2</f>
        <v>Phuket</v>
      </c>
      <c r="W172" s="3">
        <f>ASSETs!$AB$2</f>
        <v>99</v>
      </c>
      <c r="X172" s="6" t="str">
        <f>ASSETs!AN169</f>
        <v>/0/543</v>
      </c>
      <c r="Y172" t="str">
        <f>ASSETs!$AF$2</f>
        <v>12.00</v>
      </c>
      <c r="Z172" s="18">
        <v>1</v>
      </c>
    </row>
    <row r="173" spans="1:26" ht="15">
      <c r="A173" s="16">
        <f>ROWS($A$5:B173:C173)</f>
        <v>169</v>
      </c>
      <c r="B173" s="16" t="str">
        <f>ASSETs!AU170</f>
        <v>/0/543</v>
      </c>
      <c r="C173" s="26" t="s">
        <v>309</v>
      </c>
      <c r="D173">
        <f>IF(TIM!Q170=TIM!Q170,TIM!Q170,"")</f>
        <v>0</v>
      </c>
      <c r="I173" t="str">
        <f>IFERROR(VLOOKUP(TIM!E170,ASSETs!$AA$6:$AB$7,2,FALSE),"")</f>
        <v/>
      </c>
      <c r="J173" s="2">
        <f>(IF(TIM!B170=TIM!B170,TIM!B170,""))</f>
        <v>0</v>
      </c>
      <c r="L173">
        <f>IF(TIM!C170=TIM!C170,TIM!C170,"")</f>
        <v>0</v>
      </c>
      <c r="M173" t="str">
        <f>ASSETs!W170</f>
        <v/>
      </c>
      <c r="N173" s="18"/>
      <c r="O173">
        <f>IF(TIM!G170=TIM!G170,TIM!G170,"")</f>
        <v>0</v>
      </c>
      <c r="P173" s="18"/>
      <c r="Q173" t="str">
        <f>ASSETs!$AD$2</f>
        <v>Phang-nga</v>
      </c>
      <c r="R173">
        <f>ASSETs!$AE$2</f>
        <v>99</v>
      </c>
      <c r="S173" s="11">
        <v>146</v>
      </c>
      <c r="T173" s="3">
        <f>IF(TIM!F170=TIM!F170,TIM!F170,"")</f>
        <v>0</v>
      </c>
      <c r="U173" s="18">
        <f>ASSETs!X170</f>
        <v>0</v>
      </c>
      <c r="V173" t="str">
        <f>ASSETs!$AA$2</f>
        <v>Phuket</v>
      </c>
      <c r="W173" s="3">
        <f>ASSETs!$AB$2</f>
        <v>99</v>
      </c>
      <c r="X173" s="6" t="str">
        <f>ASSETs!AN170</f>
        <v>/0/543</v>
      </c>
      <c r="Y173" t="str">
        <f>ASSETs!$AF$2</f>
        <v>12.00</v>
      </c>
      <c r="Z173" s="18">
        <v>1</v>
      </c>
    </row>
    <row r="174" spans="1:26" ht="15">
      <c r="A174" s="16">
        <f>ROWS($A$5:B174:C174)</f>
        <v>170</v>
      </c>
      <c r="B174" s="16" t="str">
        <f>ASSETs!AU171</f>
        <v>/0/543</v>
      </c>
      <c r="C174" s="26" t="s">
        <v>309</v>
      </c>
      <c r="D174">
        <f>IF(TIM!Q171=TIM!Q171,TIM!Q171,"")</f>
        <v>0</v>
      </c>
      <c r="I174" t="str">
        <f>IFERROR(VLOOKUP(TIM!E171,ASSETs!$AA$6:$AB$7,2,FALSE),"")</f>
        <v/>
      </c>
      <c r="J174" s="2">
        <f>(IF(TIM!B171=TIM!B171,TIM!B171,""))</f>
        <v>0</v>
      </c>
      <c r="L174">
        <f>IF(TIM!C171=TIM!C171,TIM!C171,"")</f>
        <v>0</v>
      </c>
      <c r="M174" t="str">
        <f>ASSETs!W171</f>
        <v/>
      </c>
      <c r="N174" s="18"/>
      <c r="O174">
        <f>IF(TIM!G171=TIM!G171,TIM!G171,"")</f>
        <v>0</v>
      </c>
      <c r="P174" s="18"/>
      <c r="Q174" t="str">
        <f>ASSETs!$AD$2</f>
        <v>Phang-nga</v>
      </c>
      <c r="R174">
        <f>ASSETs!$AE$2</f>
        <v>99</v>
      </c>
      <c r="S174" s="11">
        <v>146</v>
      </c>
      <c r="T174" s="3">
        <f>IF(TIM!F171=TIM!F171,TIM!F171,"")</f>
        <v>0</v>
      </c>
      <c r="U174" s="18">
        <f>ASSETs!X171</f>
        <v>0</v>
      </c>
      <c r="V174" t="str">
        <f>ASSETs!$AA$2</f>
        <v>Phuket</v>
      </c>
      <c r="W174" s="3">
        <f>ASSETs!$AB$2</f>
        <v>99</v>
      </c>
      <c r="X174" s="6" t="str">
        <f>ASSETs!AN171</f>
        <v>/0/543</v>
      </c>
      <c r="Y174" t="str">
        <f>ASSETs!$AF$2</f>
        <v>12.00</v>
      </c>
      <c r="Z174" s="18">
        <v>1</v>
      </c>
    </row>
    <row r="175" spans="1:26" ht="15">
      <c r="A175" s="16">
        <f>ROWS($A$5:B175:C175)</f>
        <v>171</v>
      </c>
      <c r="B175" s="16" t="str">
        <f>ASSETs!AU172</f>
        <v>/0/543</v>
      </c>
      <c r="C175" s="26" t="s">
        <v>309</v>
      </c>
      <c r="D175">
        <f>IF(TIM!Q172=TIM!Q172,TIM!Q172,"")</f>
        <v>0</v>
      </c>
      <c r="I175" t="str">
        <f>IFERROR(VLOOKUP(TIM!E172,ASSETs!$AA$6:$AB$7,2,FALSE),"")</f>
        <v/>
      </c>
      <c r="J175" s="2">
        <f>(IF(TIM!B172=TIM!B172,TIM!B172,""))</f>
        <v>0</v>
      </c>
      <c r="L175">
        <f>IF(TIM!C172=TIM!C172,TIM!C172,"")</f>
        <v>0</v>
      </c>
      <c r="M175" t="str">
        <f>ASSETs!W172</f>
        <v/>
      </c>
      <c r="N175" s="18"/>
      <c r="O175">
        <f>IF(TIM!G172=TIM!G172,TIM!G172,"")</f>
        <v>0</v>
      </c>
      <c r="P175" s="18"/>
      <c r="Q175" t="str">
        <f>ASSETs!$AD$2</f>
        <v>Phang-nga</v>
      </c>
      <c r="R175">
        <f>ASSETs!$AE$2</f>
        <v>99</v>
      </c>
      <c r="S175" s="11">
        <v>146</v>
      </c>
      <c r="T175" s="3">
        <f>IF(TIM!F172=TIM!F172,TIM!F172,"")</f>
        <v>0</v>
      </c>
      <c r="U175" s="18">
        <f>ASSETs!X172</f>
        <v>0</v>
      </c>
      <c r="V175" t="str">
        <f>ASSETs!$AA$2</f>
        <v>Phuket</v>
      </c>
      <c r="W175" s="3">
        <f>ASSETs!$AB$2</f>
        <v>99</v>
      </c>
      <c r="X175" s="6" t="str">
        <f>ASSETs!AN172</f>
        <v>/0/543</v>
      </c>
      <c r="Y175" t="str">
        <f>ASSETs!$AF$2</f>
        <v>12.00</v>
      </c>
      <c r="Z175" s="18">
        <v>1</v>
      </c>
    </row>
    <row r="176" spans="1:26" ht="15">
      <c r="A176" s="16">
        <f>ROWS($A$5:B176:C176)</f>
        <v>172</v>
      </c>
      <c r="B176" s="16" t="str">
        <f>ASSETs!AU173</f>
        <v>/0/543</v>
      </c>
      <c r="C176" s="26" t="s">
        <v>309</v>
      </c>
      <c r="D176">
        <f>IF(TIM!Q173=TIM!Q173,TIM!Q173,"")</f>
        <v>0</v>
      </c>
      <c r="I176" t="str">
        <f>IFERROR(VLOOKUP(TIM!E173,ASSETs!$AA$6:$AB$7,2,FALSE),"")</f>
        <v/>
      </c>
      <c r="J176" s="2">
        <f>(IF(TIM!B173=TIM!B173,TIM!B173,""))</f>
        <v>0</v>
      </c>
      <c r="L176">
        <f>IF(TIM!C173=TIM!C173,TIM!C173,"")</f>
        <v>0</v>
      </c>
      <c r="M176" t="str">
        <f>ASSETs!W173</f>
        <v/>
      </c>
      <c r="N176" s="18"/>
      <c r="O176">
        <f>IF(TIM!G173=TIM!G173,TIM!G173,"")</f>
        <v>0</v>
      </c>
      <c r="P176" s="18"/>
      <c r="Q176" t="str">
        <f>ASSETs!$AD$2</f>
        <v>Phang-nga</v>
      </c>
      <c r="R176">
        <f>ASSETs!$AE$2</f>
        <v>99</v>
      </c>
      <c r="S176" s="11">
        <v>146</v>
      </c>
      <c r="T176" s="3">
        <f>IF(TIM!F173=TIM!F173,TIM!F173,"")</f>
        <v>0</v>
      </c>
      <c r="U176" s="18">
        <f>ASSETs!X173</f>
        <v>0</v>
      </c>
      <c r="V176" t="str">
        <f>ASSETs!$AA$2</f>
        <v>Phuket</v>
      </c>
      <c r="W176" s="3">
        <f>ASSETs!$AB$2</f>
        <v>99</v>
      </c>
      <c r="X176" s="6" t="str">
        <f>ASSETs!AN173</f>
        <v>/0/543</v>
      </c>
      <c r="Y176" t="str">
        <f>ASSETs!$AF$2</f>
        <v>12.00</v>
      </c>
      <c r="Z176" s="18">
        <v>1</v>
      </c>
    </row>
    <row r="177" spans="1:26" ht="15">
      <c r="A177" s="16">
        <f>ROWS($A$5:B177:C177)</f>
        <v>173</v>
      </c>
      <c r="B177" s="16" t="str">
        <f>ASSETs!AU174</f>
        <v>/0/543</v>
      </c>
      <c r="C177" s="26" t="s">
        <v>309</v>
      </c>
      <c r="D177">
        <f>IF(TIM!Q174=TIM!Q174,TIM!Q174,"")</f>
        <v>0</v>
      </c>
      <c r="I177" t="str">
        <f>IFERROR(VLOOKUP(TIM!E174,ASSETs!$AA$6:$AB$7,2,FALSE),"")</f>
        <v/>
      </c>
      <c r="J177" s="2">
        <f>(IF(TIM!B174=TIM!B174,TIM!B174,""))</f>
        <v>0</v>
      </c>
      <c r="L177">
        <f>IF(TIM!C174=TIM!C174,TIM!C174,"")</f>
        <v>0</v>
      </c>
      <c r="M177" t="str">
        <f>ASSETs!W174</f>
        <v/>
      </c>
      <c r="N177" s="18"/>
      <c r="O177">
        <f>IF(TIM!G174=TIM!G174,TIM!G174,"")</f>
        <v>0</v>
      </c>
      <c r="P177" s="18"/>
      <c r="Q177" t="str">
        <f>ASSETs!$AD$2</f>
        <v>Phang-nga</v>
      </c>
      <c r="R177">
        <f>ASSETs!$AE$2</f>
        <v>99</v>
      </c>
      <c r="S177" s="11">
        <v>146</v>
      </c>
      <c r="T177" s="3">
        <f>IF(TIM!F174=TIM!F174,TIM!F174,"")</f>
        <v>0</v>
      </c>
      <c r="U177" s="18">
        <f>ASSETs!X174</f>
        <v>0</v>
      </c>
      <c r="V177" t="str">
        <f>ASSETs!$AA$2</f>
        <v>Phuket</v>
      </c>
      <c r="W177" s="3">
        <f>ASSETs!$AB$2</f>
        <v>99</v>
      </c>
      <c r="X177" s="6" t="str">
        <f>ASSETs!AN174</f>
        <v>/0/543</v>
      </c>
      <c r="Y177" t="str">
        <f>ASSETs!$AF$2</f>
        <v>12.00</v>
      </c>
      <c r="Z177" s="18">
        <v>1</v>
      </c>
    </row>
    <row r="178" spans="1:26" ht="15">
      <c r="A178" s="16">
        <f>ROWS($A$5:B178:C178)</f>
        <v>174</v>
      </c>
      <c r="B178" s="16" t="str">
        <f>ASSETs!AU175</f>
        <v>/0/543</v>
      </c>
      <c r="C178" s="26" t="s">
        <v>309</v>
      </c>
      <c r="D178">
        <f>IF(TIM!Q175=TIM!Q175,TIM!Q175,"")</f>
        <v>0</v>
      </c>
      <c r="I178" t="str">
        <f>IFERROR(VLOOKUP(TIM!E175,ASSETs!$AA$6:$AB$7,2,FALSE),"")</f>
        <v/>
      </c>
      <c r="J178" s="2">
        <f>(IF(TIM!B175=TIM!B175,TIM!B175,""))</f>
        <v>0</v>
      </c>
      <c r="L178">
        <f>IF(TIM!C175=TIM!C175,TIM!C175,"")</f>
        <v>0</v>
      </c>
      <c r="M178" t="str">
        <f>ASSETs!W175</f>
        <v/>
      </c>
      <c r="N178" s="18"/>
      <c r="O178">
        <f>IF(TIM!G175=TIM!G175,TIM!G175,"")</f>
        <v>0</v>
      </c>
      <c r="P178" s="18"/>
      <c r="Q178" t="str">
        <f>ASSETs!$AD$2</f>
        <v>Phang-nga</v>
      </c>
      <c r="R178">
        <f>ASSETs!$AE$2</f>
        <v>99</v>
      </c>
      <c r="S178" s="11">
        <v>146</v>
      </c>
      <c r="T178" s="3">
        <f>IF(TIM!F175=TIM!F175,TIM!F175,"")</f>
        <v>0</v>
      </c>
      <c r="U178" s="18">
        <f>ASSETs!X175</f>
        <v>0</v>
      </c>
      <c r="V178" t="str">
        <f>ASSETs!$AA$2</f>
        <v>Phuket</v>
      </c>
      <c r="W178" s="3">
        <f>ASSETs!$AB$2</f>
        <v>99</v>
      </c>
      <c r="X178" s="6" t="str">
        <f>ASSETs!AN175</f>
        <v>/0/543</v>
      </c>
      <c r="Y178" t="str">
        <f>ASSETs!$AF$2</f>
        <v>12.00</v>
      </c>
      <c r="Z178" s="18">
        <v>1</v>
      </c>
    </row>
    <row r="179" spans="1:26" ht="15">
      <c r="A179" s="16">
        <f>ROWS($A$5:B179:C179)</f>
        <v>175</v>
      </c>
      <c r="B179" s="16" t="str">
        <f>ASSETs!AU176</f>
        <v>/0/543</v>
      </c>
      <c r="C179" s="26" t="s">
        <v>309</v>
      </c>
      <c r="D179">
        <f>IF(TIM!Q176=TIM!Q176,TIM!Q176,"")</f>
        <v>0</v>
      </c>
      <c r="I179" t="str">
        <f>IFERROR(VLOOKUP(TIM!E176,ASSETs!$AA$6:$AB$7,2,FALSE),"")</f>
        <v/>
      </c>
      <c r="J179" s="2">
        <f>(IF(TIM!B176=TIM!B176,TIM!B176,""))</f>
        <v>0</v>
      </c>
      <c r="L179">
        <f>IF(TIM!C176=TIM!C176,TIM!C176,"")</f>
        <v>0</v>
      </c>
      <c r="M179" t="str">
        <f>ASSETs!W176</f>
        <v/>
      </c>
      <c r="N179" s="18"/>
      <c r="O179">
        <f>IF(TIM!G176=TIM!G176,TIM!G176,"")</f>
        <v>0</v>
      </c>
      <c r="P179" s="18"/>
      <c r="Q179" t="str">
        <f>ASSETs!$AD$2</f>
        <v>Phang-nga</v>
      </c>
      <c r="R179">
        <f>ASSETs!$AE$2</f>
        <v>99</v>
      </c>
      <c r="S179" s="11">
        <v>146</v>
      </c>
      <c r="T179" s="3">
        <f>IF(TIM!F176=TIM!F176,TIM!F176,"")</f>
        <v>0</v>
      </c>
      <c r="U179" s="18">
        <f>ASSETs!X176</f>
        <v>0</v>
      </c>
      <c r="V179" t="str">
        <f>ASSETs!$AA$2</f>
        <v>Phuket</v>
      </c>
      <c r="W179" s="3">
        <f>ASSETs!$AB$2</f>
        <v>99</v>
      </c>
      <c r="X179" s="6" t="str">
        <f>ASSETs!AN176</f>
        <v>/0/543</v>
      </c>
      <c r="Y179" t="str">
        <f>ASSETs!$AF$2</f>
        <v>12.00</v>
      </c>
      <c r="Z179" s="18">
        <v>1</v>
      </c>
    </row>
    <row r="180" spans="1:26" ht="15">
      <c r="A180" s="16">
        <f>ROWS($A$5:B180:C180)</f>
        <v>176</v>
      </c>
      <c r="B180" s="16" t="str">
        <f>ASSETs!AU177</f>
        <v>/0/543</v>
      </c>
      <c r="C180" s="26" t="s">
        <v>309</v>
      </c>
      <c r="D180">
        <f>IF(TIM!Q177=TIM!Q177,TIM!Q177,"")</f>
        <v>0</v>
      </c>
      <c r="I180" t="str">
        <f>IFERROR(VLOOKUP(TIM!E177,ASSETs!$AA$6:$AB$7,2,FALSE),"")</f>
        <v/>
      </c>
      <c r="J180" s="2">
        <f>(IF(TIM!B177=TIM!B177,TIM!B177,""))</f>
        <v>0</v>
      </c>
      <c r="L180">
        <f>IF(TIM!C177=TIM!C177,TIM!C177,"")</f>
        <v>0</v>
      </c>
      <c r="M180" t="str">
        <f>ASSETs!W177</f>
        <v/>
      </c>
      <c r="N180" s="18"/>
      <c r="O180">
        <f>IF(TIM!G177=TIM!G177,TIM!G177,"")</f>
        <v>0</v>
      </c>
      <c r="P180" s="18"/>
      <c r="Q180" t="str">
        <f>ASSETs!$AD$2</f>
        <v>Phang-nga</v>
      </c>
      <c r="R180">
        <f>ASSETs!$AE$2</f>
        <v>99</v>
      </c>
      <c r="S180" s="11">
        <v>146</v>
      </c>
      <c r="T180" s="3">
        <f>IF(TIM!F177=TIM!F177,TIM!F177,"")</f>
        <v>0</v>
      </c>
      <c r="U180" s="18">
        <f>ASSETs!X177</f>
        <v>0</v>
      </c>
      <c r="V180" t="str">
        <f>ASSETs!$AA$2</f>
        <v>Phuket</v>
      </c>
      <c r="W180" s="3">
        <f>ASSETs!$AB$2</f>
        <v>99</v>
      </c>
      <c r="X180" s="6" t="str">
        <f>ASSETs!AN177</f>
        <v>/0/543</v>
      </c>
      <c r="Y180" t="str">
        <f>ASSETs!$AF$2</f>
        <v>12.00</v>
      </c>
      <c r="Z180" s="18">
        <v>1</v>
      </c>
    </row>
    <row r="181" spans="1:26" ht="15">
      <c r="A181" s="16">
        <f>ROWS($A$5:B181:C181)</f>
        <v>177</v>
      </c>
      <c r="B181" s="16" t="str">
        <f>ASSETs!AU178</f>
        <v>/0/543</v>
      </c>
      <c r="C181" s="26" t="s">
        <v>309</v>
      </c>
      <c r="D181">
        <f>IF(TIM!Q178=TIM!Q178,TIM!Q178,"")</f>
        <v>0</v>
      </c>
      <c r="I181" t="str">
        <f>IFERROR(VLOOKUP(TIM!E178,ASSETs!$AA$6:$AB$7,2,FALSE),"")</f>
        <v/>
      </c>
      <c r="J181" s="2">
        <f>(IF(TIM!B178=TIM!B178,TIM!B178,""))</f>
        <v>0</v>
      </c>
      <c r="L181">
        <f>IF(TIM!C178=TIM!C178,TIM!C178,"")</f>
        <v>0</v>
      </c>
      <c r="M181" t="str">
        <f>ASSETs!W178</f>
        <v/>
      </c>
      <c r="N181" s="18"/>
      <c r="O181">
        <f>IF(TIM!G178=TIM!G178,TIM!G178,"")</f>
        <v>0</v>
      </c>
      <c r="P181" s="18"/>
      <c r="Q181" t="str">
        <f>ASSETs!$AD$2</f>
        <v>Phang-nga</v>
      </c>
      <c r="R181">
        <f>ASSETs!$AE$2</f>
        <v>99</v>
      </c>
      <c r="S181" s="11">
        <v>146</v>
      </c>
      <c r="T181" s="3">
        <f>IF(TIM!F178=TIM!F178,TIM!F178,"")</f>
        <v>0</v>
      </c>
      <c r="U181" s="18">
        <f>ASSETs!X178</f>
        <v>0</v>
      </c>
      <c r="V181" t="str">
        <f>ASSETs!$AA$2</f>
        <v>Phuket</v>
      </c>
      <c r="W181" s="3">
        <f>ASSETs!$AB$2</f>
        <v>99</v>
      </c>
      <c r="X181" s="6" t="str">
        <f>ASSETs!AN178</f>
        <v>/0/543</v>
      </c>
      <c r="Y181" t="str">
        <f>ASSETs!$AF$2</f>
        <v>12.00</v>
      </c>
      <c r="Z181" s="18">
        <v>1</v>
      </c>
    </row>
    <row r="182" spans="1:26" ht="15">
      <c r="A182" s="16">
        <f>ROWS($A$5:B182:C182)</f>
        <v>178</v>
      </c>
      <c r="B182" s="16" t="str">
        <f>ASSETs!AU179</f>
        <v>/0/543</v>
      </c>
      <c r="C182" s="26" t="s">
        <v>309</v>
      </c>
      <c r="D182">
        <f>IF(TIM!Q179=TIM!Q179,TIM!Q179,"")</f>
        <v>0</v>
      </c>
      <c r="I182" t="str">
        <f>IFERROR(VLOOKUP(TIM!E179,ASSETs!$AA$6:$AB$7,2,FALSE),"")</f>
        <v/>
      </c>
      <c r="J182" s="2">
        <f>(IF(TIM!B179=TIM!B179,TIM!B179,""))</f>
        <v>0</v>
      </c>
      <c r="L182">
        <f>IF(TIM!C179=TIM!C179,TIM!C179,"")</f>
        <v>0</v>
      </c>
      <c r="M182" t="str">
        <f>ASSETs!W179</f>
        <v/>
      </c>
      <c r="N182" s="18"/>
      <c r="O182">
        <f>IF(TIM!G179=TIM!G179,TIM!G179,"")</f>
        <v>0</v>
      </c>
      <c r="P182" s="18"/>
      <c r="Q182" t="str">
        <f>ASSETs!$AD$2</f>
        <v>Phang-nga</v>
      </c>
      <c r="R182">
        <f>ASSETs!$AE$2</f>
        <v>99</v>
      </c>
      <c r="S182" s="11">
        <v>146</v>
      </c>
      <c r="T182" s="3">
        <f>IF(TIM!F179=TIM!F179,TIM!F179,"")</f>
        <v>0</v>
      </c>
      <c r="U182" s="18">
        <f>ASSETs!X179</f>
        <v>0</v>
      </c>
      <c r="V182" t="str">
        <f>ASSETs!$AA$2</f>
        <v>Phuket</v>
      </c>
      <c r="W182" s="3">
        <f>ASSETs!$AB$2</f>
        <v>99</v>
      </c>
      <c r="X182" s="6" t="str">
        <f>ASSETs!AN179</f>
        <v>/0/543</v>
      </c>
      <c r="Y182" t="str">
        <f>ASSETs!$AF$2</f>
        <v>12.00</v>
      </c>
      <c r="Z182" s="18">
        <v>1</v>
      </c>
    </row>
    <row r="183" spans="1:26" ht="15">
      <c r="A183" s="16">
        <f>ROWS($A$5:B183:C183)</f>
        <v>179</v>
      </c>
      <c r="B183" s="16" t="str">
        <f>ASSETs!AU180</f>
        <v>/0/543</v>
      </c>
      <c r="C183" s="26" t="s">
        <v>309</v>
      </c>
      <c r="D183">
        <f>IF(TIM!Q180=TIM!Q180,TIM!Q180,"")</f>
        <v>0</v>
      </c>
      <c r="E183" s="18"/>
      <c r="F183" s="18"/>
      <c r="G183" s="18"/>
      <c r="H183" s="18"/>
      <c r="I183" t="str">
        <f>IFERROR(VLOOKUP(TIM!E180,ASSETs!$AA$6:$AB$7,2,FALSE),"")</f>
        <v/>
      </c>
      <c r="J183" s="2">
        <f>(IF(TIM!B180=TIM!B180,TIM!B180,""))</f>
        <v>0</v>
      </c>
      <c r="K183" s="18"/>
      <c r="L183">
        <f>IF(TIM!C180=TIM!C180,TIM!C180,"")</f>
        <v>0</v>
      </c>
      <c r="M183" t="str">
        <f>ASSETs!W180</f>
        <v/>
      </c>
      <c r="N183" s="27"/>
      <c r="O183">
        <f>IF(TIM!G180=TIM!G180,TIM!G180,"")</f>
        <v>0</v>
      </c>
      <c r="P183" s="18"/>
      <c r="Q183" t="str">
        <f>ASSETs!$AD$2</f>
        <v>Phang-nga</v>
      </c>
      <c r="R183">
        <f>ASSETs!$AE$2</f>
        <v>99</v>
      </c>
      <c r="S183" s="11">
        <v>146</v>
      </c>
      <c r="T183" s="3">
        <f>IF(TIM!F180=TIM!F180,TIM!F180,"")</f>
        <v>0</v>
      </c>
      <c r="U183" s="18">
        <f>ASSETs!X180</f>
        <v>0</v>
      </c>
      <c r="V183" t="str">
        <f>ASSETs!$AA$2</f>
        <v>Phuket</v>
      </c>
      <c r="W183" s="3">
        <f>ASSETs!$AB$2</f>
        <v>99</v>
      </c>
      <c r="X183" s="6" t="str">
        <f>ASSETs!AN180</f>
        <v>/0/543</v>
      </c>
      <c r="Y183" t="str">
        <f>ASSETs!$AF$2</f>
        <v>12.00</v>
      </c>
      <c r="Z183" s="18">
        <v>1</v>
      </c>
    </row>
    <row r="184" spans="1:26" ht="15">
      <c r="A184" s="16">
        <f>ROWS($A$5:B184:C184)</f>
        <v>180</v>
      </c>
      <c r="B184" s="16" t="str">
        <f>ASSETs!AU181</f>
        <v>/0/543</v>
      </c>
      <c r="C184" s="26" t="s">
        <v>309</v>
      </c>
      <c r="D184">
        <f>IF(TIM!Q181=TIM!Q181,TIM!Q181,"")</f>
        <v>0</v>
      </c>
      <c r="E184" s="18"/>
      <c r="F184" s="18"/>
      <c r="G184" s="18"/>
      <c r="H184" s="18"/>
      <c r="I184" t="str">
        <f>IFERROR(VLOOKUP(TIM!E181,ASSETs!$AA$6:$AB$7,2,FALSE),"")</f>
        <v/>
      </c>
      <c r="J184" s="2">
        <f>(IF(TIM!B181=TIM!B181,TIM!B181,""))</f>
        <v>0</v>
      </c>
      <c r="K184" s="18"/>
      <c r="L184">
        <f>IF(TIM!C181=TIM!C181,TIM!C181,"")</f>
        <v>0</v>
      </c>
      <c r="M184" t="str">
        <f>ASSETs!W181</f>
        <v/>
      </c>
      <c r="N184" s="27"/>
      <c r="O184">
        <f>IF(TIM!G181=TIM!G181,TIM!G181,"")</f>
        <v>0</v>
      </c>
      <c r="P184" s="18"/>
      <c r="Q184" t="str">
        <f>ASSETs!$AD$2</f>
        <v>Phang-nga</v>
      </c>
      <c r="R184">
        <f>ASSETs!$AE$2</f>
        <v>99</v>
      </c>
      <c r="S184" s="11">
        <v>146</v>
      </c>
      <c r="T184" s="3">
        <f>IF(TIM!F181=TIM!F181,TIM!F181,"")</f>
        <v>0</v>
      </c>
      <c r="U184" s="18">
        <f>ASSETs!X181</f>
        <v>0</v>
      </c>
      <c r="V184" t="str">
        <f>ASSETs!$AA$2</f>
        <v>Phuket</v>
      </c>
      <c r="W184" s="3">
        <f>ASSETs!$AB$2</f>
        <v>99</v>
      </c>
      <c r="X184" s="6" t="str">
        <f>ASSETs!AN181</f>
        <v>/0/543</v>
      </c>
      <c r="Y184" t="str">
        <f>ASSETs!$AF$2</f>
        <v>12.00</v>
      </c>
      <c r="Z184" s="18">
        <v>1</v>
      </c>
    </row>
    <row r="185" spans="1:26" ht="15">
      <c r="A185" s="16">
        <f>ROWS($A$5:B185:C185)</f>
        <v>181</v>
      </c>
      <c r="B185" s="16" t="str">
        <f>ASSETs!AU182</f>
        <v>/0/543</v>
      </c>
      <c r="C185" s="26" t="s">
        <v>309</v>
      </c>
      <c r="D185">
        <f>IF(TIM!Q182=TIM!Q182,TIM!Q182,"")</f>
        <v>0</v>
      </c>
      <c r="E185" s="18"/>
      <c r="F185" s="18"/>
      <c r="G185" s="18"/>
      <c r="H185" s="18"/>
      <c r="I185" t="str">
        <f>IFERROR(VLOOKUP(TIM!E182,ASSETs!$AA$6:$AB$7,2,FALSE),"")</f>
        <v/>
      </c>
      <c r="J185" s="2">
        <f>(IF(TIM!B182=TIM!B182,TIM!B182,""))</f>
        <v>0</v>
      </c>
      <c r="K185" s="18"/>
      <c r="L185">
        <f>IF(TIM!C182=TIM!C182,TIM!C182,"")</f>
        <v>0</v>
      </c>
      <c r="M185" t="str">
        <f>ASSETs!W182</f>
        <v/>
      </c>
      <c r="N185" s="27"/>
      <c r="O185">
        <f>IF(TIM!G182=TIM!G182,TIM!G182,"")</f>
        <v>0</v>
      </c>
      <c r="P185" s="18"/>
      <c r="Q185" t="str">
        <f>ASSETs!$AD$2</f>
        <v>Phang-nga</v>
      </c>
      <c r="R185">
        <f>ASSETs!$AE$2</f>
        <v>99</v>
      </c>
      <c r="S185" s="11">
        <v>146</v>
      </c>
      <c r="T185" s="3">
        <f>IF(TIM!F182=TIM!F182,TIM!F182,"")</f>
        <v>0</v>
      </c>
      <c r="U185" s="18">
        <f>ASSETs!X182</f>
        <v>0</v>
      </c>
      <c r="V185" t="str">
        <f>ASSETs!$AA$2</f>
        <v>Phuket</v>
      </c>
      <c r="W185" s="3">
        <f>ASSETs!$AB$2</f>
        <v>99</v>
      </c>
      <c r="X185" s="6" t="str">
        <f>ASSETs!AN182</f>
        <v>/0/543</v>
      </c>
      <c r="Y185" t="str">
        <f>ASSETs!$AF$2</f>
        <v>12.00</v>
      </c>
      <c r="Z185" s="18">
        <v>1</v>
      </c>
    </row>
    <row r="186" spans="1:26" ht="15">
      <c r="A186" s="16">
        <f>ROWS($A$5:B186:C186)</f>
        <v>182</v>
      </c>
      <c r="B186" s="16" t="str">
        <f>ASSETs!AU183</f>
        <v>/0/543</v>
      </c>
      <c r="C186" s="26" t="s">
        <v>309</v>
      </c>
      <c r="D186">
        <f>IF(TIM!Q183=TIM!Q183,TIM!Q183,"")</f>
        <v>0</v>
      </c>
      <c r="E186" s="18"/>
      <c r="F186" s="18"/>
      <c r="G186" s="18"/>
      <c r="H186" s="18"/>
      <c r="I186" t="str">
        <f>IFERROR(VLOOKUP(TIM!E183,ASSETs!$AA$6:$AB$7,2,FALSE),"")</f>
        <v/>
      </c>
      <c r="J186" s="2">
        <f>(IF(TIM!B183=TIM!B183,TIM!B183,""))</f>
        <v>0</v>
      </c>
      <c r="K186" s="18"/>
      <c r="L186">
        <f>IF(TIM!C183=TIM!C183,TIM!C183,"")</f>
        <v>0</v>
      </c>
      <c r="M186" t="str">
        <f>ASSETs!W183</f>
        <v/>
      </c>
      <c r="N186" s="27"/>
      <c r="O186">
        <f>IF(TIM!G183=TIM!G183,TIM!G183,"")</f>
        <v>0</v>
      </c>
      <c r="P186" s="18"/>
      <c r="Q186" t="str">
        <f>ASSETs!$AD$2</f>
        <v>Phang-nga</v>
      </c>
      <c r="R186">
        <f>ASSETs!$AE$2</f>
        <v>99</v>
      </c>
      <c r="S186" s="11">
        <v>146</v>
      </c>
      <c r="T186" s="3">
        <f>IF(TIM!F183=TIM!F183,TIM!F183,"")</f>
        <v>0</v>
      </c>
      <c r="U186" s="18">
        <f>ASSETs!X183</f>
        <v>0</v>
      </c>
      <c r="V186" t="str">
        <f>ASSETs!$AA$2</f>
        <v>Phuket</v>
      </c>
      <c r="W186" s="3">
        <f>ASSETs!$AB$2</f>
        <v>99</v>
      </c>
      <c r="X186" s="6" t="str">
        <f>ASSETs!AN183</f>
        <v>/0/543</v>
      </c>
      <c r="Y186" t="str">
        <f>ASSETs!$AF$2</f>
        <v>12.00</v>
      </c>
      <c r="Z186" s="18">
        <v>1</v>
      </c>
    </row>
    <row r="187" spans="1:26" ht="15">
      <c r="A187" s="16">
        <f>ROWS($A$5:B187:C187)</f>
        <v>183</v>
      </c>
      <c r="B187" s="16" t="str">
        <f>ASSETs!AU184</f>
        <v>/0/543</v>
      </c>
      <c r="C187" s="26" t="s">
        <v>309</v>
      </c>
      <c r="D187">
        <f>IF(TIM!Q184=TIM!Q184,TIM!Q184,"")</f>
        <v>0</v>
      </c>
      <c r="E187" s="27"/>
      <c r="F187" s="27"/>
      <c r="G187" s="18"/>
      <c r="H187" s="27"/>
      <c r="I187" t="str">
        <f>IFERROR(VLOOKUP(TIM!E184,ASSETs!$AA$6:$AB$7,2,FALSE),"")</f>
        <v/>
      </c>
      <c r="J187" s="2">
        <f>(IF(TIM!B184=TIM!B184,TIM!B184,""))</f>
        <v>0</v>
      </c>
      <c r="K187" s="18"/>
      <c r="L187">
        <f>IF(TIM!C184=TIM!C184,TIM!C184,"")</f>
        <v>0</v>
      </c>
      <c r="M187" t="str">
        <f>ASSETs!W184</f>
        <v/>
      </c>
      <c r="N187" s="27"/>
      <c r="O187">
        <f>IF(TIM!G184=TIM!G184,TIM!G184,"")</f>
        <v>0</v>
      </c>
      <c r="P187" s="27"/>
      <c r="Q187" t="str">
        <f>ASSETs!$AD$2</f>
        <v>Phang-nga</v>
      </c>
      <c r="R187">
        <f>ASSETs!$AE$2</f>
        <v>99</v>
      </c>
      <c r="S187" s="11">
        <v>146</v>
      </c>
      <c r="T187" s="3">
        <f>IF(TIM!F184=TIM!F184,TIM!F184,"")</f>
        <v>0</v>
      </c>
      <c r="U187" s="18">
        <f>ASSETs!X184</f>
        <v>0</v>
      </c>
      <c r="V187" t="str">
        <f>ASSETs!$AA$2</f>
        <v>Phuket</v>
      </c>
      <c r="W187" s="3">
        <f>ASSETs!$AB$2</f>
        <v>99</v>
      </c>
      <c r="X187" s="6" t="str">
        <f>ASSETs!AN184</f>
        <v>/0/543</v>
      </c>
      <c r="Y187" t="str">
        <f>ASSETs!$AF$2</f>
        <v>12.00</v>
      </c>
      <c r="Z187" s="18">
        <v>1</v>
      </c>
    </row>
    <row r="188" spans="1:26" ht="15">
      <c r="A188" s="16">
        <f>ROWS($A$5:B188:C188)</f>
        <v>184</v>
      </c>
      <c r="B188" s="16" t="str">
        <f>ASSETs!AU185</f>
        <v>/0/543</v>
      </c>
      <c r="C188" s="26" t="s">
        <v>309</v>
      </c>
      <c r="D188">
        <f>IF(TIM!Q185=TIM!Q185,TIM!Q185,"")</f>
        <v>0</v>
      </c>
      <c r="E188" s="27"/>
      <c r="F188" s="27"/>
      <c r="G188" s="18"/>
      <c r="H188" s="27"/>
      <c r="I188" t="str">
        <f>IFERROR(VLOOKUP(TIM!E185,ASSETs!$AA$6:$AB$7,2,FALSE),"")</f>
        <v/>
      </c>
      <c r="J188" s="2">
        <f>(IF(TIM!B185=TIM!B185,TIM!B185,""))</f>
        <v>0</v>
      </c>
      <c r="K188" s="18"/>
      <c r="L188">
        <f>IF(TIM!C185=TIM!C185,TIM!C185,"")</f>
        <v>0</v>
      </c>
      <c r="M188" t="str">
        <f>ASSETs!W185</f>
        <v/>
      </c>
      <c r="N188" s="27"/>
      <c r="O188">
        <f>IF(TIM!G185=TIM!G185,TIM!G185,"")</f>
        <v>0</v>
      </c>
      <c r="P188" s="27"/>
      <c r="Q188" t="str">
        <f>ASSETs!$AD$2</f>
        <v>Phang-nga</v>
      </c>
      <c r="R188">
        <f>ASSETs!$AE$2</f>
        <v>99</v>
      </c>
      <c r="S188" s="11">
        <v>146</v>
      </c>
      <c r="T188" s="3">
        <f>IF(TIM!F185=TIM!F185,TIM!F185,"")</f>
        <v>0</v>
      </c>
      <c r="U188" s="18">
        <f>ASSETs!X185</f>
        <v>0</v>
      </c>
      <c r="V188" t="str">
        <f>ASSETs!$AA$2</f>
        <v>Phuket</v>
      </c>
      <c r="W188" s="3">
        <f>ASSETs!$AB$2</f>
        <v>99</v>
      </c>
      <c r="X188" s="6" t="str">
        <f>ASSETs!AN185</f>
        <v>/0/543</v>
      </c>
      <c r="Y188" t="str">
        <f>ASSETs!$AF$2</f>
        <v>12.00</v>
      </c>
      <c r="Z188" s="18">
        <v>1</v>
      </c>
    </row>
    <row r="189" spans="1:26" ht="15">
      <c r="A189" s="16">
        <f>ROWS($A$5:B189:C189)</f>
        <v>185</v>
      </c>
      <c r="B189" s="16" t="str">
        <f>ASSETs!AU186</f>
        <v>/0/543</v>
      </c>
      <c r="C189" s="26" t="s">
        <v>309</v>
      </c>
      <c r="D189">
        <f>IF(TIM!Q186=TIM!Q186,TIM!Q186,"")</f>
        <v>0</v>
      </c>
      <c r="E189" s="27"/>
      <c r="F189" s="27"/>
      <c r="G189" s="18"/>
      <c r="H189" s="27"/>
      <c r="I189" t="str">
        <f>IFERROR(VLOOKUP(TIM!E186,ASSETs!$AA$6:$AB$7,2,FALSE),"")</f>
        <v/>
      </c>
      <c r="J189" s="2">
        <f>(IF(TIM!B186=TIM!B186,TIM!B186,""))</f>
        <v>0</v>
      </c>
      <c r="K189" s="18"/>
      <c r="L189">
        <f>IF(TIM!C186=TIM!C186,TIM!C186,"")</f>
        <v>0</v>
      </c>
      <c r="M189" t="str">
        <f>ASSETs!W186</f>
        <v/>
      </c>
      <c r="N189" s="27"/>
      <c r="O189">
        <f>IF(TIM!G186=TIM!G186,TIM!G186,"")</f>
        <v>0</v>
      </c>
      <c r="P189" s="27"/>
      <c r="Q189" t="str">
        <f>ASSETs!$AD$2</f>
        <v>Phang-nga</v>
      </c>
      <c r="R189">
        <f>ASSETs!$AE$2</f>
        <v>99</v>
      </c>
      <c r="S189" s="11">
        <v>146</v>
      </c>
      <c r="T189" s="3">
        <f>IF(TIM!F186=TIM!F186,TIM!F186,"")</f>
        <v>0</v>
      </c>
      <c r="U189" s="18">
        <f>ASSETs!X186</f>
        <v>0</v>
      </c>
      <c r="V189" t="str">
        <f>ASSETs!$AA$2</f>
        <v>Phuket</v>
      </c>
      <c r="W189" s="3">
        <f>ASSETs!$AB$2</f>
        <v>99</v>
      </c>
      <c r="X189" s="6" t="str">
        <f>ASSETs!AN186</f>
        <v>/0/543</v>
      </c>
      <c r="Y189" t="str">
        <f>ASSETs!$AF$2</f>
        <v>12.00</v>
      </c>
      <c r="Z189" s="18">
        <v>1</v>
      </c>
    </row>
    <row r="190" spans="1:26" ht="15">
      <c r="A190" s="16">
        <f>ROWS($A$5:B190:C190)</f>
        <v>186</v>
      </c>
      <c r="B190" s="16" t="str">
        <f>ASSETs!AU187</f>
        <v>/0/543</v>
      </c>
      <c r="C190" s="26" t="s">
        <v>309</v>
      </c>
      <c r="D190">
        <f>IF(TIM!Q187=TIM!Q187,TIM!Q187,"")</f>
        <v>0</v>
      </c>
      <c r="E190" s="27"/>
      <c r="F190" s="27"/>
      <c r="G190" s="18"/>
      <c r="H190" s="27"/>
      <c r="I190" t="str">
        <f>IFERROR(VLOOKUP(TIM!E187,ASSETs!$AA$6:$AB$7,2,FALSE),"")</f>
        <v/>
      </c>
      <c r="J190" s="2">
        <f>(IF(TIM!B187=TIM!B187,TIM!B187,""))</f>
        <v>0</v>
      </c>
      <c r="K190" s="18"/>
      <c r="L190">
        <f>IF(TIM!C187=TIM!C187,TIM!C187,"")</f>
        <v>0</v>
      </c>
      <c r="M190" t="str">
        <f>ASSETs!W187</f>
        <v/>
      </c>
      <c r="N190" s="27"/>
      <c r="O190">
        <f>IF(TIM!G187=TIM!G187,TIM!G187,"")</f>
        <v>0</v>
      </c>
      <c r="P190" s="27"/>
      <c r="Q190" t="str">
        <f>ASSETs!$AD$2</f>
        <v>Phang-nga</v>
      </c>
      <c r="R190">
        <f>ASSETs!$AE$2</f>
        <v>99</v>
      </c>
      <c r="S190" s="11">
        <v>146</v>
      </c>
      <c r="T190" s="3">
        <f>IF(TIM!F187=TIM!F187,TIM!F187,"")</f>
        <v>0</v>
      </c>
      <c r="U190" s="18">
        <f>ASSETs!X187</f>
        <v>0</v>
      </c>
      <c r="V190" t="str">
        <f>ASSETs!$AA$2</f>
        <v>Phuket</v>
      </c>
      <c r="W190" s="3">
        <f>ASSETs!$AB$2</f>
        <v>99</v>
      </c>
      <c r="X190" s="6" t="str">
        <f>ASSETs!AN187</f>
        <v>/0/543</v>
      </c>
      <c r="Y190" t="str">
        <f>ASSETs!$AF$2</f>
        <v>12.00</v>
      </c>
      <c r="Z190" s="18">
        <v>1</v>
      </c>
    </row>
    <row r="191" spans="1:26" ht="15">
      <c r="A191" s="16">
        <f>ROWS($A$5:B191:C191)</f>
        <v>187</v>
      </c>
      <c r="B191" s="16" t="str">
        <f>ASSETs!AU188</f>
        <v>/0/543</v>
      </c>
      <c r="C191" s="26" t="s">
        <v>309</v>
      </c>
      <c r="D191">
        <f>IF(TIM!Q188=TIM!Q188,TIM!Q188,"")</f>
        <v>0</v>
      </c>
      <c r="E191" s="27"/>
      <c r="F191" s="27"/>
      <c r="G191" s="18"/>
      <c r="H191" s="27"/>
      <c r="I191" t="str">
        <f>IFERROR(VLOOKUP(TIM!E188,ASSETs!$AA$6:$AB$7,2,FALSE),"")</f>
        <v/>
      </c>
      <c r="J191" s="2">
        <f>(IF(TIM!B188=TIM!B188,TIM!B188,""))</f>
        <v>0</v>
      </c>
      <c r="K191" s="18"/>
      <c r="L191">
        <f>IF(TIM!C188=TIM!C188,TIM!C188,"")</f>
        <v>0</v>
      </c>
      <c r="M191" t="str">
        <f>ASSETs!W188</f>
        <v/>
      </c>
      <c r="N191" s="27"/>
      <c r="O191">
        <f>IF(TIM!G188=TIM!G188,TIM!G188,"")</f>
        <v>0</v>
      </c>
      <c r="P191" s="27"/>
      <c r="Q191" t="str">
        <f>ASSETs!$AD$2</f>
        <v>Phang-nga</v>
      </c>
      <c r="R191">
        <f>ASSETs!$AE$2</f>
        <v>99</v>
      </c>
      <c r="S191" s="11">
        <v>146</v>
      </c>
      <c r="T191" s="3">
        <f>IF(TIM!F188=TIM!F188,TIM!F188,"")</f>
        <v>0</v>
      </c>
      <c r="U191" s="18">
        <f>ASSETs!X188</f>
        <v>0</v>
      </c>
      <c r="V191" t="str">
        <f>ASSETs!$AA$2</f>
        <v>Phuket</v>
      </c>
      <c r="W191" s="3">
        <f>ASSETs!$AB$2</f>
        <v>99</v>
      </c>
      <c r="X191" s="6" t="str">
        <f>ASSETs!AN188</f>
        <v>/0/543</v>
      </c>
      <c r="Y191" t="str">
        <f>ASSETs!$AF$2</f>
        <v>12.00</v>
      </c>
      <c r="Z191" s="18">
        <v>1</v>
      </c>
    </row>
    <row r="192" spans="1:26" ht="15">
      <c r="A192" s="16">
        <f>ROWS($A$5:B192:C192)</f>
        <v>188</v>
      </c>
      <c r="B192" s="16" t="str">
        <f>ASSETs!AU189</f>
        <v>/0/543</v>
      </c>
      <c r="C192" s="26" t="s">
        <v>309</v>
      </c>
      <c r="D192">
        <f>IF(TIM!Q189=TIM!Q189,TIM!Q189,"")</f>
        <v>0</v>
      </c>
      <c r="E192" s="27"/>
      <c r="F192" s="27"/>
      <c r="G192" s="18"/>
      <c r="H192" s="27"/>
      <c r="I192" t="str">
        <f>IFERROR(VLOOKUP(TIM!E189,ASSETs!$AA$6:$AB$7,2,FALSE),"")</f>
        <v/>
      </c>
      <c r="J192" s="2">
        <f>(IF(TIM!B189=TIM!B189,TIM!B189,""))</f>
        <v>0</v>
      </c>
      <c r="K192" s="18"/>
      <c r="L192">
        <f>IF(TIM!C189=TIM!C189,TIM!C189,"")</f>
        <v>0</v>
      </c>
      <c r="M192" t="str">
        <f>ASSETs!W189</f>
        <v/>
      </c>
      <c r="N192" s="27"/>
      <c r="O192">
        <f>IF(TIM!G189=TIM!G189,TIM!G189,"")</f>
        <v>0</v>
      </c>
      <c r="P192" s="27"/>
      <c r="Q192" t="str">
        <f>ASSETs!$AD$2</f>
        <v>Phang-nga</v>
      </c>
      <c r="R192">
        <f>ASSETs!$AE$2</f>
        <v>99</v>
      </c>
      <c r="S192" s="11">
        <v>146</v>
      </c>
      <c r="T192" s="3">
        <f>IF(TIM!F189=TIM!F189,TIM!F189,"")</f>
        <v>0</v>
      </c>
      <c r="U192" s="18">
        <f>ASSETs!X189</f>
        <v>0</v>
      </c>
      <c r="V192" t="str">
        <f>ASSETs!$AA$2</f>
        <v>Phuket</v>
      </c>
      <c r="W192" s="3">
        <f>ASSETs!$AB$2</f>
        <v>99</v>
      </c>
      <c r="X192" s="6" t="str">
        <f>ASSETs!AN189</f>
        <v>/0/543</v>
      </c>
      <c r="Y192" t="str">
        <f>ASSETs!$AF$2</f>
        <v>12.00</v>
      </c>
      <c r="Z192" s="18">
        <v>1</v>
      </c>
    </row>
    <row r="193" spans="1:26" ht="15">
      <c r="A193" s="16">
        <f>ROWS($A$5:B193:C193)</f>
        <v>189</v>
      </c>
      <c r="B193" s="16" t="str">
        <f>ASSETs!AU190</f>
        <v>/0/543</v>
      </c>
      <c r="C193" s="26" t="s">
        <v>309</v>
      </c>
      <c r="D193">
        <f>IF(TIM!Q190=TIM!Q190,TIM!Q190,"")</f>
        <v>0</v>
      </c>
      <c r="E193" s="27"/>
      <c r="F193" s="27"/>
      <c r="G193" s="18"/>
      <c r="H193" s="27"/>
      <c r="I193" t="str">
        <f>IFERROR(VLOOKUP(TIM!E190,ASSETs!$AA$6:$AB$7,2,FALSE),"")</f>
        <v/>
      </c>
      <c r="J193" s="2">
        <f>(IF(TIM!B190=TIM!B190,TIM!B190,""))</f>
        <v>0</v>
      </c>
      <c r="K193" s="18"/>
      <c r="L193">
        <f>IF(TIM!C190=TIM!C190,TIM!C190,"")</f>
        <v>0</v>
      </c>
      <c r="M193" t="str">
        <f>ASSETs!W190</f>
        <v/>
      </c>
      <c r="N193" s="27"/>
      <c r="O193">
        <f>IF(TIM!G190=TIM!G190,TIM!G190,"")</f>
        <v>0</v>
      </c>
      <c r="P193" s="27"/>
      <c r="Q193" t="str">
        <f>ASSETs!$AD$2</f>
        <v>Phang-nga</v>
      </c>
      <c r="R193">
        <f>ASSETs!$AE$2</f>
        <v>99</v>
      </c>
      <c r="S193" s="11">
        <v>146</v>
      </c>
      <c r="T193" s="3">
        <f>IF(TIM!F190=TIM!F190,TIM!F190,"")</f>
        <v>0</v>
      </c>
      <c r="U193" s="18">
        <f>ASSETs!X190</f>
        <v>0</v>
      </c>
      <c r="V193" t="str">
        <f>ASSETs!$AA$2</f>
        <v>Phuket</v>
      </c>
      <c r="W193" s="3">
        <f>ASSETs!$AB$2</f>
        <v>99</v>
      </c>
      <c r="X193" s="6" t="str">
        <f>ASSETs!AN190</f>
        <v>/0/543</v>
      </c>
      <c r="Y193" t="str">
        <f>ASSETs!$AF$2</f>
        <v>12.00</v>
      </c>
      <c r="Z193" s="18">
        <v>1</v>
      </c>
    </row>
    <row r="194" spans="1:26" ht="15">
      <c r="A194" s="16">
        <f>ROWS($A$5:B194:C194)</f>
        <v>190</v>
      </c>
      <c r="B194" s="16" t="str">
        <f>ASSETs!AU191</f>
        <v>/0/543</v>
      </c>
      <c r="C194" s="26" t="s">
        <v>309</v>
      </c>
      <c r="D194">
        <f>IF(TIM!Q191=TIM!Q191,TIM!Q191,"")</f>
        <v>0</v>
      </c>
      <c r="E194" s="27"/>
      <c r="F194" s="27"/>
      <c r="G194" s="18"/>
      <c r="H194" s="27"/>
      <c r="I194" t="str">
        <f>IFERROR(VLOOKUP(TIM!E191,ASSETs!$AA$6:$AB$7,2,FALSE),"")</f>
        <v/>
      </c>
      <c r="J194" s="2">
        <f>(IF(TIM!B191=TIM!B191,TIM!B191,""))</f>
        <v>0</v>
      </c>
      <c r="K194" s="18"/>
      <c r="L194">
        <f>IF(TIM!C191=TIM!C191,TIM!C191,"")</f>
        <v>0</v>
      </c>
      <c r="M194" t="str">
        <f>ASSETs!W191</f>
        <v/>
      </c>
      <c r="N194" s="27"/>
      <c r="O194">
        <f>IF(TIM!G191=TIM!G191,TIM!G191,"")</f>
        <v>0</v>
      </c>
      <c r="P194" s="27"/>
      <c r="Q194" t="str">
        <f>ASSETs!$AD$2</f>
        <v>Phang-nga</v>
      </c>
      <c r="R194">
        <f>ASSETs!$AE$2</f>
        <v>99</v>
      </c>
      <c r="S194" s="11">
        <v>146</v>
      </c>
      <c r="T194" s="3">
        <f>IF(TIM!F191=TIM!F191,TIM!F191,"")</f>
        <v>0</v>
      </c>
      <c r="U194" s="18">
        <f>ASSETs!X191</f>
        <v>0</v>
      </c>
      <c r="V194" t="str">
        <f>ASSETs!$AA$2</f>
        <v>Phuket</v>
      </c>
      <c r="W194" s="3">
        <f>ASSETs!$AB$2</f>
        <v>99</v>
      </c>
      <c r="X194" s="6" t="str">
        <f>ASSETs!AN191</f>
        <v>/0/543</v>
      </c>
      <c r="Y194" t="str">
        <f>ASSETs!$AF$2</f>
        <v>12.00</v>
      </c>
      <c r="Z194" s="18">
        <v>1</v>
      </c>
    </row>
    <row r="195" spans="1:26" ht="15">
      <c r="A195" s="16">
        <f>ROWS($A$5:B195:C195)</f>
        <v>191</v>
      </c>
      <c r="B195" s="16" t="str">
        <f>ASSETs!AU192</f>
        <v>/0/543</v>
      </c>
      <c r="C195" s="26" t="s">
        <v>309</v>
      </c>
      <c r="D195">
        <f>IF(TIM!Q192=TIM!Q192,TIM!Q192,"")</f>
        <v>0</v>
      </c>
      <c r="E195" s="27"/>
      <c r="F195" s="27"/>
      <c r="G195" s="18"/>
      <c r="H195" s="27"/>
      <c r="I195" t="str">
        <f>IFERROR(VLOOKUP(TIM!E192,ASSETs!$AA$6:$AB$7,2,FALSE),"")</f>
        <v/>
      </c>
      <c r="J195" s="2">
        <f>(IF(TIM!B192=TIM!B192,TIM!B192,""))</f>
        <v>0</v>
      </c>
      <c r="K195" s="18"/>
      <c r="L195">
        <f>IF(TIM!C192=TIM!C192,TIM!C192,"")</f>
        <v>0</v>
      </c>
      <c r="M195" t="str">
        <f>ASSETs!W192</f>
        <v/>
      </c>
      <c r="N195" s="27"/>
      <c r="O195">
        <f>IF(TIM!G192=TIM!G192,TIM!G192,"")</f>
        <v>0</v>
      </c>
      <c r="P195" s="27"/>
      <c r="Q195" t="str">
        <f>ASSETs!$AD$2</f>
        <v>Phang-nga</v>
      </c>
      <c r="R195">
        <f>ASSETs!$AE$2</f>
        <v>99</v>
      </c>
      <c r="S195" s="11">
        <v>146</v>
      </c>
      <c r="T195" s="3">
        <f>IF(TIM!F192=TIM!F192,TIM!F192,"")</f>
        <v>0</v>
      </c>
      <c r="U195" s="18">
        <f>ASSETs!X192</f>
        <v>0</v>
      </c>
      <c r="V195" t="str">
        <f>ASSETs!$AA$2</f>
        <v>Phuket</v>
      </c>
      <c r="W195" s="3">
        <f>ASSETs!$AB$2</f>
        <v>99</v>
      </c>
      <c r="X195" s="6" t="str">
        <f>ASSETs!AN192</f>
        <v>/0/543</v>
      </c>
      <c r="Y195" t="str">
        <f>ASSETs!$AF$2</f>
        <v>12.00</v>
      </c>
      <c r="Z195" s="18">
        <v>1</v>
      </c>
    </row>
    <row r="196" spans="1:26" ht="15">
      <c r="A196" s="16">
        <f>ROWS($A$5:B196:C196)</f>
        <v>192</v>
      </c>
      <c r="B196" s="16" t="str">
        <f>ASSETs!AU193</f>
        <v>/0/543</v>
      </c>
      <c r="C196" s="26" t="s">
        <v>309</v>
      </c>
      <c r="D196">
        <f>IF(TIM!Q193=TIM!Q193,TIM!Q193,"")</f>
        <v>0</v>
      </c>
      <c r="E196" s="27"/>
      <c r="F196" s="27"/>
      <c r="G196" s="18"/>
      <c r="H196" s="27"/>
      <c r="I196" t="str">
        <f>IFERROR(VLOOKUP(TIM!E193,ASSETs!$AA$6:$AB$7,2,FALSE),"")</f>
        <v/>
      </c>
      <c r="J196" s="2">
        <f>(IF(TIM!B193=TIM!B193,TIM!B193,""))</f>
        <v>0</v>
      </c>
      <c r="K196" s="18"/>
      <c r="L196">
        <f>IF(TIM!C193=TIM!C193,TIM!C193,"")</f>
        <v>0</v>
      </c>
      <c r="M196" t="str">
        <f>ASSETs!W193</f>
        <v/>
      </c>
      <c r="N196" s="27"/>
      <c r="O196">
        <f>IF(TIM!G193=TIM!G193,TIM!G193,"")</f>
        <v>0</v>
      </c>
      <c r="P196" s="27"/>
      <c r="Q196" t="str">
        <f>ASSETs!$AD$2</f>
        <v>Phang-nga</v>
      </c>
      <c r="R196">
        <f>ASSETs!$AE$2</f>
        <v>99</v>
      </c>
      <c r="S196" s="11">
        <v>146</v>
      </c>
      <c r="T196" s="3">
        <f>IF(TIM!F193=TIM!F193,TIM!F193,"")</f>
        <v>0</v>
      </c>
      <c r="U196" s="18">
        <f>ASSETs!X193</f>
        <v>0</v>
      </c>
      <c r="V196" t="str">
        <f>ASSETs!$AA$2</f>
        <v>Phuket</v>
      </c>
      <c r="W196" s="3">
        <f>ASSETs!$AB$2</f>
        <v>99</v>
      </c>
      <c r="X196" s="6" t="str">
        <f>ASSETs!AN193</f>
        <v>/0/543</v>
      </c>
      <c r="Y196" t="str">
        <f>ASSETs!$AF$2</f>
        <v>12.00</v>
      </c>
      <c r="Z196" s="18">
        <v>1</v>
      </c>
    </row>
    <row r="197" spans="1:26" ht="15">
      <c r="A197" s="16">
        <f>ROWS($A$5:B197:C197)</f>
        <v>193</v>
      </c>
      <c r="B197" s="16" t="str">
        <f>ASSETs!AU194</f>
        <v>/0/543</v>
      </c>
      <c r="C197" s="26" t="s">
        <v>309</v>
      </c>
      <c r="D197">
        <f>IF(TIM!Q194=TIM!Q194,TIM!Q194,"")</f>
        <v>0</v>
      </c>
      <c r="E197" s="27"/>
      <c r="F197" s="27"/>
      <c r="G197" s="18"/>
      <c r="H197" s="27"/>
      <c r="I197" t="str">
        <f>IFERROR(VLOOKUP(TIM!E194,ASSETs!$AA$6:$AB$7,2,FALSE),"")</f>
        <v/>
      </c>
      <c r="J197" s="2">
        <f>(IF(TIM!B194=TIM!B194,TIM!B194,""))</f>
        <v>0</v>
      </c>
      <c r="K197" s="18"/>
      <c r="L197">
        <f>IF(TIM!C194=TIM!C194,TIM!C194,"")</f>
        <v>0</v>
      </c>
      <c r="M197" t="str">
        <f>ASSETs!W194</f>
        <v/>
      </c>
      <c r="N197" s="27"/>
      <c r="O197">
        <f>IF(TIM!G194=TIM!G194,TIM!G194,"")</f>
        <v>0</v>
      </c>
      <c r="P197" s="27"/>
      <c r="Q197" t="str">
        <f>ASSETs!$AD$2</f>
        <v>Phang-nga</v>
      </c>
      <c r="R197">
        <f>ASSETs!$AE$2</f>
        <v>99</v>
      </c>
      <c r="S197" s="11">
        <v>146</v>
      </c>
      <c r="T197" s="3">
        <f>IF(TIM!F194=TIM!F194,TIM!F194,"")</f>
        <v>0</v>
      </c>
      <c r="U197" s="18">
        <f>ASSETs!X194</f>
        <v>0</v>
      </c>
      <c r="V197" t="str">
        <f>ASSETs!$AA$2</f>
        <v>Phuket</v>
      </c>
      <c r="W197" s="3">
        <f>ASSETs!$AB$2</f>
        <v>99</v>
      </c>
      <c r="X197" s="6" t="str">
        <f>ASSETs!AN194</f>
        <v>/0/543</v>
      </c>
      <c r="Y197" t="str">
        <f>ASSETs!$AF$2</f>
        <v>12.00</v>
      </c>
      <c r="Z197" s="18">
        <v>1</v>
      </c>
    </row>
    <row r="198" spans="1:26" ht="15">
      <c r="A198" s="16">
        <f>ROWS($A$5:B198:C198)</f>
        <v>194</v>
      </c>
      <c r="B198" s="16" t="str">
        <f>ASSETs!AU195</f>
        <v>/0/543</v>
      </c>
      <c r="C198" s="26" t="s">
        <v>309</v>
      </c>
      <c r="D198">
        <f>IF(TIM!Q195=TIM!Q195,TIM!Q195,"")</f>
        <v>0</v>
      </c>
      <c r="F198" s="28"/>
      <c r="H198" s="28"/>
      <c r="I198" t="str">
        <f>IFERROR(VLOOKUP(TIM!E195,ASSETs!$AA$6:$AB$7,2,FALSE),"")</f>
        <v/>
      </c>
      <c r="J198" s="2">
        <f>(IF(TIM!B195=TIM!B195,TIM!B195,""))</f>
        <v>0</v>
      </c>
      <c r="L198">
        <f>IF(TIM!C195=TIM!C195,TIM!C195,"")</f>
        <v>0</v>
      </c>
      <c r="M198" t="str">
        <f>ASSETs!W195</f>
        <v/>
      </c>
      <c r="N198" s="27"/>
      <c r="O198">
        <f>IF(TIM!G195=TIM!G195,TIM!G195,"")</f>
        <v>0</v>
      </c>
      <c r="P198" s="27"/>
      <c r="Q198" t="str">
        <f>ASSETs!$AD$2</f>
        <v>Phang-nga</v>
      </c>
      <c r="R198">
        <f>ASSETs!$AE$2</f>
        <v>99</v>
      </c>
      <c r="S198" s="11">
        <v>146</v>
      </c>
      <c r="T198" s="3">
        <f>IF(TIM!F195=TIM!F195,TIM!F195,"")</f>
        <v>0</v>
      </c>
      <c r="U198" s="18">
        <f>ASSETs!X195</f>
        <v>0</v>
      </c>
      <c r="V198" t="str">
        <f>ASSETs!$AA$2</f>
        <v>Phuket</v>
      </c>
      <c r="W198" s="3">
        <f>ASSETs!$AB$2</f>
        <v>99</v>
      </c>
      <c r="X198" s="6" t="str">
        <f>ASSETs!AN195</f>
        <v>/0/543</v>
      </c>
      <c r="Y198" t="str">
        <f>ASSETs!$AF$2</f>
        <v>12.00</v>
      </c>
      <c r="Z198" s="18">
        <v>1</v>
      </c>
    </row>
    <row r="199" spans="1:26" ht="15">
      <c r="A199" s="16">
        <f>ROWS($A$5:B199:C199)</f>
        <v>195</v>
      </c>
      <c r="B199" s="16" t="str">
        <f>ASSETs!AU196</f>
        <v>/0/543</v>
      </c>
      <c r="C199" s="26" t="s">
        <v>309</v>
      </c>
      <c r="D199">
        <f>IF(TIM!Q196=TIM!Q196,TIM!Q196,"")</f>
        <v>0</v>
      </c>
      <c r="E199" s="28"/>
      <c r="F199" s="28"/>
      <c r="H199" s="28"/>
      <c r="I199" t="str">
        <f>IFERROR(VLOOKUP(TIM!E196,ASSETs!$AA$6:$AB$7,2,FALSE),"")</f>
        <v/>
      </c>
      <c r="J199" s="2">
        <f>(IF(TIM!B196=TIM!B196,TIM!B196,""))</f>
        <v>0</v>
      </c>
      <c r="L199">
        <f>IF(TIM!C196=TIM!C196,TIM!C196,"")</f>
        <v>0</v>
      </c>
      <c r="M199" t="str">
        <f>ASSETs!W196</f>
        <v/>
      </c>
      <c r="N199" s="27"/>
      <c r="O199">
        <f>IF(TIM!G196=TIM!G196,TIM!G196,"")</f>
        <v>0</v>
      </c>
      <c r="P199" s="27"/>
      <c r="Q199" t="str">
        <f>ASSETs!$AD$2</f>
        <v>Phang-nga</v>
      </c>
      <c r="R199">
        <f>ASSETs!$AE$2</f>
        <v>99</v>
      </c>
      <c r="S199" s="11">
        <v>146</v>
      </c>
      <c r="T199" s="3">
        <f>IF(TIM!F196=TIM!F196,TIM!F196,"")</f>
        <v>0</v>
      </c>
      <c r="U199" s="18">
        <f>ASSETs!X196</f>
        <v>0</v>
      </c>
      <c r="V199" t="str">
        <f>ASSETs!$AA$2</f>
        <v>Phuket</v>
      </c>
      <c r="W199" s="3">
        <f>ASSETs!$AB$2</f>
        <v>99</v>
      </c>
      <c r="X199" s="6" t="str">
        <f>ASSETs!AN196</f>
        <v>/0/543</v>
      </c>
      <c r="Y199" t="str">
        <f>ASSETs!$AF$2</f>
        <v>12.00</v>
      </c>
      <c r="Z199" s="18">
        <v>1</v>
      </c>
    </row>
    <row r="200" spans="1:26" ht="15">
      <c r="A200" s="16">
        <f>ROWS($A$5:B200:C200)</f>
        <v>196</v>
      </c>
      <c r="B200" s="16" t="str">
        <f>ASSETs!AU197</f>
        <v>/0/543</v>
      </c>
      <c r="C200" s="26" t="s">
        <v>309</v>
      </c>
      <c r="D200">
        <f>IF(TIM!Q197=TIM!Q197,TIM!Q197,"")</f>
        <v>0</v>
      </c>
      <c r="F200" s="28"/>
      <c r="H200" s="28"/>
      <c r="I200" t="str">
        <f>IFERROR(VLOOKUP(TIM!E197,ASSETs!$AA$6:$AB$7,2,FALSE),"")</f>
        <v/>
      </c>
      <c r="J200" s="2">
        <f>(IF(TIM!B197=TIM!B197,TIM!B197,""))</f>
        <v>0</v>
      </c>
      <c r="L200">
        <f>IF(TIM!C197=TIM!C197,TIM!C197,"")</f>
        <v>0</v>
      </c>
      <c r="M200" t="str">
        <f>ASSETs!W197</f>
        <v/>
      </c>
      <c r="N200" s="27"/>
      <c r="O200">
        <f>IF(TIM!G197=TIM!G197,TIM!G197,"")</f>
        <v>0</v>
      </c>
      <c r="P200" s="27"/>
      <c r="Q200" t="str">
        <f>ASSETs!$AD$2</f>
        <v>Phang-nga</v>
      </c>
      <c r="R200">
        <f>ASSETs!$AE$2</f>
        <v>99</v>
      </c>
      <c r="S200" s="11">
        <v>146</v>
      </c>
      <c r="T200" s="3">
        <f>IF(TIM!F197=TIM!F197,TIM!F197,"")</f>
        <v>0</v>
      </c>
      <c r="U200" s="18">
        <f>ASSETs!X197</f>
        <v>0</v>
      </c>
      <c r="V200" t="str">
        <f>ASSETs!$AA$2</f>
        <v>Phuket</v>
      </c>
      <c r="W200" s="3">
        <f>ASSETs!$AB$2</f>
        <v>99</v>
      </c>
      <c r="X200" s="6" t="str">
        <f>ASSETs!AN197</f>
        <v>/0/543</v>
      </c>
      <c r="Y200" t="str">
        <f>ASSETs!$AF$2</f>
        <v>12.00</v>
      </c>
      <c r="Z200" s="18">
        <v>1</v>
      </c>
    </row>
    <row r="201" spans="1:26" ht="15">
      <c r="A201" s="16">
        <f>ROWS($A$5:B201:C201)</f>
        <v>197</v>
      </c>
      <c r="B201" s="16" t="str">
        <f>ASSETs!AU198</f>
        <v>/0/543</v>
      </c>
      <c r="C201" s="26" t="s">
        <v>309</v>
      </c>
      <c r="D201">
        <f>IF(TIM!Q198=TIM!Q198,TIM!Q198,"")</f>
        <v>0</v>
      </c>
      <c r="F201" s="28"/>
      <c r="H201" s="28"/>
      <c r="I201" t="str">
        <f>IFERROR(VLOOKUP(TIM!E198,ASSETs!$AA$6:$AB$7,2,FALSE),"")</f>
        <v/>
      </c>
      <c r="J201" s="2">
        <f>(IF(TIM!B198=TIM!B198,TIM!B198,""))</f>
        <v>0</v>
      </c>
      <c r="L201">
        <f>IF(TIM!C198=TIM!C198,TIM!C198,"")</f>
        <v>0</v>
      </c>
      <c r="M201" t="str">
        <f>ASSETs!W198</f>
        <v/>
      </c>
      <c r="N201" s="27"/>
      <c r="O201">
        <f>IF(TIM!G198=TIM!G198,TIM!G198,"")</f>
        <v>0</v>
      </c>
      <c r="P201" s="27"/>
      <c r="Q201" t="str">
        <f>ASSETs!$AD$2</f>
        <v>Phang-nga</v>
      </c>
      <c r="R201">
        <f>ASSETs!$AE$2</f>
        <v>99</v>
      </c>
      <c r="S201" s="11">
        <v>146</v>
      </c>
      <c r="T201" s="3">
        <f>IF(TIM!F198=TIM!F198,TIM!F198,"")</f>
        <v>0</v>
      </c>
      <c r="U201" s="18">
        <f>ASSETs!X198</f>
        <v>0</v>
      </c>
      <c r="V201" t="str">
        <f>ASSETs!$AA$2</f>
        <v>Phuket</v>
      </c>
      <c r="W201" s="3">
        <f>ASSETs!$AB$2</f>
        <v>99</v>
      </c>
      <c r="X201" s="6" t="str">
        <f>ASSETs!AN198</f>
        <v>/0/543</v>
      </c>
      <c r="Y201" t="str">
        <f>ASSETs!$AF$2</f>
        <v>12.00</v>
      </c>
      <c r="Z201" s="18">
        <v>1</v>
      </c>
    </row>
    <row r="202" spans="1:26" ht="15">
      <c r="A202" s="16">
        <f>ROWS($A$5:B202:C202)</f>
        <v>198</v>
      </c>
      <c r="B202" s="16" t="str">
        <f>ASSETs!AU199</f>
        <v>/0/543</v>
      </c>
      <c r="C202" s="26" t="s">
        <v>309</v>
      </c>
      <c r="D202">
        <f>IF(TIM!Q199=TIM!Q199,TIM!Q199,"")</f>
        <v>0</v>
      </c>
      <c r="F202" s="28"/>
      <c r="H202" s="28"/>
      <c r="I202" t="str">
        <f>IFERROR(VLOOKUP(TIM!E199,ASSETs!$AA$6:$AB$7,2,FALSE),"")</f>
        <v/>
      </c>
      <c r="J202" s="2">
        <f>(IF(TIM!B199=TIM!B199,TIM!B199,""))</f>
        <v>0</v>
      </c>
      <c r="L202">
        <f>IF(TIM!C199=TIM!C199,TIM!C199,"")</f>
        <v>0</v>
      </c>
      <c r="M202" t="str">
        <f>ASSETs!W199</f>
        <v/>
      </c>
      <c r="N202" s="27"/>
      <c r="O202">
        <f>IF(TIM!G199=TIM!G199,TIM!G199,"")</f>
        <v>0</v>
      </c>
      <c r="P202" s="27"/>
      <c r="Q202" t="str">
        <f>ASSETs!$AD$2</f>
        <v>Phang-nga</v>
      </c>
      <c r="R202">
        <f>ASSETs!$AE$2</f>
        <v>99</v>
      </c>
      <c r="S202" s="11">
        <v>146</v>
      </c>
      <c r="T202" s="3">
        <f>IF(TIM!F199=TIM!F199,TIM!F199,"")</f>
        <v>0</v>
      </c>
      <c r="U202" s="18">
        <f>ASSETs!X199</f>
        <v>0</v>
      </c>
      <c r="V202" t="str">
        <f>ASSETs!$AA$2</f>
        <v>Phuket</v>
      </c>
      <c r="W202" s="3">
        <f>ASSETs!$AB$2</f>
        <v>99</v>
      </c>
      <c r="X202" s="6" t="str">
        <f>ASSETs!AN199</f>
        <v>/0/543</v>
      </c>
      <c r="Y202" t="str">
        <f>ASSETs!$AF$2</f>
        <v>12.00</v>
      </c>
      <c r="Z202" s="18">
        <v>1</v>
      </c>
    </row>
    <row r="203" spans="1:26" ht="15">
      <c r="A203" s="16">
        <f>ROWS($A$5:B203:C203)</f>
        <v>199</v>
      </c>
      <c r="B203" s="16" t="str">
        <f>ASSETs!AU200</f>
        <v>/0/543</v>
      </c>
      <c r="C203" s="26" t="s">
        <v>309</v>
      </c>
      <c r="D203">
        <f>IF(TIM!Q200=TIM!Q200,TIM!Q200,"")</f>
        <v>0</v>
      </c>
      <c r="F203" s="28"/>
      <c r="H203" s="28"/>
      <c r="I203" t="str">
        <f>IFERROR(VLOOKUP(TIM!E200,ASSETs!$AA$6:$AB$7,2,FALSE),"")</f>
        <v/>
      </c>
      <c r="J203" s="2">
        <f>(IF(TIM!B200=TIM!B200,TIM!B200,""))</f>
        <v>0</v>
      </c>
      <c r="L203">
        <f>IF(TIM!C200=TIM!C200,TIM!C200,"")</f>
        <v>0</v>
      </c>
      <c r="M203" t="str">
        <f>ASSETs!W200</f>
        <v/>
      </c>
      <c r="N203" s="27"/>
      <c r="O203">
        <f>IF(TIM!G200=TIM!G200,TIM!G200,"")</f>
        <v>0</v>
      </c>
      <c r="P203" s="27"/>
      <c r="Q203" t="str">
        <f>ASSETs!$AD$2</f>
        <v>Phang-nga</v>
      </c>
      <c r="R203">
        <f>ASSETs!$AE$2</f>
        <v>99</v>
      </c>
      <c r="S203" s="11">
        <v>146</v>
      </c>
      <c r="T203" s="3">
        <f>IF(TIM!F200=TIM!F200,TIM!F200,"")</f>
        <v>0</v>
      </c>
      <c r="U203" s="18">
        <f>ASSETs!X200</f>
        <v>0</v>
      </c>
      <c r="V203" t="str">
        <f>ASSETs!$AA$2</f>
        <v>Phuket</v>
      </c>
      <c r="W203" s="3">
        <f>ASSETs!$AB$2</f>
        <v>99</v>
      </c>
      <c r="X203" s="6" t="str">
        <f>ASSETs!AN200</f>
        <v>/0/543</v>
      </c>
      <c r="Y203" t="str">
        <f>ASSETs!$AF$2</f>
        <v>12.00</v>
      </c>
      <c r="Z203" s="18">
        <v>1</v>
      </c>
    </row>
    <row r="204" spans="1:26" ht="15">
      <c r="A204" s="16">
        <f>ROWS($A$5:B204:C204)</f>
        <v>200</v>
      </c>
      <c r="B204" s="16" t="str">
        <f>ASSETs!AU201</f>
        <v>/0/543</v>
      </c>
      <c r="C204" s="26" t="s">
        <v>309</v>
      </c>
      <c r="D204">
        <f>IF(TIM!Q201=TIM!Q201,TIM!Q201,"")</f>
        <v>0</v>
      </c>
      <c r="F204" s="28"/>
      <c r="H204" s="28"/>
      <c r="I204" t="str">
        <f>IFERROR(VLOOKUP(TIM!E201,ASSETs!$AA$6:$AB$7,2,FALSE),"")</f>
        <v/>
      </c>
      <c r="J204" s="2">
        <f>(IF(TIM!B201=TIM!B201,TIM!B201,""))</f>
        <v>0</v>
      </c>
      <c r="L204">
        <f>IF(TIM!C201=TIM!C201,TIM!C201,"")</f>
        <v>0</v>
      </c>
      <c r="M204" t="str">
        <f>ASSETs!W201</f>
        <v/>
      </c>
      <c r="N204" s="27"/>
      <c r="O204">
        <f>IF(TIM!G201=TIM!G201,TIM!G201,"")</f>
        <v>0</v>
      </c>
      <c r="P204" s="27"/>
      <c r="Q204" t="str">
        <f>ASSETs!$AD$2</f>
        <v>Phang-nga</v>
      </c>
      <c r="R204">
        <f>ASSETs!$AE$2</f>
        <v>99</v>
      </c>
      <c r="S204" s="11">
        <v>146</v>
      </c>
      <c r="T204" s="3">
        <f>IF(TIM!F201=TIM!F201,TIM!F201,"")</f>
        <v>0</v>
      </c>
      <c r="U204" s="18">
        <f>ASSETs!X201</f>
        <v>0</v>
      </c>
      <c r="V204" t="str">
        <f>ASSETs!$AA$2</f>
        <v>Phuket</v>
      </c>
      <c r="W204" s="3">
        <f>ASSETs!$AB$2</f>
        <v>99</v>
      </c>
      <c r="X204" s="6" t="str">
        <f>ASSETs!AN201</f>
        <v>/0/543</v>
      </c>
      <c r="Y204" t="str">
        <f>ASSETs!$AF$2</f>
        <v>12.00</v>
      </c>
      <c r="Z204" s="18">
        <v>1</v>
      </c>
    </row>
    <row r="205" spans="1:26" ht="15">
      <c r="A205" s="16">
        <f>ROWS($A$5:B205:C205)</f>
        <v>201</v>
      </c>
      <c r="B205" s="16" t="str">
        <f>ASSETs!AU202</f>
        <v>/0/543</v>
      </c>
      <c r="C205" s="26" t="s">
        <v>309</v>
      </c>
      <c r="D205">
        <f>IF(TIM!Q202=TIM!Q202,TIM!Q202,"")</f>
        <v>0</v>
      </c>
      <c r="F205" s="28"/>
      <c r="H205" s="28"/>
      <c r="I205" t="str">
        <f>IFERROR(VLOOKUP(TIM!E202,ASSETs!$AA$6:$AB$7,2,FALSE),"")</f>
        <v/>
      </c>
      <c r="J205" s="2">
        <f>(IF(TIM!B202=TIM!B202,TIM!B202,""))</f>
        <v>0</v>
      </c>
      <c r="L205">
        <f>IF(TIM!C202=TIM!C202,TIM!C202,"")</f>
        <v>0</v>
      </c>
      <c r="M205" t="str">
        <f>ASSETs!W202</f>
        <v/>
      </c>
      <c r="N205" s="27"/>
      <c r="O205">
        <f>IF(TIM!G202=TIM!G202,TIM!G202,"")</f>
        <v>0</v>
      </c>
      <c r="P205" s="27"/>
      <c r="Q205" t="str">
        <f>ASSETs!$AD$2</f>
        <v>Phang-nga</v>
      </c>
      <c r="R205">
        <f>ASSETs!$AE$2</f>
        <v>99</v>
      </c>
      <c r="S205" s="11">
        <v>146</v>
      </c>
      <c r="T205" s="3">
        <f>IF(TIM!F202=TIM!F202,TIM!F202,"")</f>
        <v>0</v>
      </c>
      <c r="U205" s="18">
        <f>ASSETs!X202</f>
        <v>0</v>
      </c>
      <c r="V205" t="str">
        <f>ASSETs!$AA$2</f>
        <v>Phuket</v>
      </c>
      <c r="W205" s="3">
        <f>ASSETs!$AB$2</f>
        <v>99</v>
      </c>
      <c r="X205" s="6" t="str">
        <f>ASSETs!AN202</f>
        <v>/0/543</v>
      </c>
      <c r="Y205" t="str">
        <f>ASSETs!$AF$2</f>
        <v>12.00</v>
      </c>
      <c r="Z205" s="18">
        <v>1</v>
      </c>
    </row>
    <row r="206" spans="1:26" ht="15">
      <c r="A206" s="16">
        <f>ROWS($A$5:B206:C206)</f>
        <v>202</v>
      </c>
      <c r="B206" s="16" t="str">
        <f>ASSETs!AU203</f>
        <v>/0/543</v>
      </c>
      <c r="C206" s="26" t="s">
        <v>309</v>
      </c>
      <c r="D206">
        <f>IF(TIM!Q203=TIM!Q203,TIM!Q203,"")</f>
        <v>0</v>
      </c>
      <c r="E206" s="28"/>
      <c r="F206" s="28"/>
      <c r="H206" s="28"/>
      <c r="I206" t="str">
        <f>IFERROR(VLOOKUP(TIM!E203,ASSETs!$AA$6:$AB$7,2,FALSE),"")</f>
        <v/>
      </c>
      <c r="J206" s="2">
        <f>(IF(TIM!B203=TIM!B203,TIM!B203,""))</f>
        <v>0</v>
      </c>
      <c r="L206">
        <f>IF(TIM!C203=TIM!C203,TIM!C203,"")</f>
        <v>0</v>
      </c>
      <c r="M206" t="str">
        <f>ASSETs!W203</f>
        <v/>
      </c>
      <c r="N206" s="27"/>
      <c r="O206">
        <f>IF(TIM!G203=TIM!G203,TIM!G203,"")</f>
        <v>0</v>
      </c>
      <c r="P206" s="27"/>
      <c r="Q206" t="str">
        <f>ASSETs!$AD$2</f>
        <v>Phang-nga</v>
      </c>
      <c r="R206">
        <f>ASSETs!$AE$2</f>
        <v>99</v>
      </c>
      <c r="S206" s="11">
        <v>146</v>
      </c>
      <c r="T206" s="3">
        <f>IF(TIM!F203=TIM!F203,TIM!F203,"")</f>
        <v>0</v>
      </c>
      <c r="U206" s="18">
        <f>ASSETs!X203</f>
        <v>0</v>
      </c>
      <c r="V206" t="str">
        <f>ASSETs!$AA$2</f>
        <v>Phuket</v>
      </c>
      <c r="W206" s="3">
        <f>ASSETs!$AB$2</f>
        <v>99</v>
      </c>
      <c r="X206" s="6" t="str">
        <f>ASSETs!AN203</f>
        <v>/0/543</v>
      </c>
      <c r="Y206" t="str">
        <f>ASSETs!$AF$2</f>
        <v>12.00</v>
      </c>
      <c r="Z206" s="18">
        <v>1</v>
      </c>
    </row>
    <row r="207" spans="1:26" ht="15">
      <c r="A207" s="16">
        <f>ROWS($A$5:B207:C207)</f>
        <v>203</v>
      </c>
      <c r="B207" s="16" t="str">
        <f>ASSETs!AU204</f>
        <v>/0/543</v>
      </c>
      <c r="C207" s="26" t="s">
        <v>309</v>
      </c>
      <c r="D207">
        <f>IF(TIM!Q204=TIM!Q204,TIM!Q204,"")</f>
        <v>0</v>
      </c>
      <c r="F207" s="28"/>
      <c r="H207" s="28"/>
      <c r="I207" t="str">
        <f>IFERROR(VLOOKUP(TIM!E204,ASSETs!$AA$6:$AB$7,2,FALSE),"")</f>
        <v/>
      </c>
      <c r="J207" s="2">
        <f>(IF(TIM!B204=TIM!B204,TIM!B204,""))</f>
        <v>0</v>
      </c>
      <c r="L207">
        <f>IF(TIM!C204=TIM!C204,TIM!C204,"")</f>
        <v>0</v>
      </c>
      <c r="M207" t="str">
        <f>ASSETs!W204</f>
        <v/>
      </c>
      <c r="N207" s="27"/>
      <c r="O207">
        <f>IF(TIM!G204=TIM!G204,TIM!G204,"")</f>
        <v>0</v>
      </c>
      <c r="P207" s="27"/>
      <c r="Q207" t="str">
        <f>ASSETs!$AD$2</f>
        <v>Phang-nga</v>
      </c>
      <c r="R207">
        <f>ASSETs!$AE$2</f>
        <v>99</v>
      </c>
      <c r="S207" s="11">
        <v>146</v>
      </c>
      <c r="T207" s="3">
        <f>IF(TIM!F204=TIM!F204,TIM!F204,"")</f>
        <v>0</v>
      </c>
      <c r="U207" s="18">
        <f>ASSETs!X204</f>
        <v>0</v>
      </c>
      <c r="V207" t="str">
        <f>ASSETs!$AA$2</f>
        <v>Phuket</v>
      </c>
      <c r="W207" s="3">
        <f>ASSETs!$AB$2</f>
        <v>99</v>
      </c>
      <c r="X207" s="6" t="str">
        <f>ASSETs!AN204</f>
        <v>/0/543</v>
      </c>
      <c r="Y207" t="str">
        <f>ASSETs!$AF$2</f>
        <v>12.00</v>
      </c>
      <c r="Z207" s="18">
        <v>1</v>
      </c>
    </row>
    <row r="208" spans="1:26" ht="15">
      <c r="A208" s="16">
        <f>ROWS($A$5:B208:C208)</f>
        <v>204</v>
      </c>
      <c r="B208" s="16" t="str">
        <f>ASSETs!AU205</f>
        <v>/0/543</v>
      </c>
      <c r="C208" s="26" t="s">
        <v>309</v>
      </c>
      <c r="D208">
        <f>IF(TIM!Q205=TIM!Q205,TIM!Q205,"")</f>
        <v>0</v>
      </c>
      <c r="E208" s="28"/>
      <c r="F208" s="28"/>
      <c r="H208" s="28"/>
      <c r="I208" t="str">
        <f>IFERROR(VLOOKUP(TIM!E205,ASSETs!$AA$6:$AB$7,2,FALSE),"")</f>
        <v/>
      </c>
      <c r="J208" s="2">
        <f>(IF(TIM!B205=TIM!B205,TIM!B205,""))</f>
        <v>0</v>
      </c>
      <c r="L208">
        <f>IF(TIM!C205=TIM!C205,TIM!C205,"")</f>
        <v>0</v>
      </c>
      <c r="M208" t="str">
        <f>ASSETs!W205</f>
        <v/>
      </c>
      <c r="N208" s="27"/>
      <c r="O208">
        <f>IF(TIM!G205=TIM!G205,TIM!G205,"")</f>
        <v>0</v>
      </c>
      <c r="P208" s="27"/>
      <c r="Q208" t="str">
        <f>ASSETs!$AD$2</f>
        <v>Phang-nga</v>
      </c>
      <c r="R208">
        <f>ASSETs!$AE$2</f>
        <v>99</v>
      </c>
      <c r="S208" s="11">
        <v>146</v>
      </c>
      <c r="T208" s="3">
        <f>IF(TIM!F205=TIM!F205,TIM!F205,"")</f>
        <v>0</v>
      </c>
      <c r="U208" s="18">
        <f>ASSETs!X205</f>
        <v>0</v>
      </c>
      <c r="V208" t="str">
        <f>ASSETs!$AA$2</f>
        <v>Phuket</v>
      </c>
      <c r="W208" s="3">
        <f>ASSETs!$AB$2</f>
        <v>99</v>
      </c>
      <c r="X208" s="6" t="str">
        <f>ASSETs!AN205</f>
        <v>/0/543</v>
      </c>
      <c r="Y208" t="str">
        <f>ASSETs!$AF$2</f>
        <v>12.00</v>
      </c>
      <c r="Z208" s="18">
        <v>1</v>
      </c>
    </row>
    <row r="209" spans="1:26" ht="15">
      <c r="A209" s="16">
        <f>ROWS($A$5:B209:C209)</f>
        <v>205</v>
      </c>
      <c r="B209" s="16" t="str">
        <f>ASSETs!AU206</f>
        <v>/0/543</v>
      </c>
      <c r="C209" s="26" t="s">
        <v>309</v>
      </c>
      <c r="D209">
        <f>IF(TIM!Q206=TIM!Q206,TIM!Q206,"")</f>
        <v>0</v>
      </c>
      <c r="F209" s="28"/>
      <c r="H209" s="28"/>
      <c r="I209" t="str">
        <f>IFERROR(VLOOKUP(TIM!E206,ASSETs!$AA$6:$AB$7,2,FALSE),"")</f>
        <v/>
      </c>
      <c r="J209" s="2">
        <f>(IF(TIM!B206=TIM!B206,TIM!B206,""))</f>
        <v>0</v>
      </c>
      <c r="L209">
        <f>IF(TIM!C206=TIM!C206,TIM!C206,"")</f>
        <v>0</v>
      </c>
      <c r="M209" t="str">
        <f>ASSETs!W206</f>
        <v/>
      </c>
      <c r="N209" s="27"/>
      <c r="O209">
        <f>IF(TIM!G206=TIM!G206,TIM!G206,"")</f>
        <v>0</v>
      </c>
      <c r="P209" s="27"/>
      <c r="Q209" t="str">
        <f>ASSETs!$AD$2</f>
        <v>Phang-nga</v>
      </c>
      <c r="R209">
        <f>ASSETs!$AE$2</f>
        <v>99</v>
      </c>
      <c r="S209" s="11">
        <v>146</v>
      </c>
      <c r="T209" s="3">
        <f>IF(TIM!F206=TIM!F206,TIM!F206,"")</f>
        <v>0</v>
      </c>
      <c r="U209" s="18">
        <f>ASSETs!X206</f>
        <v>0</v>
      </c>
      <c r="V209" t="str">
        <f>ASSETs!$AA$2</f>
        <v>Phuket</v>
      </c>
      <c r="W209" s="3">
        <f>ASSETs!$AB$2</f>
        <v>99</v>
      </c>
      <c r="X209" s="6" t="str">
        <f>ASSETs!AN206</f>
        <v>/0/543</v>
      </c>
      <c r="Y209" t="str">
        <f>ASSETs!$AF$2</f>
        <v>12.00</v>
      </c>
      <c r="Z209" s="18">
        <v>1</v>
      </c>
    </row>
    <row r="210" spans="1:26" ht="15">
      <c r="A210" s="16">
        <f>ROWS($A$5:B210:C210)</f>
        <v>206</v>
      </c>
      <c r="B210" s="16" t="str">
        <f>ASSETs!AU207</f>
        <v>/0/543</v>
      </c>
      <c r="C210" s="26" t="s">
        <v>309</v>
      </c>
      <c r="D210">
        <f>IF(TIM!Q207=TIM!Q207,TIM!Q207,"")</f>
        <v>0</v>
      </c>
      <c r="E210" s="28"/>
      <c r="F210" s="28"/>
      <c r="H210" s="28"/>
      <c r="I210" t="str">
        <f>IFERROR(VLOOKUP(TIM!E207,ASSETs!$AA$6:$AB$7,2,FALSE),"")</f>
        <v/>
      </c>
      <c r="J210" s="2">
        <f>(IF(TIM!B207=TIM!B207,TIM!B207,""))</f>
        <v>0</v>
      </c>
      <c r="L210">
        <f>IF(TIM!C207=TIM!C207,TIM!C207,"")</f>
        <v>0</v>
      </c>
      <c r="M210" t="str">
        <f>ASSETs!W207</f>
        <v/>
      </c>
      <c r="N210" s="27"/>
      <c r="O210">
        <f>IF(TIM!G207=TIM!G207,TIM!G207,"")</f>
        <v>0</v>
      </c>
      <c r="P210" s="27"/>
      <c r="Q210" t="str">
        <f>ASSETs!$AD$2</f>
        <v>Phang-nga</v>
      </c>
      <c r="R210">
        <f>ASSETs!$AE$2</f>
        <v>99</v>
      </c>
      <c r="S210" s="11">
        <v>146</v>
      </c>
      <c r="T210" s="3">
        <f>IF(TIM!F207=TIM!F207,TIM!F207,"")</f>
        <v>0</v>
      </c>
      <c r="U210" s="18">
        <f>ASSETs!X207</f>
        <v>0</v>
      </c>
      <c r="V210" t="str">
        <f>ASSETs!$AA$2</f>
        <v>Phuket</v>
      </c>
      <c r="W210" s="3">
        <f>ASSETs!$AB$2</f>
        <v>99</v>
      </c>
      <c r="X210" s="6" t="str">
        <f>ASSETs!AN207</f>
        <v>/0/543</v>
      </c>
      <c r="Y210" t="str">
        <f>ASSETs!$AF$2</f>
        <v>12.00</v>
      </c>
      <c r="Z210" s="18">
        <v>1</v>
      </c>
    </row>
    <row r="211" spans="1:26" ht="15">
      <c r="A211" s="16">
        <f>ROWS($A$5:B211:C211)</f>
        <v>207</v>
      </c>
      <c r="B211" s="16" t="str">
        <f>ASSETs!AU208</f>
        <v>/0/543</v>
      </c>
      <c r="C211" s="26" t="s">
        <v>309</v>
      </c>
      <c r="D211">
        <f>IF(TIM!Q208=TIM!Q208,TIM!Q208,"")</f>
        <v>0</v>
      </c>
      <c r="F211" s="28"/>
      <c r="H211" s="28"/>
      <c r="I211" t="str">
        <f>IFERROR(VLOOKUP(TIM!E208,ASSETs!$AA$6:$AB$7,2,FALSE),"")</f>
        <v/>
      </c>
      <c r="J211" s="2">
        <f>(IF(TIM!B208=TIM!B208,TIM!B208,""))</f>
        <v>0</v>
      </c>
      <c r="L211">
        <f>IF(TIM!C208=TIM!C208,TIM!C208,"")</f>
        <v>0</v>
      </c>
      <c r="M211" t="str">
        <f>ASSETs!W208</f>
        <v/>
      </c>
      <c r="N211" s="27"/>
      <c r="O211">
        <f>IF(TIM!G208=TIM!G208,TIM!G208,"")</f>
        <v>0</v>
      </c>
      <c r="P211" s="27"/>
      <c r="Q211" t="str">
        <f>ASSETs!$AD$2</f>
        <v>Phang-nga</v>
      </c>
      <c r="R211">
        <f>ASSETs!$AE$2</f>
        <v>99</v>
      </c>
      <c r="S211" s="11">
        <v>146</v>
      </c>
      <c r="T211" s="3">
        <f>IF(TIM!F208=TIM!F208,TIM!F208,"")</f>
        <v>0</v>
      </c>
      <c r="U211" s="18">
        <f>ASSETs!X208</f>
        <v>0</v>
      </c>
      <c r="V211" t="str">
        <f>ASSETs!$AA$2</f>
        <v>Phuket</v>
      </c>
      <c r="W211" s="3">
        <f>ASSETs!$AB$2</f>
        <v>99</v>
      </c>
      <c r="X211" s="6" t="str">
        <f>ASSETs!AN208</f>
        <v>/0/543</v>
      </c>
      <c r="Y211" t="str">
        <f>ASSETs!$AF$2</f>
        <v>12.00</v>
      </c>
      <c r="Z211" s="18">
        <v>1</v>
      </c>
    </row>
    <row r="212" spans="1:26" ht="15">
      <c r="A212" s="16">
        <f>ROWS($A$5:B212:C212)</f>
        <v>208</v>
      </c>
      <c r="B212" s="16" t="str">
        <f>ASSETs!AU209</f>
        <v>/0/543</v>
      </c>
      <c r="C212" s="26" t="s">
        <v>309</v>
      </c>
      <c r="D212">
        <f>IF(TIM!Q209=TIM!Q209,TIM!Q209,"")</f>
        <v>0</v>
      </c>
      <c r="F212" s="28"/>
      <c r="H212" s="28"/>
      <c r="I212" t="str">
        <f>IFERROR(VLOOKUP(TIM!E209,ASSETs!$AA$6:$AB$7,2,FALSE),"")</f>
        <v/>
      </c>
      <c r="J212" s="2">
        <f>(IF(TIM!B209=TIM!B209,TIM!B209,""))</f>
        <v>0</v>
      </c>
      <c r="L212">
        <f>IF(TIM!C209=TIM!C209,TIM!C209,"")</f>
        <v>0</v>
      </c>
      <c r="M212" t="str">
        <f>ASSETs!W209</f>
        <v/>
      </c>
      <c r="N212" s="27"/>
      <c r="O212">
        <f>IF(TIM!G209=TIM!G209,TIM!G209,"")</f>
        <v>0</v>
      </c>
      <c r="P212" s="27"/>
      <c r="Q212" t="str">
        <f>ASSETs!$AD$2</f>
        <v>Phang-nga</v>
      </c>
      <c r="R212">
        <f>ASSETs!$AE$2</f>
        <v>99</v>
      </c>
      <c r="S212" s="11">
        <v>146</v>
      </c>
      <c r="T212" s="3">
        <f>IF(TIM!F209=TIM!F209,TIM!F209,"")</f>
        <v>0</v>
      </c>
      <c r="U212" s="18">
        <f>ASSETs!X209</f>
        <v>0</v>
      </c>
      <c r="V212" t="str">
        <f>ASSETs!$AA$2</f>
        <v>Phuket</v>
      </c>
      <c r="W212" s="3">
        <f>ASSETs!$AB$2</f>
        <v>99</v>
      </c>
      <c r="X212" s="6" t="str">
        <f>ASSETs!AN209</f>
        <v>/0/543</v>
      </c>
      <c r="Y212" t="str">
        <f>ASSETs!$AF$2</f>
        <v>12.00</v>
      </c>
      <c r="Z212" s="18">
        <v>1</v>
      </c>
    </row>
    <row r="213" spans="1:26" ht="15">
      <c r="A213" s="16">
        <f>ROWS($A$5:B213:C213)</f>
        <v>209</v>
      </c>
      <c r="B213" s="16" t="str">
        <f>ASSETs!AU210</f>
        <v>/0/543</v>
      </c>
      <c r="C213" s="26" t="s">
        <v>309</v>
      </c>
      <c r="D213">
        <f>IF(TIM!Q210=TIM!Q210,TIM!Q210,"")</f>
        <v>0</v>
      </c>
      <c r="F213" s="28"/>
      <c r="H213" s="28"/>
      <c r="I213" t="str">
        <f>IFERROR(VLOOKUP(TIM!E210,ASSETs!$AA$6:$AB$7,2,FALSE),"")</f>
        <v/>
      </c>
      <c r="J213" s="2">
        <f>(IF(TIM!B210=TIM!B210,TIM!B210,""))</f>
        <v>0</v>
      </c>
      <c r="L213">
        <f>IF(TIM!C210=TIM!C210,TIM!C210,"")</f>
        <v>0</v>
      </c>
      <c r="M213" t="str">
        <f>ASSETs!W210</f>
        <v/>
      </c>
      <c r="N213" s="27"/>
      <c r="O213">
        <f>IF(TIM!G210=TIM!G210,TIM!G210,"")</f>
        <v>0</v>
      </c>
      <c r="P213" s="27"/>
      <c r="Q213" t="str">
        <f>ASSETs!$AD$2</f>
        <v>Phang-nga</v>
      </c>
      <c r="R213">
        <f>ASSETs!$AE$2</f>
        <v>99</v>
      </c>
      <c r="S213" s="11">
        <v>146</v>
      </c>
      <c r="T213" s="3">
        <f>IF(TIM!F210=TIM!F210,TIM!F210,"")</f>
        <v>0</v>
      </c>
      <c r="U213" s="18">
        <f>ASSETs!X210</f>
        <v>0</v>
      </c>
      <c r="V213" t="str">
        <f>ASSETs!$AA$2</f>
        <v>Phuket</v>
      </c>
      <c r="W213" s="3">
        <f>ASSETs!$AB$2</f>
        <v>99</v>
      </c>
      <c r="X213" s="6" t="str">
        <f>ASSETs!AN210</f>
        <v>/0/543</v>
      </c>
      <c r="Y213" t="str">
        <f>ASSETs!$AF$2</f>
        <v>12.00</v>
      </c>
      <c r="Z213" s="18">
        <v>1</v>
      </c>
    </row>
    <row r="214" spans="1:26" ht="15">
      <c r="A214" s="16">
        <f>ROWS($A$5:B214:C214)</f>
        <v>210</v>
      </c>
      <c r="B214" s="16" t="str">
        <f>ASSETs!AU211</f>
        <v>/0/543</v>
      </c>
      <c r="C214" s="26" t="s">
        <v>309</v>
      </c>
      <c r="D214">
        <f>IF(TIM!Q211=TIM!Q211,TIM!Q211,"")</f>
        <v>0</v>
      </c>
      <c r="E214" s="28"/>
      <c r="F214" s="28"/>
      <c r="H214" s="28"/>
      <c r="I214" t="str">
        <f>IFERROR(VLOOKUP(TIM!E211,ASSETs!$AA$6:$AB$7,2,FALSE),"")</f>
        <v/>
      </c>
      <c r="J214" s="2">
        <f>(IF(TIM!B211=TIM!B211,TIM!B211,""))</f>
        <v>0</v>
      </c>
      <c r="L214">
        <f>IF(TIM!C211=TIM!C211,TIM!C211,"")</f>
        <v>0</v>
      </c>
      <c r="M214" t="str">
        <f>ASSETs!W211</f>
        <v/>
      </c>
      <c r="N214" s="27"/>
      <c r="O214">
        <f>IF(TIM!G211=TIM!G211,TIM!G211,"")</f>
        <v>0</v>
      </c>
      <c r="P214" s="27"/>
      <c r="Q214" t="str">
        <f>ASSETs!$AD$2</f>
        <v>Phang-nga</v>
      </c>
      <c r="R214">
        <f>ASSETs!$AE$2</f>
        <v>99</v>
      </c>
      <c r="S214" s="11">
        <v>146</v>
      </c>
      <c r="T214" s="3">
        <f>IF(TIM!F211=TIM!F211,TIM!F211,"")</f>
        <v>0</v>
      </c>
      <c r="U214" s="18">
        <f>ASSETs!X211</f>
        <v>0</v>
      </c>
      <c r="V214" t="str">
        <f>ASSETs!$AA$2</f>
        <v>Phuket</v>
      </c>
      <c r="W214" s="3">
        <f>ASSETs!$AB$2</f>
        <v>99</v>
      </c>
      <c r="X214" s="6" t="str">
        <f>ASSETs!AN211</f>
        <v>/0/543</v>
      </c>
      <c r="Y214" t="str">
        <f>ASSETs!$AF$2</f>
        <v>12.00</v>
      </c>
      <c r="Z214" s="18">
        <v>1</v>
      </c>
    </row>
    <row r="215" spans="1:26" ht="15">
      <c r="A215" s="16">
        <f>ROWS($A$5:B215:C215)</f>
        <v>211</v>
      </c>
      <c r="B215" s="16" t="str">
        <f>ASSETs!AU212</f>
        <v>/0/543</v>
      </c>
      <c r="C215" s="26" t="s">
        <v>309</v>
      </c>
      <c r="D215">
        <f>IF(TIM!Q212=TIM!Q212,TIM!Q212,"")</f>
        <v>0</v>
      </c>
      <c r="E215" s="28"/>
      <c r="F215" s="28"/>
      <c r="H215" s="28"/>
      <c r="I215" t="str">
        <f>IFERROR(VLOOKUP(TIM!E212,ASSETs!$AA$6:$AB$7,2,FALSE),"")</f>
        <v/>
      </c>
      <c r="J215" s="2">
        <f>(IF(TIM!B212=TIM!B212,TIM!B212,""))</f>
        <v>0</v>
      </c>
      <c r="L215">
        <f>IF(TIM!C212=TIM!C212,TIM!C212,"")</f>
        <v>0</v>
      </c>
      <c r="M215" t="str">
        <f>ASSETs!W212</f>
        <v/>
      </c>
      <c r="N215" s="27"/>
      <c r="O215">
        <f>IF(TIM!G212=TIM!G212,TIM!G212,"")</f>
        <v>0</v>
      </c>
      <c r="P215" s="27"/>
      <c r="Q215" t="str">
        <f>ASSETs!$AD$2</f>
        <v>Phang-nga</v>
      </c>
      <c r="R215">
        <f>ASSETs!$AE$2</f>
        <v>99</v>
      </c>
      <c r="S215" s="11">
        <v>146</v>
      </c>
      <c r="T215" s="3">
        <f>IF(TIM!F212=TIM!F212,TIM!F212,"")</f>
        <v>0</v>
      </c>
      <c r="U215" s="18">
        <f>ASSETs!X212</f>
        <v>0</v>
      </c>
      <c r="V215" t="str">
        <f>ASSETs!$AA$2</f>
        <v>Phuket</v>
      </c>
      <c r="W215" s="3">
        <f>ASSETs!$AB$2</f>
        <v>99</v>
      </c>
      <c r="X215" s="6" t="str">
        <f>ASSETs!AN212</f>
        <v>/0/543</v>
      </c>
      <c r="Y215" t="str">
        <f>ASSETs!$AF$2</f>
        <v>12.00</v>
      </c>
      <c r="Z215" s="18">
        <v>1</v>
      </c>
    </row>
    <row r="216" spans="1:26" ht="15">
      <c r="A216" s="16">
        <f>ROWS($A$5:B216:C216)</f>
        <v>212</v>
      </c>
      <c r="B216" s="16" t="str">
        <f>ASSETs!AU213</f>
        <v>/0/543</v>
      </c>
      <c r="C216" s="26" t="s">
        <v>309</v>
      </c>
      <c r="D216">
        <f>IF(TIM!Q213=TIM!Q213,TIM!Q213,"")</f>
        <v>0</v>
      </c>
      <c r="F216" s="28"/>
      <c r="H216" s="28"/>
      <c r="I216" t="str">
        <f>IFERROR(VLOOKUP(TIM!E213,ASSETs!$AA$6:$AB$7,2,FALSE),"")</f>
        <v/>
      </c>
      <c r="J216" s="2">
        <f>(IF(TIM!B213=TIM!B213,TIM!B213,""))</f>
        <v>0</v>
      </c>
      <c r="L216">
        <f>IF(TIM!C213=TIM!C213,TIM!C213,"")</f>
        <v>0</v>
      </c>
      <c r="M216" t="str">
        <f>ASSETs!W213</f>
        <v/>
      </c>
      <c r="N216" s="27"/>
      <c r="O216">
        <f>IF(TIM!G213=TIM!G213,TIM!G213,"")</f>
        <v>0</v>
      </c>
      <c r="P216" s="27"/>
      <c r="Q216" t="str">
        <f>ASSETs!$AD$2</f>
        <v>Phang-nga</v>
      </c>
      <c r="R216">
        <f>ASSETs!$AE$2</f>
        <v>99</v>
      </c>
      <c r="S216" s="11">
        <v>146</v>
      </c>
      <c r="T216" s="3">
        <f>IF(TIM!F213=TIM!F213,TIM!F213,"")</f>
        <v>0</v>
      </c>
      <c r="U216" s="18">
        <f>ASSETs!X213</f>
        <v>0</v>
      </c>
      <c r="V216" t="str">
        <f>ASSETs!$AA$2</f>
        <v>Phuket</v>
      </c>
      <c r="W216" s="3">
        <f>ASSETs!$AB$2</f>
        <v>99</v>
      </c>
      <c r="X216" s="6" t="str">
        <f>ASSETs!AN213</f>
        <v>/0/543</v>
      </c>
      <c r="Y216" t="str">
        <f>ASSETs!$AF$2</f>
        <v>12.00</v>
      </c>
      <c r="Z216" s="18">
        <v>1</v>
      </c>
    </row>
    <row r="217" spans="1:26" ht="15">
      <c r="A217" s="16">
        <f>ROWS($A$5:B217:C217)</f>
        <v>213</v>
      </c>
      <c r="B217" s="16" t="str">
        <f>ASSETs!AU214</f>
        <v>/0/543</v>
      </c>
      <c r="C217" s="26" t="s">
        <v>309</v>
      </c>
      <c r="D217">
        <f>IF(TIM!Q214=TIM!Q214,TIM!Q214,"")</f>
        <v>0</v>
      </c>
      <c r="F217" s="28"/>
      <c r="H217" s="28"/>
      <c r="I217" t="str">
        <f>IFERROR(VLOOKUP(TIM!E214,ASSETs!$AA$6:$AB$7,2,FALSE),"")</f>
        <v/>
      </c>
      <c r="J217" s="2">
        <f>(IF(TIM!B214=TIM!B214,TIM!B214,""))</f>
        <v>0</v>
      </c>
      <c r="L217">
        <f>IF(TIM!C214=TIM!C214,TIM!C214,"")</f>
        <v>0</v>
      </c>
      <c r="M217" t="str">
        <f>ASSETs!W214</f>
        <v/>
      </c>
      <c r="N217" s="27"/>
      <c r="O217">
        <f>IF(TIM!G214=TIM!G214,TIM!G214,"")</f>
        <v>0</v>
      </c>
      <c r="P217" s="27"/>
      <c r="Q217" t="str">
        <f>ASSETs!$AD$2</f>
        <v>Phang-nga</v>
      </c>
      <c r="R217">
        <f>ASSETs!$AE$2</f>
        <v>99</v>
      </c>
      <c r="S217" s="11">
        <v>146</v>
      </c>
      <c r="T217" s="3">
        <f>IF(TIM!F214=TIM!F214,TIM!F214,"")</f>
        <v>0</v>
      </c>
      <c r="U217" s="18">
        <f>ASSETs!X214</f>
        <v>0</v>
      </c>
      <c r="V217" t="str">
        <f>ASSETs!$AA$2</f>
        <v>Phuket</v>
      </c>
      <c r="W217" s="3">
        <f>ASSETs!$AB$2</f>
        <v>99</v>
      </c>
      <c r="X217" s="6" t="str">
        <f>ASSETs!AN214</f>
        <v>/0/543</v>
      </c>
      <c r="Y217" t="str">
        <f>ASSETs!$AF$2</f>
        <v>12.00</v>
      </c>
      <c r="Z217" s="18">
        <v>1</v>
      </c>
    </row>
    <row r="218" spans="1:26" ht="15">
      <c r="A218" s="16">
        <f>ROWS($A$5:B218:C218)</f>
        <v>214</v>
      </c>
      <c r="B218" s="16" t="str">
        <f>ASSETs!AU215</f>
        <v>/0/543</v>
      </c>
      <c r="C218" s="26" t="s">
        <v>309</v>
      </c>
      <c r="D218">
        <f>IF(TIM!Q215=TIM!Q215,TIM!Q215,"")</f>
        <v>0</v>
      </c>
      <c r="I218" t="str">
        <f>IFERROR(VLOOKUP(TIM!E215,ASSETs!$AA$6:$AB$7,2,FALSE),"")</f>
        <v/>
      </c>
      <c r="J218" s="2">
        <f>(IF(TIM!B215=TIM!B215,TIM!B215,""))</f>
        <v>0</v>
      </c>
      <c r="L218">
        <f>IF(TIM!C215=TIM!C215,TIM!C215,"")</f>
        <v>0</v>
      </c>
      <c r="M218" t="str">
        <f>ASSETs!W215</f>
        <v/>
      </c>
      <c r="O218">
        <f>IF(TIM!G215=TIM!G215,TIM!G215,"")</f>
        <v>0</v>
      </c>
      <c r="Q218" t="str">
        <f>ASSETs!$AD$2</f>
        <v>Phang-nga</v>
      </c>
      <c r="R218">
        <f>ASSETs!$AE$2</f>
        <v>99</v>
      </c>
      <c r="S218" s="11">
        <v>146</v>
      </c>
      <c r="T218" s="3">
        <f>IF(TIM!F215=TIM!F215,TIM!F215,"")</f>
        <v>0</v>
      </c>
      <c r="U218" s="18">
        <f>ASSETs!X215</f>
        <v>0</v>
      </c>
      <c r="V218" t="str">
        <f>ASSETs!$AA$2</f>
        <v>Phuket</v>
      </c>
      <c r="W218" s="3">
        <f>ASSETs!$AB$2</f>
        <v>99</v>
      </c>
      <c r="X218" s="6" t="str">
        <f>ASSETs!AN215</f>
        <v>/0/543</v>
      </c>
      <c r="Y218" t="str">
        <f>ASSETs!$AF$2</f>
        <v>12.00</v>
      </c>
      <c r="Z218" s="18">
        <v>1</v>
      </c>
    </row>
    <row r="219" spans="1:26" ht="15">
      <c r="A219" s="16">
        <f>ROWS($A$5:B219:C219)</f>
        <v>215</v>
      </c>
      <c r="B219" s="16" t="str">
        <f>ASSETs!AU216</f>
        <v>/0/543</v>
      </c>
      <c r="C219" s="26" t="s">
        <v>309</v>
      </c>
      <c r="D219">
        <f>IF(TIM!Q216=TIM!Q216,TIM!Q216,"")</f>
        <v>0</v>
      </c>
      <c r="I219" t="str">
        <f>IFERROR(VLOOKUP(TIM!E216,ASSETs!$AA$6:$AB$7,2,FALSE),"")</f>
        <v/>
      </c>
      <c r="J219" s="2">
        <f>(IF(TIM!B216=TIM!B216,TIM!B216,""))</f>
        <v>0</v>
      </c>
      <c r="L219">
        <f>IF(TIM!C216=TIM!C216,TIM!C216,"")</f>
        <v>0</v>
      </c>
      <c r="M219" t="str">
        <f>ASSETs!W216</f>
        <v/>
      </c>
      <c r="O219">
        <f>IF(TIM!G216=TIM!G216,TIM!G216,"")</f>
        <v>0</v>
      </c>
      <c r="Q219" t="str">
        <f>ASSETs!$AD$2</f>
        <v>Phang-nga</v>
      </c>
      <c r="R219">
        <f>ASSETs!$AE$2</f>
        <v>99</v>
      </c>
      <c r="S219" s="11">
        <v>146</v>
      </c>
      <c r="T219" s="3">
        <f>IF(TIM!F216=TIM!F216,TIM!F216,"")</f>
        <v>0</v>
      </c>
      <c r="U219" s="18">
        <f>ASSETs!X216</f>
        <v>0</v>
      </c>
      <c r="V219" t="str">
        <f>ASSETs!$AA$2</f>
        <v>Phuket</v>
      </c>
      <c r="W219" s="3">
        <f>ASSETs!$AB$2</f>
        <v>99</v>
      </c>
      <c r="X219" s="6" t="str">
        <f>ASSETs!AN216</f>
        <v>/0/543</v>
      </c>
      <c r="Y219" t="str">
        <f>ASSETs!$AF$2</f>
        <v>12.00</v>
      </c>
      <c r="Z219" s="18">
        <v>1</v>
      </c>
    </row>
    <row r="220" spans="1:26" ht="15">
      <c r="A220" s="16">
        <f>ROWS($A$5:B220:C220)</f>
        <v>216</v>
      </c>
      <c r="B220" s="16" t="str">
        <f>ASSETs!AU217</f>
        <v>/0/543</v>
      </c>
      <c r="C220" s="26" t="s">
        <v>309</v>
      </c>
      <c r="D220">
        <f>IF(TIM!Q217=TIM!Q217,TIM!Q217,"")</f>
        <v>0</v>
      </c>
      <c r="I220" t="str">
        <f>IFERROR(VLOOKUP(TIM!E217,ASSETs!$AA$6:$AB$7,2,FALSE),"")</f>
        <v/>
      </c>
      <c r="J220" s="2">
        <f>(IF(TIM!B217=TIM!B217,TIM!B217,""))</f>
        <v>0</v>
      </c>
      <c r="L220">
        <f>IF(TIM!C217=TIM!C217,TIM!C217,"")</f>
        <v>0</v>
      </c>
      <c r="M220" t="str">
        <f>ASSETs!W217</f>
        <v/>
      </c>
      <c r="O220">
        <f>IF(TIM!G217=TIM!G217,TIM!G217,"")</f>
        <v>0</v>
      </c>
      <c r="Q220" t="str">
        <f>ASSETs!$AD$2</f>
        <v>Phang-nga</v>
      </c>
      <c r="R220">
        <f>ASSETs!$AE$2</f>
        <v>99</v>
      </c>
      <c r="S220" s="11">
        <v>146</v>
      </c>
      <c r="T220" s="3">
        <f>IF(TIM!F217=TIM!F217,TIM!F217,"")</f>
        <v>0</v>
      </c>
      <c r="U220" s="18">
        <f>ASSETs!X217</f>
        <v>0</v>
      </c>
      <c r="V220" t="str">
        <f>ASSETs!$AA$2</f>
        <v>Phuket</v>
      </c>
      <c r="W220" s="3">
        <f>ASSETs!$AB$2</f>
        <v>99</v>
      </c>
      <c r="X220" s="6" t="str">
        <f>ASSETs!AN217</f>
        <v>/0/543</v>
      </c>
      <c r="Y220" t="str">
        <f>ASSETs!$AF$2</f>
        <v>12.00</v>
      </c>
      <c r="Z220" s="18">
        <v>1</v>
      </c>
    </row>
    <row r="221" spans="1:26" ht="15">
      <c r="A221" s="16">
        <f>ROWS($A$5:B221:C221)</f>
        <v>217</v>
      </c>
      <c r="B221" s="16" t="str">
        <f>ASSETs!AU218</f>
        <v>/0/543</v>
      </c>
      <c r="C221" s="26" t="s">
        <v>309</v>
      </c>
      <c r="D221">
        <f>IF(TIM!Q218=TIM!Q218,TIM!Q218,"")</f>
        <v>0</v>
      </c>
      <c r="I221" t="str">
        <f>IFERROR(VLOOKUP(TIM!E218,ASSETs!$AA$6:$AB$7,2,FALSE),"")</f>
        <v/>
      </c>
      <c r="J221" s="2">
        <f>(IF(TIM!B218=TIM!B218,TIM!B218,""))</f>
        <v>0</v>
      </c>
      <c r="L221">
        <f>IF(TIM!C218=TIM!C218,TIM!C218,"")</f>
        <v>0</v>
      </c>
      <c r="M221" t="str">
        <f>ASSETs!W218</f>
        <v/>
      </c>
      <c r="O221">
        <f>IF(TIM!G218=TIM!G218,TIM!G218,"")</f>
        <v>0</v>
      </c>
      <c r="Q221" t="str">
        <f>ASSETs!$AD$2</f>
        <v>Phang-nga</v>
      </c>
      <c r="R221">
        <f>ASSETs!$AE$2</f>
        <v>99</v>
      </c>
      <c r="S221" s="11">
        <v>146</v>
      </c>
      <c r="T221" s="3">
        <f>IF(TIM!F218=TIM!F218,TIM!F218,"")</f>
        <v>0</v>
      </c>
      <c r="U221" s="18">
        <f>ASSETs!X218</f>
        <v>0</v>
      </c>
      <c r="V221" t="str">
        <f>ASSETs!$AA$2</f>
        <v>Phuket</v>
      </c>
      <c r="W221" s="3">
        <f>ASSETs!$AB$2</f>
        <v>99</v>
      </c>
      <c r="X221" s="6" t="str">
        <f>ASSETs!AN218</f>
        <v>/0/543</v>
      </c>
      <c r="Y221" t="str">
        <f>ASSETs!$AF$2</f>
        <v>12.00</v>
      </c>
      <c r="Z221" s="18">
        <v>1</v>
      </c>
    </row>
    <row r="222" spans="1:26" ht="15">
      <c r="A222" s="16">
        <f>ROWS($A$5:B222:C222)</f>
        <v>218</v>
      </c>
      <c r="B222" s="16" t="str">
        <f>ASSETs!AU219</f>
        <v>/0/543</v>
      </c>
      <c r="C222" s="26" t="s">
        <v>309</v>
      </c>
      <c r="D222">
        <f>IF(TIM!Q219=TIM!Q219,TIM!Q219,"")</f>
        <v>0</v>
      </c>
      <c r="I222" t="str">
        <f>IFERROR(VLOOKUP(TIM!E219,ASSETs!$AA$6:$AB$7,2,FALSE),"")</f>
        <v/>
      </c>
      <c r="J222" s="2">
        <f>(IF(TIM!B219=TIM!B219,TIM!B219,""))</f>
        <v>0</v>
      </c>
      <c r="L222">
        <f>IF(TIM!C219=TIM!C219,TIM!C219,"")</f>
        <v>0</v>
      </c>
      <c r="M222" t="str">
        <f>ASSETs!W219</f>
        <v/>
      </c>
      <c r="O222">
        <f>IF(TIM!G219=TIM!G219,TIM!G219,"")</f>
        <v>0</v>
      </c>
      <c r="Q222" t="str">
        <f>ASSETs!$AD$2</f>
        <v>Phang-nga</v>
      </c>
      <c r="R222">
        <f>ASSETs!$AE$2</f>
        <v>99</v>
      </c>
      <c r="S222" s="11">
        <v>146</v>
      </c>
      <c r="T222" s="3">
        <f>IF(TIM!F219=TIM!F219,TIM!F219,"")</f>
        <v>0</v>
      </c>
      <c r="U222" s="18">
        <f>ASSETs!X219</f>
        <v>0</v>
      </c>
      <c r="V222" t="str">
        <f>ASSETs!$AA$2</f>
        <v>Phuket</v>
      </c>
      <c r="W222" s="3">
        <f>ASSETs!$AB$2</f>
        <v>99</v>
      </c>
      <c r="X222" s="6" t="str">
        <f>ASSETs!AN219</f>
        <v>/0/543</v>
      </c>
      <c r="Y222" t="str">
        <f>ASSETs!$AF$2</f>
        <v>12.00</v>
      </c>
      <c r="Z222" s="18">
        <v>1</v>
      </c>
    </row>
    <row r="223" spans="1:26" ht="15">
      <c r="A223" s="16">
        <f>ROWS($A$5:B223:C223)</f>
        <v>219</v>
      </c>
      <c r="B223" s="16" t="str">
        <f>ASSETs!AU220</f>
        <v>/0/543</v>
      </c>
      <c r="C223" s="26" t="s">
        <v>309</v>
      </c>
      <c r="D223">
        <f>IF(TIM!Q220=TIM!Q220,TIM!Q220,"")</f>
        <v>0</v>
      </c>
      <c r="I223" t="str">
        <f>IFERROR(VLOOKUP(TIM!E220,ASSETs!$AA$6:$AB$7,2,FALSE),"")</f>
        <v/>
      </c>
      <c r="J223" s="2">
        <f>(IF(TIM!B220=TIM!B220,TIM!B220,""))</f>
        <v>0</v>
      </c>
      <c r="L223">
        <f>IF(TIM!C220=TIM!C220,TIM!C220,"")</f>
        <v>0</v>
      </c>
      <c r="M223" t="str">
        <f>ASSETs!W220</f>
        <v/>
      </c>
      <c r="O223">
        <f>IF(TIM!G220=TIM!G220,TIM!G220,"")</f>
        <v>0</v>
      </c>
      <c r="Q223" t="str">
        <f>ASSETs!$AD$2</f>
        <v>Phang-nga</v>
      </c>
      <c r="R223">
        <f>ASSETs!$AE$2</f>
        <v>99</v>
      </c>
      <c r="S223" s="11">
        <v>146</v>
      </c>
      <c r="T223" s="3">
        <f>IF(TIM!F220=TIM!F220,TIM!F220,"")</f>
        <v>0</v>
      </c>
      <c r="U223" s="18">
        <f>ASSETs!X220</f>
        <v>0</v>
      </c>
      <c r="V223" t="str">
        <f>ASSETs!$AA$2</f>
        <v>Phuket</v>
      </c>
      <c r="W223" s="3">
        <f>ASSETs!$AB$2</f>
        <v>99</v>
      </c>
      <c r="X223" s="6" t="str">
        <f>ASSETs!AN220</f>
        <v>/0/543</v>
      </c>
      <c r="Y223" t="str">
        <f>ASSETs!$AF$2</f>
        <v>12.00</v>
      </c>
      <c r="Z223" s="18">
        <v>1</v>
      </c>
    </row>
    <row r="224" spans="1:26" ht="15">
      <c r="A224" s="16">
        <f>ROWS($A$5:B224:C224)</f>
        <v>220</v>
      </c>
      <c r="B224" s="16" t="str">
        <f>ASSETs!AU221</f>
        <v>/0/543</v>
      </c>
      <c r="C224" s="26" t="s">
        <v>309</v>
      </c>
      <c r="D224">
        <f>IF(TIM!Q221=TIM!Q221,TIM!Q221,"")</f>
        <v>0</v>
      </c>
      <c r="I224" t="str">
        <f>IFERROR(VLOOKUP(TIM!E221,ASSETs!$AA$6:$AB$7,2,FALSE),"")</f>
        <v/>
      </c>
      <c r="J224" s="2">
        <f>(IF(TIM!B221=TIM!B221,TIM!B221,""))</f>
        <v>0</v>
      </c>
      <c r="L224">
        <f>IF(TIM!C221=TIM!C221,TIM!C221,"")</f>
        <v>0</v>
      </c>
      <c r="M224" t="str">
        <f>ASSETs!W221</f>
        <v/>
      </c>
      <c r="O224">
        <f>IF(TIM!G221=TIM!G221,TIM!G221,"")</f>
        <v>0</v>
      </c>
      <c r="Q224" t="str">
        <f>ASSETs!$AD$2</f>
        <v>Phang-nga</v>
      </c>
      <c r="R224">
        <f>ASSETs!$AE$2</f>
        <v>99</v>
      </c>
      <c r="S224" s="11">
        <v>146</v>
      </c>
      <c r="T224" s="3">
        <f>IF(TIM!F221=TIM!F221,TIM!F221,"")</f>
        <v>0</v>
      </c>
      <c r="U224" s="18">
        <f>ASSETs!X221</f>
        <v>0</v>
      </c>
      <c r="V224" t="str">
        <f>ASSETs!$AA$2</f>
        <v>Phuket</v>
      </c>
      <c r="W224" s="3">
        <f>ASSETs!$AB$2</f>
        <v>99</v>
      </c>
      <c r="X224" s="6" t="str">
        <f>ASSETs!AN221</f>
        <v>/0/543</v>
      </c>
      <c r="Y224" t="str">
        <f>ASSETs!$AF$2</f>
        <v>12.00</v>
      </c>
      <c r="Z224" s="18">
        <v>1</v>
      </c>
    </row>
    <row r="225" spans="1:26" ht="15">
      <c r="A225" s="16">
        <f>ROWS($A$5:B225:C225)</f>
        <v>221</v>
      </c>
      <c r="B225" s="16" t="str">
        <f>ASSETs!AU222</f>
        <v>/0/543</v>
      </c>
      <c r="C225" s="26" t="s">
        <v>309</v>
      </c>
      <c r="D225">
        <f>IF(TIM!Q222=TIM!Q222,TIM!Q222,"")</f>
        <v>0</v>
      </c>
      <c r="I225" t="str">
        <f>IFERROR(VLOOKUP(TIM!E222,ASSETs!$AA$6:$AB$7,2,FALSE),"")</f>
        <v/>
      </c>
      <c r="J225" s="2">
        <f>(IF(TIM!B222=TIM!B222,TIM!B222,""))</f>
        <v>0</v>
      </c>
      <c r="L225">
        <f>IF(TIM!C222=TIM!C222,TIM!C222,"")</f>
        <v>0</v>
      </c>
      <c r="M225" t="str">
        <f>ASSETs!W222</f>
        <v/>
      </c>
      <c r="O225">
        <f>IF(TIM!G222=TIM!G222,TIM!G222,"")</f>
        <v>0</v>
      </c>
      <c r="Q225" t="str">
        <f>ASSETs!$AD$2</f>
        <v>Phang-nga</v>
      </c>
      <c r="R225">
        <f>ASSETs!$AE$2</f>
        <v>99</v>
      </c>
      <c r="S225" s="11">
        <v>146</v>
      </c>
      <c r="T225" s="3">
        <f>IF(TIM!F222=TIM!F222,TIM!F222,"")</f>
        <v>0</v>
      </c>
      <c r="U225" s="18">
        <f>ASSETs!X222</f>
        <v>0</v>
      </c>
      <c r="V225" t="str">
        <f>ASSETs!$AA$2</f>
        <v>Phuket</v>
      </c>
      <c r="W225" s="3">
        <f>ASSETs!$AB$2</f>
        <v>99</v>
      </c>
      <c r="X225" s="6" t="str">
        <f>ASSETs!AN222</f>
        <v>/0/543</v>
      </c>
      <c r="Y225" t="str">
        <f>ASSETs!$AF$2</f>
        <v>12.00</v>
      </c>
      <c r="Z225" s="18">
        <v>1</v>
      </c>
    </row>
    <row r="226" spans="1:26" ht="15">
      <c r="A226" s="16">
        <f>ROWS($A$5:B226:C226)</f>
        <v>222</v>
      </c>
      <c r="B226" s="16" t="str">
        <f>ASSETs!AU223</f>
        <v>/0/543</v>
      </c>
      <c r="C226" s="26" t="s">
        <v>309</v>
      </c>
      <c r="D226">
        <f>IF(TIM!Q223=TIM!Q223,TIM!Q223,"")</f>
        <v>0</v>
      </c>
      <c r="I226" t="str">
        <f>IFERROR(VLOOKUP(TIM!E223,ASSETs!$AA$6:$AB$7,2,FALSE),"")</f>
        <v/>
      </c>
      <c r="J226" s="2">
        <f>(IF(TIM!B223=TIM!B223,TIM!B223,""))</f>
        <v>0</v>
      </c>
      <c r="L226">
        <f>IF(TIM!C223=TIM!C223,TIM!C223,"")</f>
        <v>0</v>
      </c>
      <c r="M226" t="str">
        <f>ASSETs!W223</f>
        <v/>
      </c>
      <c r="O226">
        <f>IF(TIM!G223=TIM!G223,TIM!G223,"")</f>
        <v>0</v>
      </c>
      <c r="Q226" t="str">
        <f>ASSETs!$AD$2</f>
        <v>Phang-nga</v>
      </c>
      <c r="R226">
        <f>ASSETs!$AE$2</f>
        <v>99</v>
      </c>
      <c r="S226" s="11">
        <v>146</v>
      </c>
      <c r="T226" s="3">
        <f>IF(TIM!F223=TIM!F223,TIM!F223,"")</f>
        <v>0</v>
      </c>
      <c r="U226" s="18">
        <f>ASSETs!X223</f>
        <v>0</v>
      </c>
      <c r="V226" t="str">
        <f>ASSETs!$AA$2</f>
        <v>Phuket</v>
      </c>
      <c r="W226" s="3">
        <f>ASSETs!$AB$2</f>
        <v>99</v>
      </c>
      <c r="X226" s="6" t="str">
        <f>ASSETs!AN223</f>
        <v>/0/543</v>
      </c>
      <c r="Y226" t="str">
        <f>ASSETs!$AF$2</f>
        <v>12.00</v>
      </c>
      <c r="Z226" s="18">
        <v>1</v>
      </c>
    </row>
    <row r="227" spans="1:26" ht="15">
      <c r="A227" s="16">
        <f>ROWS($A$5:B227:C227)</f>
        <v>223</v>
      </c>
      <c r="B227" s="16" t="str">
        <f>ASSETs!AU224</f>
        <v>/0/543</v>
      </c>
      <c r="C227" s="26" t="s">
        <v>309</v>
      </c>
      <c r="D227">
        <f>IF(TIM!Q224=TIM!Q224,TIM!Q224,"")</f>
        <v>0</v>
      </c>
      <c r="I227" t="str">
        <f>IFERROR(VLOOKUP(TIM!E224,ASSETs!$AA$6:$AB$7,2,FALSE),"")</f>
        <v/>
      </c>
      <c r="J227" s="2">
        <f>(IF(TIM!B224=TIM!B224,TIM!B224,""))</f>
        <v>0</v>
      </c>
      <c r="L227">
        <f>IF(TIM!C224=TIM!C224,TIM!C224,"")</f>
        <v>0</v>
      </c>
      <c r="M227" t="str">
        <f>ASSETs!W224</f>
        <v/>
      </c>
      <c r="O227">
        <f>IF(TIM!G224=TIM!G224,TIM!G224,"")</f>
        <v>0</v>
      </c>
      <c r="Q227" t="str">
        <f>ASSETs!$AD$2</f>
        <v>Phang-nga</v>
      </c>
      <c r="R227">
        <f>ASSETs!$AE$2</f>
        <v>99</v>
      </c>
      <c r="S227" s="11">
        <v>146</v>
      </c>
      <c r="T227" s="3">
        <f>IF(TIM!F224=TIM!F224,TIM!F224,"")</f>
        <v>0</v>
      </c>
      <c r="U227" s="18">
        <f>ASSETs!X224</f>
        <v>0</v>
      </c>
      <c r="V227" t="str">
        <f>ASSETs!$AA$2</f>
        <v>Phuket</v>
      </c>
      <c r="W227" s="3">
        <f>ASSETs!$AB$2</f>
        <v>99</v>
      </c>
      <c r="X227" s="6" t="str">
        <f>ASSETs!AN224</f>
        <v>/0/543</v>
      </c>
      <c r="Y227" t="str">
        <f>ASSETs!$AF$2</f>
        <v>12.00</v>
      </c>
      <c r="Z227" s="18">
        <v>1</v>
      </c>
    </row>
    <row r="228" spans="1:26" ht="15">
      <c r="A228" s="16">
        <f>ROWS($A$5:B228:C228)</f>
        <v>224</v>
      </c>
      <c r="B228" s="16" t="str">
        <f>ASSETs!AU225</f>
        <v>/0/543</v>
      </c>
      <c r="C228" s="26" t="s">
        <v>309</v>
      </c>
      <c r="D228">
        <f>IF(TIM!Q225=TIM!Q225,TIM!Q225,"")</f>
        <v>0</v>
      </c>
      <c r="I228" t="str">
        <f>IFERROR(VLOOKUP(TIM!E225,ASSETs!$AA$6:$AB$7,2,FALSE),"")</f>
        <v/>
      </c>
      <c r="J228" s="2">
        <f>(IF(TIM!B225=TIM!B225,TIM!B225,""))</f>
        <v>0</v>
      </c>
      <c r="L228">
        <f>IF(TIM!C225=TIM!C225,TIM!C225,"")</f>
        <v>0</v>
      </c>
      <c r="M228" t="str">
        <f>ASSETs!W225</f>
        <v/>
      </c>
      <c r="O228">
        <f>IF(TIM!G225=TIM!G225,TIM!G225,"")</f>
        <v>0</v>
      </c>
      <c r="Q228" t="str">
        <f>ASSETs!$AD$2</f>
        <v>Phang-nga</v>
      </c>
      <c r="R228">
        <f>ASSETs!$AE$2</f>
        <v>99</v>
      </c>
      <c r="S228" s="11">
        <v>146</v>
      </c>
      <c r="T228" s="3">
        <f>IF(TIM!F225=TIM!F225,TIM!F225,"")</f>
        <v>0</v>
      </c>
      <c r="U228" s="18">
        <f>ASSETs!X225</f>
        <v>0</v>
      </c>
      <c r="V228" t="str">
        <f>ASSETs!$AA$2</f>
        <v>Phuket</v>
      </c>
      <c r="W228" s="3">
        <f>ASSETs!$AB$2</f>
        <v>99</v>
      </c>
      <c r="X228" s="6" t="str">
        <f>ASSETs!AN225</f>
        <v>/0/543</v>
      </c>
      <c r="Y228" t="str">
        <f>ASSETs!$AF$2</f>
        <v>12.00</v>
      </c>
      <c r="Z228" s="18">
        <v>1</v>
      </c>
    </row>
    <row r="229" spans="1:26" ht="15">
      <c r="A229" s="16">
        <f>ROWS($A$5:B229:C229)</f>
        <v>225</v>
      </c>
      <c r="B229" s="16" t="str">
        <f>ASSETs!AU226</f>
        <v>/0/543</v>
      </c>
      <c r="C229" s="26" t="s">
        <v>309</v>
      </c>
      <c r="D229">
        <f>IF(TIM!Q226=TIM!Q226,TIM!Q226,"")</f>
        <v>0</v>
      </c>
      <c r="I229" t="str">
        <f>IFERROR(VLOOKUP(TIM!E226,ASSETs!$AA$6:$AB$7,2,FALSE),"")</f>
        <v/>
      </c>
      <c r="J229" s="2">
        <f>(IF(TIM!B226=TIM!B226,TIM!B226,""))</f>
        <v>0</v>
      </c>
      <c r="L229">
        <f>IF(TIM!C226=TIM!C226,TIM!C226,"")</f>
        <v>0</v>
      </c>
      <c r="M229" t="str">
        <f>ASSETs!W226</f>
        <v/>
      </c>
      <c r="O229">
        <f>IF(TIM!G226=TIM!G226,TIM!G226,"")</f>
        <v>0</v>
      </c>
      <c r="Q229" t="str">
        <f>ASSETs!$AD$2</f>
        <v>Phang-nga</v>
      </c>
      <c r="R229">
        <f>ASSETs!$AE$2</f>
        <v>99</v>
      </c>
      <c r="S229" s="11">
        <v>146</v>
      </c>
      <c r="T229" s="3">
        <f>IF(TIM!F226=TIM!F226,TIM!F226,"")</f>
        <v>0</v>
      </c>
      <c r="U229" s="18">
        <f>ASSETs!X226</f>
        <v>0</v>
      </c>
      <c r="V229" t="str">
        <f>ASSETs!$AA$2</f>
        <v>Phuket</v>
      </c>
      <c r="W229" s="3">
        <f>ASSETs!$AB$2</f>
        <v>99</v>
      </c>
      <c r="X229" s="6" t="str">
        <f>ASSETs!AN226</f>
        <v>/0/543</v>
      </c>
      <c r="Y229" t="str">
        <f>ASSETs!$AF$2</f>
        <v>12.00</v>
      </c>
      <c r="Z229" s="18">
        <v>1</v>
      </c>
    </row>
    <row r="230" spans="1:26" ht="15">
      <c r="A230" s="16">
        <f>ROWS($A$5:B230:C230)</f>
        <v>226</v>
      </c>
      <c r="B230" s="16" t="str">
        <f>ASSETs!AU227</f>
        <v>/0/543</v>
      </c>
      <c r="C230" s="26" t="s">
        <v>309</v>
      </c>
      <c r="D230">
        <f>IF(TIM!Q227=TIM!Q227,TIM!Q227,"")</f>
        <v>0</v>
      </c>
      <c r="I230" t="str">
        <f>IFERROR(VLOOKUP(TIM!E227,ASSETs!$AA$6:$AB$7,2,FALSE),"")</f>
        <v/>
      </c>
      <c r="J230" s="2">
        <f>(IF(TIM!B227=TIM!B227,TIM!B227,""))</f>
        <v>0</v>
      </c>
      <c r="L230">
        <f>IF(TIM!C227=TIM!C227,TIM!C227,"")</f>
        <v>0</v>
      </c>
      <c r="M230" t="str">
        <f>ASSETs!W227</f>
        <v/>
      </c>
      <c r="O230">
        <f>IF(TIM!G227=TIM!G227,TIM!G227,"")</f>
        <v>0</v>
      </c>
      <c r="Q230" t="str">
        <f>ASSETs!$AD$2</f>
        <v>Phang-nga</v>
      </c>
      <c r="R230">
        <f>ASSETs!$AE$2</f>
        <v>99</v>
      </c>
      <c r="S230" s="11">
        <v>146</v>
      </c>
      <c r="T230" s="3">
        <f>IF(TIM!F227=TIM!F227,TIM!F227,"")</f>
        <v>0</v>
      </c>
      <c r="U230" s="18">
        <f>ASSETs!X227</f>
        <v>0</v>
      </c>
      <c r="V230" t="str">
        <f>ASSETs!$AA$2</f>
        <v>Phuket</v>
      </c>
      <c r="W230" s="3">
        <f>ASSETs!$AB$2</f>
        <v>99</v>
      </c>
      <c r="X230" s="6" t="str">
        <f>ASSETs!AN227</f>
        <v>/0/543</v>
      </c>
      <c r="Y230" t="str">
        <f>ASSETs!$AF$2</f>
        <v>12.00</v>
      </c>
      <c r="Z230" s="18">
        <v>1</v>
      </c>
    </row>
    <row r="231" spans="1:26" ht="15">
      <c r="A231" s="16">
        <f>ROWS($A$5:B231:C231)</f>
        <v>227</v>
      </c>
      <c r="B231" s="16" t="str">
        <f>ASSETs!AU228</f>
        <v>/0/543</v>
      </c>
      <c r="C231" s="26" t="s">
        <v>309</v>
      </c>
      <c r="D231">
        <f>IF(TIM!Q228=TIM!Q228,TIM!Q228,"")</f>
        <v>0</v>
      </c>
      <c r="I231" t="str">
        <f>IFERROR(VLOOKUP(TIM!E228,ASSETs!$AA$6:$AB$7,2,FALSE),"")</f>
        <v/>
      </c>
      <c r="J231" s="2">
        <f>(IF(TIM!B228=TIM!B228,TIM!B228,""))</f>
        <v>0</v>
      </c>
      <c r="L231">
        <f>IF(TIM!C228=TIM!C228,TIM!C228,"")</f>
        <v>0</v>
      </c>
      <c r="M231" t="str">
        <f>ASSETs!W228</f>
        <v/>
      </c>
      <c r="O231">
        <f>IF(TIM!G228=TIM!G228,TIM!G228,"")</f>
        <v>0</v>
      </c>
      <c r="Q231" t="str">
        <f>ASSETs!$AD$2</f>
        <v>Phang-nga</v>
      </c>
      <c r="R231">
        <f>ASSETs!$AE$2</f>
        <v>99</v>
      </c>
      <c r="S231" s="11">
        <v>146</v>
      </c>
      <c r="T231" s="3">
        <f>IF(TIM!F228=TIM!F228,TIM!F228,"")</f>
        <v>0</v>
      </c>
      <c r="U231" s="18">
        <f>ASSETs!X228</f>
        <v>0</v>
      </c>
      <c r="V231" t="str">
        <f>ASSETs!$AA$2</f>
        <v>Phuket</v>
      </c>
      <c r="W231" s="3">
        <f>ASSETs!$AB$2</f>
        <v>99</v>
      </c>
      <c r="X231" s="6" t="str">
        <f>ASSETs!AN228</f>
        <v>/0/543</v>
      </c>
      <c r="Y231" t="str">
        <f>ASSETs!$AF$2</f>
        <v>12.00</v>
      </c>
      <c r="Z231" s="18">
        <v>1</v>
      </c>
    </row>
    <row r="232" spans="1:26" ht="15">
      <c r="A232" s="16">
        <f>ROWS($A$5:B232:C232)</f>
        <v>228</v>
      </c>
      <c r="B232" s="16" t="str">
        <f>ASSETs!AU229</f>
        <v>/0/543</v>
      </c>
      <c r="C232" s="26" t="s">
        <v>309</v>
      </c>
      <c r="D232">
        <f>IF(TIM!Q229=TIM!Q229,TIM!Q229,"")</f>
        <v>0</v>
      </c>
      <c r="I232" t="str">
        <f>IFERROR(VLOOKUP(TIM!E229,ASSETs!$AA$6:$AB$7,2,FALSE),"")</f>
        <v/>
      </c>
      <c r="J232" s="2">
        <f>(IF(TIM!B229=TIM!B229,TIM!B229,""))</f>
        <v>0</v>
      </c>
      <c r="L232">
        <f>IF(TIM!C229=TIM!C229,TIM!C229,"")</f>
        <v>0</v>
      </c>
      <c r="M232" t="str">
        <f>ASSETs!W229</f>
        <v/>
      </c>
      <c r="O232">
        <f>IF(TIM!G229=TIM!G229,TIM!G229,"")</f>
        <v>0</v>
      </c>
      <c r="Q232" t="str">
        <f>ASSETs!$AD$2</f>
        <v>Phang-nga</v>
      </c>
      <c r="R232">
        <f>ASSETs!$AE$2</f>
        <v>99</v>
      </c>
      <c r="S232" s="11">
        <v>146</v>
      </c>
      <c r="T232" s="3">
        <f>IF(TIM!F229=TIM!F229,TIM!F229,"")</f>
        <v>0</v>
      </c>
      <c r="U232" s="18">
        <f>ASSETs!X229</f>
        <v>0</v>
      </c>
      <c r="V232" t="str">
        <f>ASSETs!$AA$2</f>
        <v>Phuket</v>
      </c>
      <c r="W232" s="3">
        <f>ASSETs!$AB$2</f>
        <v>99</v>
      </c>
      <c r="X232" s="6" t="str">
        <f>ASSETs!AN229</f>
        <v>/0/543</v>
      </c>
      <c r="Y232" t="str">
        <f>ASSETs!$AF$2</f>
        <v>12.00</v>
      </c>
      <c r="Z232" s="18">
        <v>1</v>
      </c>
    </row>
    <row r="233" spans="1:26" ht="15">
      <c r="A233" s="16">
        <f>ROWS($A$5:B233:C233)</f>
        <v>229</v>
      </c>
      <c r="B233" s="16" t="str">
        <f>ASSETs!AU230</f>
        <v>/0/543</v>
      </c>
      <c r="C233" s="26" t="s">
        <v>309</v>
      </c>
      <c r="D233">
        <f>IF(TIM!Q230=TIM!Q230,TIM!Q230,"")</f>
        <v>0</v>
      </c>
      <c r="I233" t="str">
        <f>IFERROR(VLOOKUP(TIM!E230,ASSETs!$AA$6:$AB$7,2,FALSE),"")</f>
        <v/>
      </c>
      <c r="J233" s="2">
        <f>(IF(TIM!B230=TIM!B230,TIM!B230,""))</f>
        <v>0</v>
      </c>
      <c r="L233">
        <f>IF(TIM!C230=TIM!C230,TIM!C230,"")</f>
        <v>0</v>
      </c>
      <c r="M233" t="str">
        <f>ASSETs!W230</f>
        <v/>
      </c>
      <c r="O233">
        <f>IF(TIM!G230=TIM!G230,TIM!G230,"")</f>
        <v>0</v>
      </c>
      <c r="Q233" t="str">
        <f>ASSETs!$AD$2</f>
        <v>Phang-nga</v>
      </c>
      <c r="R233">
        <f>ASSETs!$AE$2</f>
        <v>99</v>
      </c>
      <c r="S233" s="11">
        <v>146</v>
      </c>
      <c r="T233" s="3">
        <f>IF(TIM!F230=TIM!F230,TIM!F230,"")</f>
        <v>0</v>
      </c>
      <c r="U233" s="18">
        <f>ASSETs!X230</f>
        <v>0</v>
      </c>
      <c r="V233" t="str">
        <f>ASSETs!$AA$2</f>
        <v>Phuket</v>
      </c>
      <c r="W233" s="3">
        <f>ASSETs!$AB$2</f>
        <v>99</v>
      </c>
      <c r="X233" s="6" t="str">
        <f>ASSETs!AN230</f>
        <v>/0/543</v>
      </c>
      <c r="Y233" t="str">
        <f>ASSETs!$AF$2</f>
        <v>12.00</v>
      </c>
      <c r="Z233" s="18">
        <v>1</v>
      </c>
    </row>
    <row r="234" spans="1:26" ht="15">
      <c r="A234" s="16">
        <f>ROWS($A$5:B234:C234)</f>
        <v>230</v>
      </c>
      <c r="B234" s="16" t="str">
        <f>ASSETs!AU231</f>
        <v>/0/543</v>
      </c>
      <c r="C234" s="26" t="s">
        <v>309</v>
      </c>
      <c r="D234">
        <f>IF(TIM!Q231=TIM!Q231,TIM!Q231,"")</f>
        <v>0</v>
      </c>
      <c r="I234" t="str">
        <f>IFERROR(VLOOKUP(TIM!E231,ASSETs!$AA$6:$AB$7,2,FALSE),"")</f>
        <v/>
      </c>
      <c r="J234" s="2">
        <f>(IF(TIM!B231=TIM!B231,TIM!B231,""))</f>
        <v>0</v>
      </c>
      <c r="L234">
        <f>IF(TIM!C231=TIM!C231,TIM!C231,"")</f>
        <v>0</v>
      </c>
      <c r="M234" t="str">
        <f>ASSETs!W231</f>
        <v/>
      </c>
      <c r="O234">
        <f>IF(TIM!G231=TIM!G231,TIM!G231,"")</f>
        <v>0</v>
      </c>
      <c r="Q234" t="str">
        <f>ASSETs!$AD$2</f>
        <v>Phang-nga</v>
      </c>
      <c r="R234">
        <f>ASSETs!$AE$2</f>
        <v>99</v>
      </c>
      <c r="S234" s="11">
        <v>146</v>
      </c>
      <c r="T234" s="3">
        <f>IF(TIM!F231=TIM!F231,TIM!F231,"")</f>
        <v>0</v>
      </c>
      <c r="U234" s="18">
        <f>ASSETs!X231</f>
        <v>0</v>
      </c>
      <c r="V234" t="str">
        <f>ASSETs!$AA$2</f>
        <v>Phuket</v>
      </c>
      <c r="W234" s="3">
        <f>ASSETs!$AB$2</f>
        <v>99</v>
      </c>
      <c r="X234" s="6" t="str">
        <f>ASSETs!AN231</f>
        <v>/0/543</v>
      </c>
      <c r="Y234" t="str">
        <f>ASSETs!$AF$2</f>
        <v>12.00</v>
      </c>
      <c r="Z234" s="18">
        <v>1</v>
      </c>
    </row>
    <row r="235" spans="1:26" ht="15">
      <c r="A235" s="16">
        <f>ROWS($A$5:B235:C235)</f>
        <v>231</v>
      </c>
      <c r="B235" s="16" t="str">
        <f>ASSETs!AU232</f>
        <v>/0/543</v>
      </c>
      <c r="C235" s="26" t="s">
        <v>309</v>
      </c>
      <c r="D235">
        <f>IF(TIM!Q232=TIM!Q232,TIM!Q232,"")</f>
        <v>0</v>
      </c>
      <c r="I235" t="str">
        <f>IFERROR(VLOOKUP(TIM!E232,ASSETs!$AA$6:$AB$7,2,FALSE),"")</f>
        <v/>
      </c>
      <c r="J235" s="2">
        <f>(IF(TIM!B232=TIM!B232,TIM!B232,""))</f>
        <v>0</v>
      </c>
      <c r="L235">
        <f>IF(TIM!C232=TIM!C232,TIM!C232,"")</f>
        <v>0</v>
      </c>
      <c r="M235" t="str">
        <f>ASSETs!W232</f>
        <v/>
      </c>
      <c r="O235">
        <f>IF(TIM!G232=TIM!G232,TIM!G232,"")</f>
        <v>0</v>
      </c>
      <c r="Q235" t="str">
        <f>ASSETs!$AD$2</f>
        <v>Phang-nga</v>
      </c>
      <c r="R235">
        <f>ASSETs!$AE$2</f>
        <v>99</v>
      </c>
      <c r="S235" s="11">
        <v>146</v>
      </c>
      <c r="T235" s="3">
        <f>IF(TIM!F232=TIM!F232,TIM!F232,"")</f>
        <v>0</v>
      </c>
      <c r="U235" s="18">
        <f>ASSETs!X232</f>
        <v>0</v>
      </c>
      <c r="V235" t="str">
        <f>ASSETs!$AA$2</f>
        <v>Phuket</v>
      </c>
      <c r="W235" s="3">
        <f>ASSETs!$AB$2</f>
        <v>99</v>
      </c>
      <c r="X235" s="6" t="str">
        <f>ASSETs!AN232</f>
        <v>/0/543</v>
      </c>
      <c r="Y235" t="str">
        <f>ASSETs!$AF$2</f>
        <v>12.00</v>
      </c>
      <c r="Z235" s="18">
        <v>1</v>
      </c>
    </row>
    <row r="236" spans="1:26" ht="15">
      <c r="A236" s="16">
        <f>ROWS($A$5:B236:C236)</f>
        <v>232</v>
      </c>
      <c r="B236" s="16" t="str">
        <f>ASSETs!AU233</f>
        <v>/0/543</v>
      </c>
      <c r="C236" s="26" t="s">
        <v>309</v>
      </c>
      <c r="D236">
        <f>IF(TIM!Q233=TIM!Q233,TIM!Q233,"")</f>
        <v>0</v>
      </c>
      <c r="I236" t="str">
        <f>IFERROR(VLOOKUP(TIM!E233,ASSETs!$AA$6:$AB$7,2,FALSE),"")</f>
        <v/>
      </c>
      <c r="J236" s="2">
        <f>(IF(TIM!B233=TIM!B233,TIM!B233,""))</f>
        <v>0</v>
      </c>
      <c r="L236">
        <f>IF(TIM!C233=TIM!C233,TIM!C233,"")</f>
        <v>0</v>
      </c>
      <c r="M236" t="str">
        <f>ASSETs!W233</f>
        <v/>
      </c>
      <c r="O236">
        <f>IF(TIM!G233=TIM!G233,TIM!G233,"")</f>
        <v>0</v>
      </c>
      <c r="Q236" t="str">
        <f>ASSETs!$AD$2</f>
        <v>Phang-nga</v>
      </c>
      <c r="R236">
        <f>ASSETs!$AE$2</f>
        <v>99</v>
      </c>
      <c r="S236" s="11">
        <v>146</v>
      </c>
      <c r="T236" s="3">
        <f>IF(TIM!F233=TIM!F233,TIM!F233,"")</f>
        <v>0</v>
      </c>
      <c r="U236" s="18">
        <f>ASSETs!X233</f>
        <v>0</v>
      </c>
      <c r="V236" t="str">
        <f>ASSETs!$AA$2</f>
        <v>Phuket</v>
      </c>
      <c r="W236" s="3">
        <f>ASSETs!$AB$2</f>
        <v>99</v>
      </c>
      <c r="X236" s="6" t="str">
        <f>ASSETs!AN233</f>
        <v>/0/543</v>
      </c>
      <c r="Y236" t="str">
        <f>ASSETs!$AF$2</f>
        <v>12.00</v>
      </c>
      <c r="Z236" s="18">
        <v>1</v>
      </c>
    </row>
    <row r="237" spans="1:26" ht="15">
      <c r="A237" s="16">
        <f>ROWS($A$5:B237:C237)</f>
        <v>233</v>
      </c>
      <c r="B237" s="16" t="str">
        <f>ASSETs!AU234</f>
        <v>/0/543</v>
      </c>
      <c r="C237" s="26" t="s">
        <v>309</v>
      </c>
      <c r="D237">
        <f>IF(TIM!Q234=TIM!Q234,TIM!Q234,"")</f>
        <v>0</v>
      </c>
      <c r="I237" t="str">
        <f>IFERROR(VLOOKUP(TIM!E234,ASSETs!$AA$6:$AB$7,2,FALSE),"")</f>
        <v/>
      </c>
      <c r="J237" s="2">
        <f>(IF(TIM!B234=TIM!B234,TIM!B234,""))</f>
        <v>0</v>
      </c>
      <c r="L237">
        <f>IF(TIM!C234=TIM!C234,TIM!C234,"")</f>
        <v>0</v>
      </c>
      <c r="M237" t="str">
        <f>ASSETs!W234</f>
        <v/>
      </c>
      <c r="O237">
        <f>IF(TIM!G234=TIM!G234,TIM!G234,"")</f>
        <v>0</v>
      </c>
      <c r="Q237" t="str">
        <f>ASSETs!$AD$2</f>
        <v>Phang-nga</v>
      </c>
      <c r="R237">
        <f>ASSETs!$AE$2</f>
        <v>99</v>
      </c>
      <c r="S237" s="11">
        <v>146</v>
      </c>
      <c r="T237" s="3">
        <f>IF(TIM!F234=TIM!F234,TIM!F234,"")</f>
        <v>0</v>
      </c>
      <c r="U237" s="18">
        <f>ASSETs!X234</f>
        <v>0</v>
      </c>
      <c r="V237" t="str">
        <f>ASSETs!$AA$2</f>
        <v>Phuket</v>
      </c>
      <c r="W237" s="3">
        <f>ASSETs!$AB$2</f>
        <v>99</v>
      </c>
      <c r="X237" s="6" t="str">
        <f>ASSETs!AN234</f>
        <v>/0/543</v>
      </c>
      <c r="Y237" t="str">
        <f>ASSETs!$AF$2</f>
        <v>12.00</v>
      </c>
      <c r="Z237" s="18">
        <v>1</v>
      </c>
    </row>
    <row r="238" spans="1:26" ht="15">
      <c r="A238" s="16">
        <f>ROWS($A$5:B238:C238)</f>
        <v>234</v>
      </c>
      <c r="B238" s="16" t="str">
        <f>ASSETs!AU235</f>
        <v>/0/543</v>
      </c>
      <c r="C238" s="26" t="s">
        <v>309</v>
      </c>
      <c r="D238">
        <f>IF(TIM!Q235=TIM!Q235,TIM!Q235,"")</f>
        <v>0</v>
      </c>
      <c r="I238" t="str">
        <f>IFERROR(VLOOKUP(TIM!E235,ASSETs!$AA$6:$AB$7,2,FALSE),"")</f>
        <v/>
      </c>
      <c r="J238" s="2">
        <f>(IF(TIM!B235=TIM!B235,TIM!B235,""))</f>
        <v>0</v>
      </c>
      <c r="L238">
        <f>IF(TIM!C235=TIM!C235,TIM!C235,"")</f>
        <v>0</v>
      </c>
      <c r="M238" t="str">
        <f>ASSETs!W235</f>
        <v/>
      </c>
      <c r="O238">
        <f>IF(TIM!G235=TIM!G235,TIM!G235,"")</f>
        <v>0</v>
      </c>
      <c r="Q238" t="str">
        <f>ASSETs!$AD$2</f>
        <v>Phang-nga</v>
      </c>
      <c r="R238">
        <f>ASSETs!$AE$2</f>
        <v>99</v>
      </c>
      <c r="S238" s="11">
        <v>146</v>
      </c>
      <c r="T238" s="3">
        <f>IF(TIM!F235=TIM!F235,TIM!F235,"")</f>
        <v>0</v>
      </c>
      <c r="U238" s="18">
        <f>ASSETs!X235</f>
        <v>0</v>
      </c>
      <c r="V238" t="str">
        <f>ASSETs!$AA$2</f>
        <v>Phuket</v>
      </c>
      <c r="W238" s="3">
        <f>ASSETs!$AB$2</f>
        <v>99</v>
      </c>
      <c r="X238" s="6" t="str">
        <f>ASSETs!AN235</f>
        <v>/0/543</v>
      </c>
      <c r="Y238" t="str">
        <f>ASSETs!$AF$2</f>
        <v>12.00</v>
      </c>
      <c r="Z238" s="18">
        <v>1</v>
      </c>
    </row>
    <row r="239" spans="1:26" ht="15">
      <c r="A239" s="16">
        <f>ROWS($A$5:B239:C239)</f>
        <v>235</v>
      </c>
      <c r="B239" s="16" t="str">
        <f>ASSETs!AU236</f>
        <v>/0/543</v>
      </c>
      <c r="C239" s="26" t="s">
        <v>309</v>
      </c>
      <c r="D239">
        <f>IF(TIM!Q236=TIM!Q236,TIM!Q236,"")</f>
        <v>0</v>
      </c>
      <c r="I239" t="str">
        <f>IFERROR(VLOOKUP(TIM!E236,ASSETs!$AA$6:$AB$7,2,FALSE),"")</f>
        <v/>
      </c>
      <c r="J239" s="2">
        <f>(IF(TIM!B236=TIM!B236,TIM!B236,""))</f>
        <v>0</v>
      </c>
      <c r="L239">
        <f>IF(TIM!C236=TIM!C236,TIM!C236,"")</f>
        <v>0</v>
      </c>
      <c r="M239" t="str">
        <f>ASSETs!W236</f>
        <v/>
      </c>
      <c r="O239">
        <f>IF(TIM!G236=TIM!G236,TIM!G236,"")</f>
        <v>0</v>
      </c>
      <c r="Q239" t="str">
        <f>ASSETs!$AD$2</f>
        <v>Phang-nga</v>
      </c>
      <c r="R239">
        <f>ASSETs!$AE$2</f>
        <v>99</v>
      </c>
      <c r="S239" s="11">
        <v>146</v>
      </c>
      <c r="T239" s="3">
        <f>IF(TIM!F236=TIM!F236,TIM!F236,"")</f>
        <v>0</v>
      </c>
      <c r="U239" s="18">
        <f>ASSETs!X236</f>
        <v>0</v>
      </c>
      <c r="V239" t="str">
        <f>ASSETs!$AA$2</f>
        <v>Phuket</v>
      </c>
      <c r="W239" s="3">
        <f>ASSETs!$AB$2</f>
        <v>99</v>
      </c>
      <c r="X239" s="6" t="str">
        <f>ASSETs!AN236</f>
        <v>/0/543</v>
      </c>
      <c r="Y239" t="str">
        <f>ASSETs!$AF$2</f>
        <v>12.00</v>
      </c>
      <c r="Z239" s="18">
        <v>1</v>
      </c>
    </row>
    <row r="240" spans="1:26" ht="15">
      <c r="A240" s="16">
        <f>ROWS($A$5:B240:C240)</f>
        <v>236</v>
      </c>
      <c r="B240" s="16" t="str">
        <f>ASSETs!AU237</f>
        <v>/0/543</v>
      </c>
      <c r="C240" s="26" t="s">
        <v>309</v>
      </c>
      <c r="D240">
        <f>IF(TIM!Q237=TIM!Q237,TIM!Q237,"")</f>
        <v>0</v>
      </c>
      <c r="I240" t="str">
        <f>IFERROR(VLOOKUP(TIM!E237,ASSETs!$AA$6:$AB$7,2,FALSE),"")</f>
        <v/>
      </c>
      <c r="J240" s="2">
        <f>(IF(TIM!B237=TIM!B237,TIM!B237,""))</f>
        <v>0</v>
      </c>
      <c r="L240">
        <f>IF(TIM!C237=TIM!C237,TIM!C237,"")</f>
        <v>0</v>
      </c>
      <c r="M240" t="str">
        <f>ASSETs!W237</f>
        <v/>
      </c>
      <c r="O240">
        <f>IF(TIM!G237=TIM!G237,TIM!G237,"")</f>
        <v>0</v>
      </c>
      <c r="Q240" t="str">
        <f>ASSETs!$AD$2</f>
        <v>Phang-nga</v>
      </c>
      <c r="R240">
        <f>ASSETs!$AE$2</f>
        <v>99</v>
      </c>
      <c r="S240" s="11">
        <v>146</v>
      </c>
      <c r="T240" s="3">
        <f>IF(TIM!F237=TIM!F237,TIM!F237,"")</f>
        <v>0</v>
      </c>
      <c r="U240" s="18">
        <f>ASSETs!X237</f>
        <v>0</v>
      </c>
      <c r="V240" t="str">
        <f>ASSETs!$AA$2</f>
        <v>Phuket</v>
      </c>
      <c r="W240" s="3">
        <f>ASSETs!$AB$2</f>
        <v>99</v>
      </c>
      <c r="X240" s="6" t="str">
        <f>ASSETs!AN237</f>
        <v>/0/543</v>
      </c>
      <c r="Y240" t="str">
        <f>ASSETs!$AF$2</f>
        <v>12.00</v>
      </c>
      <c r="Z240" s="18">
        <v>1</v>
      </c>
    </row>
    <row r="241" spans="1:26" ht="15">
      <c r="A241" s="16">
        <f>ROWS($A$5:B241:C241)</f>
        <v>237</v>
      </c>
      <c r="B241" s="16" t="str">
        <f>ASSETs!AU238</f>
        <v>/0/543</v>
      </c>
      <c r="C241" s="26" t="s">
        <v>309</v>
      </c>
      <c r="D241">
        <f>IF(TIM!Q238=TIM!Q238,TIM!Q238,"")</f>
        <v>0</v>
      </c>
      <c r="I241" t="str">
        <f>IFERROR(VLOOKUP(TIM!E238,ASSETs!$AA$6:$AB$7,2,FALSE),"")</f>
        <v/>
      </c>
      <c r="J241" s="2">
        <f>(IF(TIM!B238=TIM!B238,TIM!B238,""))</f>
        <v>0</v>
      </c>
      <c r="L241">
        <f>IF(TIM!C238=TIM!C238,TIM!C238,"")</f>
        <v>0</v>
      </c>
      <c r="M241" t="str">
        <f>ASSETs!W238</f>
        <v/>
      </c>
      <c r="O241">
        <f>IF(TIM!G238=TIM!G238,TIM!G238,"")</f>
        <v>0</v>
      </c>
      <c r="Q241" t="str">
        <f>ASSETs!$AD$2</f>
        <v>Phang-nga</v>
      </c>
      <c r="R241">
        <f>ASSETs!$AE$2</f>
        <v>99</v>
      </c>
      <c r="S241" s="11">
        <v>146</v>
      </c>
      <c r="T241" s="3">
        <f>IF(TIM!F238=TIM!F238,TIM!F238,"")</f>
        <v>0</v>
      </c>
      <c r="U241" s="18">
        <f>ASSETs!X238</f>
        <v>0</v>
      </c>
      <c r="V241" t="str">
        <f>ASSETs!$AA$2</f>
        <v>Phuket</v>
      </c>
      <c r="W241" s="3">
        <f>ASSETs!$AB$2</f>
        <v>99</v>
      </c>
      <c r="X241" s="6" t="str">
        <f>ASSETs!AN238</f>
        <v>/0/543</v>
      </c>
      <c r="Y241" t="str">
        <f>ASSETs!$AF$2</f>
        <v>12.00</v>
      </c>
      <c r="Z241" s="18">
        <v>1</v>
      </c>
    </row>
    <row r="242" spans="1:26" ht="15">
      <c r="A242" s="16">
        <f>ROWS($A$5:B242:C242)</f>
        <v>238</v>
      </c>
      <c r="B242" s="16" t="str">
        <f>ASSETs!AU239</f>
        <v>/0/543</v>
      </c>
      <c r="C242" s="26" t="s">
        <v>309</v>
      </c>
      <c r="D242">
        <f>IF(TIM!Q239=TIM!Q239,TIM!Q239,"")</f>
        <v>0</v>
      </c>
      <c r="I242" t="str">
        <f>IFERROR(VLOOKUP(TIM!E239,ASSETs!$AA$6:$AB$7,2,FALSE),"")</f>
        <v/>
      </c>
      <c r="J242" s="2">
        <f>(IF(TIM!B239=TIM!B239,TIM!B239,""))</f>
        <v>0</v>
      </c>
      <c r="L242">
        <f>IF(TIM!C239=TIM!C239,TIM!C239,"")</f>
        <v>0</v>
      </c>
      <c r="M242" t="str">
        <f>ASSETs!W239</f>
        <v/>
      </c>
      <c r="O242">
        <f>IF(TIM!G239=TIM!G239,TIM!G239,"")</f>
        <v>0</v>
      </c>
      <c r="Q242" t="str">
        <f>ASSETs!$AD$2</f>
        <v>Phang-nga</v>
      </c>
      <c r="R242">
        <f>ASSETs!$AE$2</f>
        <v>99</v>
      </c>
      <c r="S242" s="11">
        <v>146</v>
      </c>
      <c r="T242" s="3">
        <f>IF(TIM!F239=TIM!F239,TIM!F239,"")</f>
        <v>0</v>
      </c>
      <c r="U242" s="18">
        <f>ASSETs!X239</f>
        <v>0</v>
      </c>
      <c r="V242" t="str">
        <f>ASSETs!$AA$2</f>
        <v>Phuket</v>
      </c>
      <c r="W242" s="3">
        <f>ASSETs!$AB$2</f>
        <v>99</v>
      </c>
      <c r="X242" s="6" t="str">
        <f>ASSETs!AN239</f>
        <v>/0/543</v>
      </c>
      <c r="Y242" t="str">
        <f>ASSETs!$AF$2</f>
        <v>12.00</v>
      </c>
      <c r="Z242" s="18">
        <v>1</v>
      </c>
    </row>
    <row r="243" spans="1:26" ht="15">
      <c r="A243" s="16">
        <f>ROWS($A$5:B243:C243)</f>
        <v>239</v>
      </c>
      <c r="B243" s="16" t="str">
        <f>ASSETs!AU240</f>
        <v>/0/543</v>
      </c>
      <c r="C243" s="26" t="s">
        <v>309</v>
      </c>
      <c r="D243">
        <f>IF(TIM!Q240=TIM!Q240,TIM!Q240,"")</f>
        <v>0</v>
      </c>
      <c r="I243" t="str">
        <f>IFERROR(VLOOKUP(TIM!E240,ASSETs!$AA$6:$AB$7,2,FALSE),"")</f>
        <v/>
      </c>
      <c r="J243" s="2">
        <f>(IF(TIM!B240=TIM!B240,TIM!B240,""))</f>
        <v>0</v>
      </c>
      <c r="L243">
        <f>IF(TIM!C240=TIM!C240,TIM!C240,"")</f>
        <v>0</v>
      </c>
      <c r="M243" t="str">
        <f>ASSETs!W240</f>
        <v/>
      </c>
      <c r="O243">
        <f>IF(TIM!G240=TIM!G240,TIM!G240,"")</f>
        <v>0</v>
      </c>
      <c r="Q243" t="str">
        <f>ASSETs!$AD$2</f>
        <v>Phang-nga</v>
      </c>
      <c r="R243">
        <f>ASSETs!$AE$2</f>
        <v>99</v>
      </c>
      <c r="S243" s="11">
        <v>146</v>
      </c>
      <c r="T243" s="3">
        <f>IF(TIM!F240=TIM!F240,TIM!F240,"")</f>
        <v>0</v>
      </c>
      <c r="U243" s="18">
        <f>ASSETs!X240</f>
        <v>0</v>
      </c>
      <c r="V243" t="str">
        <f>ASSETs!$AA$2</f>
        <v>Phuket</v>
      </c>
      <c r="W243" s="3">
        <f>ASSETs!$AB$2</f>
        <v>99</v>
      </c>
      <c r="X243" s="6" t="str">
        <f>ASSETs!AN240</f>
        <v>/0/543</v>
      </c>
      <c r="Y243" t="str">
        <f>ASSETs!$AF$2</f>
        <v>12.00</v>
      </c>
      <c r="Z243" s="18">
        <v>1</v>
      </c>
    </row>
    <row r="244" spans="1:26" ht="15">
      <c r="A244" s="16">
        <f>ROWS($A$5:B244:C244)</f>
        <v>240</v>
      </c>
      <c r="B244" s="16" t="str">
        <f>ASSETs!AU241</f>
        <v>/0/543</v>
      </c>
      <c r="C244" s="26" t="s">
        <v>309</v>
      </c>
      <c r="D244">
        <f>IF(TIM!Q241=TIM!Q241,TIM!Q241,"")</f>
        <v>0</v>
      </c>
      <c r="I244" t="str">
        <f>IFERROR(VLOOKUP(TIM!E241,ASSETs!$AA$6:$AB$7,2,FALSE),"")</f>
        <v/>
      </c>
      <c r="J244" s="2">
        <f>(IF(TIM!B241=TIM!B241,TIM!B241,""))</f>
        <v>0</v>
      </c>
      <c r="L244">
        <f>IF(TIM!C241=TIM!C241,TIM!C241,"")</f>
        <v>0</v>
      </c>
      <c r="M244" t="str">
        <f>ASSETs!W241</f>
        <v/>
      </c>
      <c r="O244">
        <f>IF(TIM!G241=TIM!G241,TIM!G241,"")</f>
        <v>0</v>
      </c>
      <c r="Q244" t="str">
        <f>ASSETs!$AD$2</f>
        <v>Phang-nga</v>
      </c>
      <c r="R244">
        <f>ASSETs!$AE$2</f>
        <v>99</v>
      </c>
      <c r="S244" s="11">
        <v>146</v>
      </c>
      <c r="T244" s="3">
        <f>IF(TIM!F241=TIM!F241,TIM!F241,"")</f>
        <v>0</v>
      </c>
      <c r="U244" s="18">
        <f>ASSETs!X241</f>
        <v>0</v>
      </c>
      <c r="V244" t="str">
        <f>ASSETs!$AA$2</f>
        <v>Phuket</v>
      </c>
      <c r="W244" s="3">
        <f>ASSETs!$AB$2</f>
        <v>99</v>
      </c>
      <c r="X244" s="6" t="str">
        <f>ASSETs!AN241</f>
        <v>/0/543</v>
      </c>
      <c r="Y244" t="str">
        <f>ASSETs!$AF$2</f>
        <v>12.00</v>
      </c>
      <c r="Z244" s="18">
        <v>1</v>
      </c>
    </row>
    <row r="245" spans="1:26" ht="15">
      <c r="A245" s="16">
        <f>ROWS($A$5:B245:C245)</f>
        <v>241</v>
      </c>
      <c r="B245" s="16" t="str">
        <f>ASSETs!AU242</f>
        <v>/0/543</v>
      </c>
      <c r="C245" s="26" t="s">
        <v>309</v>
      </c>
      <c r="D245">
        <f>IF(TIM!Q242=TIM!Q242,TIM!Q242,"")</f>
        <v>0</v>
      </c>
      <c r="I245" t="str">
        <f>IFERROR(VLOOKUP(TIM!E242,ASSETs!$AA$6:$AB$7,2,FALSE),"")</f>
        <v/>
      </c>
      <c r="J245" s="2">
        <f>(IF(TIM!B242=TIM!B242,TIM!B242,""))</f>
        <v>0</v>
      </c>
      <c r="L245">
        <f>IF(TIM!C242=TIM!C242,TIM!C242,"")</f>
        <v>0</v>
      </c>
      <c r="M245" t="str">
        <f>ASSETs!W242</f>
        <v/>
      </c>
      <c r="O245">
        <f>IF(TIM!G242=TIM!G242,TIM!G242,"")</f>
        <v>0</v>
      </c>
      <c r="Q245" t="str">
        <f>ASSETs!$AD$2</f>
        <v>Phang-nga</v>
      </c>
      <c r="R245">
        <f>ASSETs!$AE$2</f>
        <v>99</v>
      </c>
      <c r="S245" s="11">
        <v>146</v>
      </c>
      <c r="T245" s="3">
        <f>IF(TIM!F242=TIM!F242,TIM!F242,"")</f>
        <v>0</v>
      </c>
      <c r="U245" s="18">
        <f>ASSETs!X242</f>
        <v>0</v>
      </c>
      <c r="V245" t="str">
        <f>ASSETs!$AA$2</f>
        <v>Phuket</v>
      </c>
      <c r="W245" s="3">
        <f>ASSETs!$AB$2</f>
        <v>99</v>
      </c>
      <c r="X245" s="6" t="str">
        <f>ASSETs!AN242</f>
        <v>/0/543</v>
      </c>
      <c r="Y245" t="str">
        <f>ASSETs!$AF$2</f>
        <v>12.00</v>
      </c>
      <c r="Z245" s="18">
        <v>1</v>
      </c>
    </row>
    <row r="246" spans="1:26" ht="15">
      <c r="A246" s="16">
        <f>ROWS($A$5:B246:C246)</f>
        <v>242</v>
      </c>
      <c r="B246" s="16" t="str">
        <f>ASSETs!AU243</f>
        <v>/0/543</v>
      </c>
      <c r="C246" s="26" t="s">
        <v>309</v>
      </c>
      <c r="D246">
        <f>IF(TIM!Q243=TIM!Q243,TIM!Q243,"")</f>
        <v>0</v>
      </c>
      <c r="I246" t="str">
        <f>IFERROR(VLOOKUP(TIM!E243,ASSETs!$AA$6:$AB$7,2,FALSE),"")</f>
        <v/>
      </c>
      <c r="J246" s="2">
        <f>(IF(TIM!B243=TIM!B243,TIM!B243,""))</f>
        <v>0</v>
      </c>
      <c r="L246">
        <f>IF(TIM!C243=TIM!C243,TIM!C243,"")</f>
        <v>0</v>
      </c>
      <c r="M246" t="str">
        <f>ASSETs!W243</f>
        <v/>
      </c>
      <c r="O246">
        <f>IF(TIM!G243=TIM!G243,TIM!G243,"")</f>
        <v>0</v>
      </c>
      <c r="Q246" t="str">
        <f>ASSETs!$AD$2</f>
        <v>Phang-nga</v>
      </c>
      <c r="R246">
        <f>ASSETs!$AE$2</f>
        <v>99</v>
      </c>
      <c r="S246" s="11">
        <v>146</v>
      </c>
      <c r="T246" s="3">
        <f>IF(TIM!F243=TIM!F243,TIM!F243,"")</f>
        <v>0</v>
      </c>
      <c r="U246" s="18">
        <f>ASSETs!X243</f>
        <v>0</v>
      </c>
      <c r="V246" t="str">
        <f>ASSETs!$AA$2</f>
        <v>Phuket</v>
      </c>
      <c r="W246" s="3">
        <f>ASSETs!$AB$2</f>
        <v>99</v>
      </c>
      <c r="X246" s="6" t="str">
        <f>ASSETs!AN243</f>
        <v>/0/543</v>
      </c>
      <c r="Y246" t="str">
        <f>ASSETs!$AF$2</f>
        <v>12.00</v>
      </c>
      <c r="Z246" s="18">
        <v>1</v>
      </c>
    </row>
    <row r="247" spans="1:26" ht="15">
      <c r="A247" s="16">
        <f>ROWS($A$5:B247:C247)</f>
        <v>243</v>
      </c>
      <c r="B247" s="16" t="str">
        <f>ASSETs!AU244</f>
        <v>/0/543</v>
      </c>
      <c r="C247" s="26" t="s">
        <v>309</v>
      </c>
      <c r="D247">
        <f>IF(TIM!Q244=TIM!Q244,TIM!Q244,"")</f>
        <v>0</v>
      </c>
      <c r="I247" t="str">
        <f>IFERROR(VLOOKUP(TIM!E244,ASSETs!$AA$6:$AB$7,2,FALSE),"")</f>
        <v/>
      </c>
      <c r="J247" s="2">
        <f>(IF(TIM!B244=TIM!B244,TIM!B244,""))</f>
        <v>0</v>
      </c>
      <c r="L247">
        <f>IF(TIM!C244=TIM!C244,TIM!C244,"")</f>
        <v>0</v>
      </c>
      <c r="M247" t="str">
        <f>ASSETs!W244</f>
        <v/>
      </c>
      <c r="O247">
        <f>IF(TIM!G244=TIM!G244,TIM!G244,"")</f>
        <v>0</v>
      </c>
      <c r="Q247" t="str">
        <f>ASSETs!$AD$2</f>
        <v>Phang-nga</v>
      </c>
      <c r="R247">
        <f>ASSETs!$AE$2</f>
        <v>99</v>
      </c>
      <c r="S247" s="11">
        <v>146</v>
      </c>
      <c r="T247" s="3">
        <f>IF(TIM!F244=TIM!F244,TIM!F244,"")</f>
        <v>0</v>
      </c>
      <c r="U247" s="18">
        <f>ASSETs!X244</f>
        <v>0</v>
      </c>
      <c r="V247" t="str">
        <f>ASSETs!$AA$2</f>
        <v>Phuket</v>
      </c>
      <c r="W247" s="3">
        <f>ASSETs!$AB$2</f>
        <v>99</v>
      </c>
      <c r="X247" s="6" t="str">
        <f>ASSETs!AN244</f>
        <v>/0/543</v>
      </c>
      <c r="Y247" t="str">
        <f>ASSETs!$AF$2</f>
        <v>12.00</v>
      </c>
      <c r="Z247" s="18">
        <v>1</v>
      </c>
    </row>
    <row r="248" spans="1:26" ht="15">
      <c r="A248" s="16">
        <f>ROWS($A$5:B248:C248)</f>
        <v>244</v>
      </c>
      <c r="B248" s="16" t="str">
        <f>ASSETs!AU245</f>
        <v>/0/543</v>
      </c>
      <c r="C248" s="26" t="s">
        <v>309</v>
      </c>
      <c r="D248">
        <f>IF(TIM!Q245=TIM!Q245,TIM!Q245,"")</f>
        <v>0</v>
      </c>
      <c r="I248" t="str">
        <f>IFERROR(VLOOKUP(TIM!E245,ASSETs!$AA$6:$AB$7,2,FALSE),"")</f>
        <v/>
      </c>
      <c r="J248" s="2">
        <f>(IF(TIM!B245=TIM!B245,TIM!B245,""))</f>
        <v>0</v>
      </c>
      <c r="L248">
        <f>IF(TIM!C245=TIM!C245,TIM!C245,"")</f>
        <v>0</v>
      </c>
      <c r="M248" t="str">
        <f>ASSETs!W245</f>
        <v/>
      </c>
      <c r="O248">
        <f>IF(TIM!G245=TIM!G245,TIM!G245,"")</f>
        <v>0</v>
      </c>
      <c r="Q248" t="str">
        <f>ASSETs!$AD$2</f>
        <v>Phang-nga</v>
      </c>
      <c r="R248">
        <f>ASSETs!$AE$2</f>
        <v>99</v>
      </c>
      <c r="S248" s="11">
        <v>146</v>
      </c>
      <c r="T248" s="3">
        <f>IF(TIM!F245=TIM!F245,TIM!F245,"")</f>
        <v>0</v>
      </c>
      <c r="U248" s="18">
        <f>ASSETs!X245</f>
        <v>0</v>
      </c>
      <c r="V248" t="str">
        <f>ASSETs!$AA$2</f>
        <v>Phuket</v>
      </c>
      <c r="W248" s="3">
        <f>ASSETs!$AB$2</f>
        <v>99</v>
      </c>
      <c r="X248" s="6" t="str">
        <f>ASSETs!AN245</f>
        <v>/0/543</v>
      </c>
      <c r="Y248" t="str">
        <f>ASSETs!$AF$2</f>
        <v>12.00</v>
      </c>
      <c r="Z248" s="18">
        <v>1</v>
      </c>
    </row>
    <row r="249" spans="1:26" ht="15">
      <c r="A249" s="16">
        <f>ROWS($A$5:B249:C249)</f>
        <v>245</v>
      </c>
      <c r="B249" s="16" t="str">
        <f>ASSETs!AU246</f>
        <v>/0/543</v>
      </c>
      <c r="C249" s="26" t="s">
        <v>309</v>
      </c>
      <c r="D249">
        <f>IF(TIM!Q246=TIM!Q246,TIM!Q246,"")</f>
        <v>0</v>
      </c>
      <c r="I249" t="str">
        <f>IFERROR(VLOOKUP(TIM!E246,ASSETs!$AA$6:$AB$7,2,FALSE),"")</f>
        <v/>
      </c>
      <c r="J249" s="2">
        <f>(IF(TIM!B246=TIM!B246,TIM!B246,""))</f>
        <v>0</v>
      </c>
      <c r="L249">
        <f>IF(TIM!C246=TIM!C246,TIM!C246,"")</f>
        <v>0</v>
      </c>
      <c r="M249" t="str">
        <f>ASSETs!W246</f>
        <v/>
      </c>
      <c r="O249">
        <f>IF(TIM!G246=TIM!G246,TIM!G246,"")</f>
        <v>0</v>
      </c>
      <c r="Q249" t="str">
        <f>ASSETs!$AD$2</f>
        <v>Phang-nga</v>
      </c>
      <c r="R249">
        <f>ASSETs!$AE$2</f>
        <v>99</v>
      </c>
      <c r="S249" s="11">
        <v>146</v>
      </c>
      <c r="T249" s="3">
        <f>IF(TIM!F246=TIM!F246,TIM!F246,"")</f>
        <v>0</v>
      </c>
      <c r="U249" s="18">
        <f>ASSETs!X246</f>
        <v>0</v>
      </c>
      <c r="V249" t="str">
        <f>ASSETs!$AA$2</f>
        <v>Phuket</v>
      </c>
      <c r="W249" s="3">
        <f>ASSETs!$AB$2</f>
        <v>99</v>
      </c>
      <c r="X249" s="6" t="str">
        <f>ASSETs!AN246</f>
        <v>/0/543</v>
      </c>
      <c r="Y249" t="str">
        <f>ASSETs!$AF$2</f>
        <v>12.00</v>
      </c>
      <c r="Z249" s="18">
        <v>1</v>
      </c>
    </row>
    <row r="250" spans="1:26" ht="15">
      <c r="A250" s="16">
        <f>ROWS($A$5:B250:C250)</f>
        <v>246</v>
      </c>
      <c r="B250" s="16" t="str">
        <f>ASSETs!AU247</f>
        <v>/0/543</v>
      </c>
      <c r="C250" s="26" t="s">
        <v>309</v>
      </c>
      <c r="D250">
        <f>IF(TIM!Q247=TIM!Q247,TIM!Q247,"")</f>
        <v>0</v>
      </c>
      <c r="I250" t="str">
        <f>IFERROR(VLOOKUP(TIM!E247,ASSETs!$AA$6:$AB$7,2,FALSE),"")</f>
        <v/>
      </c>
      <c r="J250" s="2">
        <f>(IF(TIM!B247=TIM!B247,TIM!B247,""))</f>
        <v>0</v>
      </c>
      <c r="L250">
        <f>IF(TIM!C247=TIM!C247,TIM!C247,"")</f>
        <v>0</v>
      </c>
      <c r="M250" t="str">
        <f>ASSETs!W247</f>
        <v/>
      </c>
      <c r="O250">
        <f>IF(TIM!G247=TIM!G247,TIM!G247,"")</f>
        <v>0</v>
      </c>
      <c r="Q250" t="str">
        <f>ASSETs!$AD$2</f>
        <v>Phang-nga</v>
      </c>
      <c r="R250">
        <f>ASSETs!$AE$2</f>
        <v>99</v>
      </c>
      <c r="S250" s="11">
        <v>146</v>
      </c>
      <c r="T250" s="3">
        <f>IF(TIM!F247=TIM!F247,TIM!F247,"")</f>
        <v>0</v>
      </c>
      <c r="U250" s="18">
        <f>ASSETs!X247</f>
        <v>0</v>
      </c>
      <c r="V250" t="str">
        <f>ASSETs!$AA$2</f>
        <v>Phuket</v>
      </c>
      <c r="W250" s="3">
        <f>ASSETs!$AB$2</f>
        <v>99</v>
      </c>
      <c r="X250" s="6" t="str">
        <f>ASSETs!AN247</f>
        <v>/0/543</v>
      </c>
      <c r="Y250" t="str">
        <f>ASSETs!$AF$2</f>
        <v>12.00</v>
      </c>
      <c r="Z250" s="18">
        <v>1</v>
      </c>
    </row>
    <row r="251" spans="1:26" ht="15">
      <c r="A251" s="16">
        <f>ROWS($A$5:B251:C251)</f>
        <v>247</v>
      </c>
      <c r="B251" s="16" t="str">
        <f>ASSETs!AU248</f>
        <v>/0/543</v>
      </c>
      <c r="C251" s="26" t="s">
        <v>309</v>
      </c>
      <c r="D251">
        <f>IF(TIM!Q248=TIM!Q248,TIM!Q248,"")</f>
        <v>0</v>
      </c>
      <c r="I251" t="str">
        <f>IFERROR(VLOOKUP(TIM!E248,ASSETs!$AA$6:$AB$7,2,FALSE),"")</f>
        <v/>
      </c>
      <c r="J251" s="2">
        <f>(IF(TIM!B248=TIM!B248,TIM!B248,""))</f>
        <v>0</v>
      </c>
      <c r="L251">
        <f>IF(TIM!C248=TIM!C248,TIM!C248,"")</f>
        <v>0</v>
      </c>
      <c r="M251" t="str">
        <f>ASSETs!W248</f>
        <v/>
      </c>
      <c r="O251">
        <f>IF(TIM!G248=TIM!G248,TIM!G248,"")</f>
        <v>0</v>
      </c>
      <c r="Q251" t="str">
        <f>ASSETs!$AD$2</f>
        <v>Phang-nga</v>
      </c>
      <c r="R251">
        <f>ASSETs!$AE$2</f>
        <v>99</v>
      </c>
      <c r="S251" s="11">
        <v>146</v>
      </c>
      <c r="T251" s="3">
        <f>IF(TIM!F248=TIM!F248,TIM!F248,"")</f>
        <v>0</v>
      </c>
      <c r="U251" s="18">
        <f>ASSETs!X248</f>
        <v>0</v>
      </c>
      <c r="V251" t="str">
        <f>ASSETs!$AA$2</f>
        <v>Phuket</v>
      </c>
      <c r="W251" s="3">
        <f>ASSETs!$AB$2</f>
        <v>99</v>
      </c>
      <c r="X251" s="6" t="str">
        <f>ASSETs!AN248</f>
        <v>/0/543</v>
      </c>
      <c r="Y251" t="str">
        <f>ASSETs!$AF$2</f>
        <v>12.00</v>
      </c>
      <c r="Z251" s="18">
        <v>1</v>
      </c>
    </row>
    <row r="252" spans="1:26" ht="15">
      <c r="A252" s="16">
        <f>ROWS($A$5:B252:C252)</f>
        <v>248</v>
      </c>
      <c r="B252" s="16" t="str">
        <f>ASSETs!AU249</f>
        <v>/0/543</v>
      </c>
      <c r="C252" s="26" t="s">
        <v>309</v>
      </c>
      <c r="D252">
        <f>IF(TIM!Q249=TIM!Q249,TIM!Q249,"")</f>
        <v>0</v>
      </c>
      <c r="I252" t="str">
        <f>IFERROR(VLOOKUP(TIM!E249,ASSETs!$AA$6:$AB$7,2,FALSE),"")</f>
        <v/>
      </c>
      <c r="J252" s="2">
        <f>(IF(TIM!B249=TIM!B249,TIM!B249,""))</f>
        <v>0</v>
      </c>
      <c r="L252">
        <f>IF(TIM!C249=TIM!C249,TIM!C249,"")</f>
        <v>0</v>
      </c>
      <c r="M252" t="str">
        <f>ASSETs!W249</f>
        <v/>
      </c>
      <c r="O252">
        <f>IF(TIM!G249=TIM!G249,TIM!G249,"")</f>
        <v>0</v>
      </c>
      <c r="Q252" t="str">
        <f>ASSETs!$AD$2</f>
        <v>Phang-nga</v>
      </c>
      <c r="R252">
        <f>ASSETs!$AE$2</f>
        <v>99</v>
      </c>
      <c r="S252" s="11">
        <v>146</v>
      </c>
      <c r="T252" s="3">
        <f>IF(TIM!F249=TIM!F249,TIM!F249,"")</f>
        <v>0</v>
      </c>
      <c r="U252" s="18">
        <f>ASSETs!X249</f>
        <v>0</v>
      </c>
      <c r="V252" t="str">
        <f>ASSETs!$AA$2</f>
        <v>Phuket</v>
      </c>
      <c r="W252" s="3">
        <f>ASSETs!$AB$2</f>
        <v>99</v>
      </c>
      <c r="X252" s="6" t="str">
        <f>ASSETs!AN249</f>
        <v>/0/543</v>
      </c>
      <c r="Y252" t="str">
        <f>ASSETs!$AF$2</f>
        <v>12.00</v>
      </c>
      <c r="Z252" s="18">
        <v>1</v>
      </c>
    </row>
    <row r="253" spans="1:26" ht="15">
      <c r="A253" s="16">
        <f>ROWS($A$5:B253:C253)</f>
        <v>249</v>
      </c>
      <c r="B253" s="16" t="str">
        <f>ASSETs!AU250</f>
        <v>/0/543</v>
      </c>
      <c r="C253" s="26" t="s">
        <v>309</v>
      </c>
      <c r="D253">
        <f>IF(TIM!Q250=TIM!Q250,TIM!Q250,"")</f>
        <v>0</v>
      </c>
      <c r="I253" t="str">
        <f>IFERROR(VLOOKUP(TIM!E250,ASSETs!$AA$6:$AB$7,2,FALSE),"")</f>
        <v/>
      </c>
      <c r="J253" s="2">
        <f>(IF(TIM!B250=TIM!B250,TIM!B250,""))</f>
        <v>0</v>
      </c>
      <c r="L253">
        <f>IF(TIM!C250=TIM!C250,TIM!C250,"")</f>
        <v>0</v>
      </c>
      <c r="M253" t="str">
        <f>ASSETs!W250</f>
        <v/>
      </c>
      <c r="O253">
        <f>IF(TIM!G250=TIM!G250,TIM!G250,"")</f>
        <v>0</v>
      </c>
      <c r="Q253" t="str">
        <f>ASSETs!$AD$2</f>
        <v>Phang-nga</v>
      </c>
      <c r="R253">
        <f>ASSETs!$AE$2</f>
        <v>99</v>
      </c>
      <c r="S253" s="11">
        <v>146</v>
      </c>
      <c r="T253" s="3">
        <f>IF(TIM!F250=TIM!F250,TIM!F250,"")</f>
        <v>0</v>
      </c>
      <c r="U253" s="18">
        <f>ASSETs!X250</f>
        <v>0</v>
      </c>
      <c r="V253" t="str">
        <f>ASSETs!$AA$2</f>
        <v>Phuket</v>
      </c>
      <c r="W253" s="3">
        <f>ASSETs!$AB$2</f>
        <v>99</v>
      </c>
      <c r="X253" s="6" t="str">
        <f>ASSETs!AN250</f>
        <v>/0/543</v>
      </c>
      <c r="Y253" t="str">
        <f>ASSETs!$AF$2</f>
        <v>12.00</v>
      </c>
      <c r="Z253" s="18">
        <v>1</v>
      </c>
    </row>
    <row r="254" spans="1:26" ht="15">
      <c r="A254" s="16">
        <f>ROWS($A$5:B254:C254)</f>
        <v>250</v>
      </c>
      <c r="B254" s="16" t="str">
        <f>ASSETs!AU251</f>
        <v>/0/543</v>
      </c>
      <c r="C254" s="26" t="s">
        <v>309</v>
      </c>
      <c r="D254">
        <f>IF(TIM!Q251=TIM!Q251,TIM!Q251,"")</f>
        <v>0</v>
      </c>
      <c r="I254" t="str">
        <f>IFERROR(VLOOKUP(TIM!E251,ASSETs!$AA$6:$AB$7,2,FALSE),"")</f>
        <v/>
      </c>
      <c r="J254" s="2">
        <f>(IF(TIM!B251=TIM!B251,TIM!B251,""))</f>
        <v>0</v>
      </c>
      <c r="L254">
        <f>IF(TIM!C251=TIM!C251,TIM!C251,"")</f>
        <v>0</v>
      </c>
      <c r="M254" t="str">
        <f>ASSETs!W251</f>
        <v/>
      </c>
      <c r="O254">
        <f>IF(TIM!G251=TIM!G251,TIM!G251,"")</f>
        <v>0</v>
      </c>
      <c r="Q254" t="str">
        <f>ASSETs!$AD$2</f>
        <v>Phang-nga</v>
      </c>
      <c r="R254">
        <f>ASSETs!$AE$2</f>
        <v>99</v>
      </c>
      <c r="S254" s="11">
        <v>146</v>
      </c>
      <c r="T254" s="3">
        <f>IF(TIM!F251=TIM!F251,TIM!F251,"")</f>
        <v>0</v>
      </c>
      <c r="U254" s="18">
        <f>ASSETs!X251</f>
        <v>0</v>
      </c>
      <c r="V254" t="str">
        <f>ASSETs!$AA$2</f>
        <v>Phuket</v>
      </c>
      <c r="W254" s="3">
        <f>ASSETs!$AB$2</f>
        <v>99</v>
      </c>
      <c r="X254" s="6" t="str">
        <f>ASSETs!AN251</f>
        <v>/0/543</v>
      </c>
      <c r="Y254" t="str">
        <f>ASSETs!$AF$2</f>
        <v>12.00</v>
      </c>
      <c r="Z254" s="18">
        <v>1</v>
      </c>
    </row>
    <row r="255" spans="1:26" ht="15">
      <c r="A255" s="16">
        <f>ROWS($A$5:B255:C255)</f>
        <v>251</v>
      </c>
      <c r="B255" s="16" t="str">
        <f>ASSETs!AU252</f>
        <v>/0/543</v>
      </c>
      <c r="C255" s="26" t="s">
        <v>309</v>
      </c>
      <c r="D255">
        <f>IF(TIM!Q252=TIM!Q252,TIM!Q252,"")</f>
        <v>0</v>
      </c>
      <c r="I255" t="str">
        <f>IFERROR(VLOOKUP(TIM!E252,ASSETs!$AA$6:$AB$7,2,FALSE),"")</f>
        <v/>
      </c>
      <c r="J255" s="2">
        <f>(IF(TIM!B252=TIM!B252,TIM!B252,""))</f>
        <v>0</v>
      </c>
      <c r="L255">
        <f>IF(TIM!C252=TIM!C252,TIM!C252,"")</f>
        <v>0</v>
      </c>
      <c r="M255" t="str">
        <f>ASSETs!W252</f>
        <v/>
      </c>
      <c r="O255">
        <f>IF(TIM!G252=TIM!G252,TIM!G252,"")</f>
        <v>0</v>
      </c>
      <c r="Q255" t="str">
        <f>ASSETs!$AD$2</f>
        <v>Phang-nga</v>
      </c>
      <c r="R255">
        <f>ASSETs!$AE$2</f>
        <v>99</v>
      </c>
      <c r="S255" s="11">
        <v>146</v>
      </c>
      <c r="T255" s="3">
        <f>IF(TIM!F252=TIM!F252,TIM!F252,"")</f>
        <v>0</v>
      </c>
      <c r="U255" s="18">
        <f>ASSETs!X252</f>
        <v>0</v>
      </c>
      <c r="V255" t="str">
        <f>ASSETs!$AA$2</f>
        <v>Phuket</v>
      </c>
      <c r="W255" s="3">
        <f>ASSETs!$AB$2</f>
        <v>99</v>
      </c>
      <c r="X255" s="6" t="str">
        <f>ASSETs!AN252</f>
        <v>/0/543</v>
      </c>
      <c r="Y255" t="str">
        <f>ASSETs!$AF$2</f>
        <v>12.00</v>
      </c>
      <c r="Z255" s="18">
        <v>1</v>
      </c>
    </row>
    <row r="256" spans="1:26" ht="15">
      <c r="A256" s="16">
        <f>ROWS($A$5:B256:C256)</f>
        <v>252</v>
      </c>
      <c r="B256" s="16" t="str">
        <f>ASSETs!AU253</f>
        <v>/0/543</v>
      </c>
      <c r="C256" s="26" t="s">
        <v>309</v>
      </c>
      <c r="D256">
        <f>IF(TIM!Q253=TIM!Q253,TIM!Q253,"")</f>
        <v>0</v>
      </c>
      <c r="I256" t="str">
        <f>IFERROR(VLOOKUP(TIM!E253,ASSETs!$AA$6:$AB$7,2,FALSE),"")</f>
        <v/>
      </c>
      <c r="J256" s="2">
        <f>(IF(TIM!B253=TIM!B253,TIM!B253,""))</f>
        <v>0</v>
      </c>
      <c r="L256">
        <f>IF(TIM!C253=TIM!C253,TIM!C253,"")</f>
        <v>0</v>
      </c>
      <c r="M256" t="str">
        <f>ASSETs!W253</f>
        <v/>
      </c>
      <c r="O256">
        <f>IF(TIM!G253=TIM!G253,TIM!G253,"")</f>
        <v>0</v>
      </c>
      <c r="Q256" t="str">
        <f>ASSETs!$AD$2</f>
        <v>Phang-nga</v>
      </c>
      <c r="R256">
        <f>ASSETs!$AE$2</f>
        <v>99</v>
      </c>
      <c r="S256" s="11">
        <v>146</v>
      </c>
      <c r="T256" s="3">
        <f>IF(TIM!F253=TIM!F253,TIM!F253,"")</f>
        <v>0</v>
      </c>
      <c r="U256" s="18">
        <f>ASSETs!X253</f>
        <v>0</v>
      </c>
      <c r="V256" t="str">
        <f>ASSETs!$AA$2</f>
        <v>Phuket</v>
      </c>
      <c r="W256" s="3">
        <f>ASSETs!$AB$2</f>
        <v>99</v>
      </c>
      <c r="X256" s="6" t="str">
        <f>ASSETs!AN253</f>
        <v>/0/543</v>
      </c>
      <c r="Y256" t="str">
        <f>ASSETs!$AF$2</f>
        <v>12.00</v>
      </c>
      <c r="Z256" s="18">
        <v>1</v>
      </c>
    </row>
    <row r="257" spans="1:26" ht="15">
      <c r="A257" s="16">
        <f>ROWS($A$5:B257:C257)</f>
        <v>253</v>
      </c>
      <c r="B257" s="16" t="str">
        <f>ASSETs!AU254</f>
        <v>/0/543</v>
      </c>
      <c r="C257" s="26" t="s">
        <v>309</v>
      </c>
      <c r="D257">
        <f>IF(TIM!Q254=TIM!Q254,TIM!Q254,"")</f>
        <v>0</v>
      </c>
      <c r="I257" t="str">
        <f>IFERROR(VLOOKUP(TIM!E254,ASSETs!$AA$6:$AB$7,2,FALSE),"")</f>
        <v/>
      </c>
      <c r="J257" s="2">
        <f>(IF(TIM!B254=TIM!B254,TIM!B254,""))</f>
        <v>0</v>
      </c>
      <c r="L257">
        <f>IF(TIM!C254=TIM!C254,TIM!C254,"")</f>
        <v>0</v>
      </c>
      <c r="M257" t="str">
        <f>ASSETs!W254</f>
        <v/>
      </c>
      <c r="O257">
        <f>IF(TIM!G254=TIM!G254,TIM!G254,"")</f>
        <v>0</v>
      </c>
      <c r="Q257" t="str">
        <f>ASSETs!$AD$2</f>
        <v>Phang-nga</v>
      </c>
      <c r="R257">
        <f>ASSETs!$AE$2</f>
        <v>99</v>
      </c>
      <c r="S257" s="11">
        <v>146</v>
      </c>
      <c r="T257" s="3">
        <f>IF(TIM!F254=TIM!F254,TIM!F254,"")</f>
        <v>0</v>
      </c>
      <c r="U257" s="18">
        <f>ASSETs!X254</f>
        <v>0</v>
      </c>
      <c r="V257" t="str">
        <f>ASSETs!$AA$2</f>
        <v>Phuket</v>
      </c>
      <c r="W257" s="3">
        <f>ASSETs!$AB$2</f>
        <v>99</v>
      </c>
      <c r="X257" s="6" t="str">
        <f>ASSETs!AN254</f>
        <v>/0/543</v>
      </c>
      <c r="Y257" t="str">
        <f>ASSETs!$AF$2</f>
        <v>12.00</v>
      </c>
      <c r="Z257" s="18">
        <v>1</v>
      </c>
    </row>
    <row r="258" spans="1:26" ht="15">
      <c r="A258" s="16">
        <f>ROWS($A$5:B258:C258)</f>
        <v>254</v>
      </c>
      <c r="B258" s="16" t="str">
        <f>ASSETs!AU255</f>
        <v>/0/543</v>
      </c>
      <c r="C258" s="26" t="s">
        <v>309</v>
      </c>
      <c r="D258">
        <f>IF(TIM!Q255=TIM!Q255,TIM!Q255,"")</f>
        <v>0</v>
      </c>
      <c r="I258" t="str">
        <f>IFERROR(VLOOKUP(TIM!E255,ASSETs!$AA$6:$AB$7,2,FALSE),"")</f>
        <v/>
      </c>
      <c r="J258" s="2">
        <f>(IF(TIM!B255=TIM!B255,TIM!B255,""))</f>
        <v>0</v>
      </c>
      <c r="L258">
        <f>IF(TIM!C255=TIM!C255,TIM!C255,"")</f>
        <v>0</v>
      </c>
      <c r="M258" t="str">
        <f>ASSETs!W255</f>
        <v/>
      </c>
      <c r="O258">
        <f>IF(TIM!G255=TIM!G255,TIM!G255,"")</f>
        <v>0</v>
      </c>
      <c r="Q258" t="str">
        <f>ASSETs!$AD$2</f>
        <v>Phang-nga</v>
      </c>
      <c r="R258">
        <f>ASSETs!$AE$2</f>
        <v>99</v>
      </c>
      <c r="S258" s="11">
        <v>146</v>
      </c>
      <c r="T258" s="3">
        <f>IF(TIM!F255=TIM!F255,TIM!F255,"")</f>
        <v>0</v>
      </c>
      <c r="U258" s="18">
        <f>ASSETs!X255</f>
        <v>0</v>
      </c>
      <c r="V258" t="str">
        <f>ASSETs!$AA$2</f>
        <v>Phuket</v>
      </c>
      <c r="W258" s="3">
        <f>ASSETs!$AB$2</f>
        <v>99</v>
      </c>
      <c r="X258" s="6" t="str">
        <f>ASSETs!AN255</f>
        <v>/0/543</v>
      </c>
      <c r="Y258" t="str">
        <f>ASSETs!$AF$2</f>
        <v>12.00</v>
      </c>
      <c r="Z258" s="18">
        <v>1</v>
      </c>
    </row>
    <row r="259" spans="1:26" ht="15">
      <c r="A259" s="16">
        <f>ROWS($A$5:B259:C259)</f>
        <v>255</v>
      </c>
      <c r="B259" s="16" t="str">
        <f>ASSETs!AU256</f>
        <v>/0/543</v>
      </c>
      <c r="C259" s="26" t="s">
        <v>309</v>
      </c>
      <c r="D259">
        <f>IF(TIM!Q256=TIM!Q256,TIM!Q256,"")</f>
        <v>0</v>
      </c>
      <c r="I259" t="str">
        <f>IFERROR(VLOOKUP(TIM!E256,ASSETs!$AA$6:$AB$7,2,FALSE),"")</f>
        <v/>
      </c>
      <c r="J259" s="2">
        <f>(IF(TIM!B256=TIM!B256,TIM!B256,""))</f>
        <v>0</v>
      </c>
      <c r="L259">
        <f>IF(TIM!C256=TIM!C256,TIM!C256,"")</f>
        <v>0</v>
      </c>
      <c r="M259" t="str">
        <f>ASSETs!W256</f>
        <v/>
      </c>
      <c r="O259">
        <f>IF(TIM!G256=TIM!G256,TIM!G256,"")</f>
        <v>0</v>
      </c>
      <c r="Q259" t="str">
        <f>ASSETs!$AD$2</f>
        <v>Phang-nga</v>
      </c>
      <c r="R259">
        <f>ASSETs!$AE$2</f>
        <v>99</v>
      </c>
      <c r="S259" s="11">
        <v>146</v>
      </c>
      <c r="T259" s="3">
        <f>IF(TIM!F256=TIM!F256,TIM!F256,"")</f>
        <v>0</v>
      </c>
      <c r="U259" s="18">
        <f>ASSETs!X256</f>
        <v>0</v>
      </c>
      <c r="V259" t="str">
        <f>ASSETs!$AA$2</f>
        <v>Phuket</v>
      </c>
      <c r="W259" s="3">
        <f>ASSETs!$AB$2</f>
        <v>99</v>
      </c>
      <c r="X259" s="6" t="str">
        <f>ASSETs!AN256</f>
        <v>/0/543</v>
      </c>
      <c r="Y259" t="str">
        <f>ASSETs!$AF$2</f>
        <v>12.00</v>
      </c>
      <c r="Z259" s="18">
        <v>1</v>
      </c>
    </row>
    <row r="260" spans="1:26" ht="15">
      <c r="A260" s="16">
        <f>ROWS($A$5:B260:C260)</f>
        <v>256</v>
      </c>
      <c r="B260" s="16" t="str">
        <f>ASSETs!AU257</f>
        <v>/0/543</v>
      </c>
      <c r="C260" s="26" t="s">
        <v>309</v>
      </c>
      <c r="D260">
        <f>IF(TIM!Q257=TIM!Q257,TIM!Q257,"")</f>
        <v>0</v>
      </c>
      <c r="I260" t="str">
        <f>IFERROR(VLOOKUP(TIM!E257,ASSETs!$AA$6:$AB$7,2,FALSE),"")</f>
        <v/>
      </c>
      <c r="J260" s="2">
        <f>(IF(TIM!B257=TIM!B257,TIM!B257,""))</f>
        <v>0</v>
      </c>
      <c r="L260">
        <f>IF(TIM!C257=TIM!C257,TIM!C257,"")</f>
        <v>0</v>
      </c>
      <c r="M260" t="str">
        <f>ASSETs!W257</f>
        <v/>
      </c>
      <c r="O260">
        <f>IF(TIM!G257=TIM!G257,TIM!G257,"")</f>
        <v>0</v>
      </c>
      <c r="Q260" t="str">
        <f>ASSETs!$AD$2</f>
        <v>Phang-nga</v>
      </c>
      <c r="R260">
        <f>ASSETs!$AE$2</f>
        <v>99</v>
      </c>
      <c r="S260" s="11">
        <v>146</v>
      </c>
      <c r="T260" s="3">
        <f>IF(TIM!F257=TIM!F257,TIM!F257,"")</f>
        <v>0</v>
      </c>
      <c r="U260" s="18">
        <f>ASSETs!X257</f>
        <v>0</v>
      </c>
      <c r="V260" t="str">
        <f>ASSETs!$AA$2</f>
        <v>Phuket</v>
      </c>
      <c r="W260" s="3">
        <f>ASSETs!$AB$2</f>
        <v>99</v>
      </c>
      <c r="X260" s="6" t="str">
        <f>ASSETs!AN257</f>
        <v>/0/543</v>
      </c>
      <c r="Y260" t="str">
        <f>ASSETs!$AF$2</f>
        <v>12.00</v>
      </c>
      <c r="Z260" s="18">
        <v>1</v>
      </c>
    </row>
    <row r="261" spans="1:26" ht="15">
      <c r="A261" s="16">
        <f>ROWS($A$5:B261:C261)</f>
        <v>257</v>
      </c>
      <c r="B261" s="16" t="str">
        <f>ASSETs!AU258</f>
        <v>/0/543</v>
      </c>
      <c r="C261" s="26" t="s">
        <v>309</v>
      </c>
      <c r="D261">
        <f>IF(TIM!Q258=TIM!Q258,TIM!Q258,"")</f>
        <v>0</v>
      </c>
      <c r="I261" t="str">
        <f>IFERROR(VLOOKUP(TIM!E258,ASSETs!$AA$6:$AB$7,2,FALSE),"")</f>
        <v/>
      </c>
      <c r="J261" s="2">
        <f>(IF(TIM!B258=TIM!B258,TIM!B258,""))</f>
        <v>0</v>
      </c>
      <c r="L261">
        <f>IF(TIM!C258=TIM!C258,TIM!C258,"")</f>
        <v>0</v>
      </c>
      <c r="M261" t="str">
        <f>ASSETs!W258</f>
        <v/>
      </c>
      <c r="O261">
        <f>IF(TIM!G258=TIM!G258,TIM!G258,"")</f>
        <v>0</v>
      </c>
      <c r="Q261" t="str">
        <f>ASSETs!$AD$2</f>
        <v>Phang-nga</v>
      </c>
      <c r="R261">
        <f>ASSETs!$AE$2</f>
        <v>99</v>
      </c>
      <c r="S261" s="11">
        <v>146</v>
      </c>
      <c r="T261" s="3">
        <f>IF(TIM!F258=TIM!F258,TIM!F258,"")</f>
        <v>0</v>
      </c>
      <c r="U261" s="18">
        <f>ASSETs!X258</f>
        <v>0</v>
      </c>
      <c r="V261" t="str">
        <f>ASSETs!$AA$2</f>
        <v>Phuket</v>
      </c>
      <c r="W261" s="3">
        <f>ASSETs!$AB$2</f>
        <v>99</v>
      </c>
      <c r="X261" s="6" t="str">
        <f>ASSETs!AN258</f>
        <v>/0/543</v>
      </c>
      <c r="Y261" t="str">
        <f>ASSETs!$AF$2</f>
        <v>12.00</v>
      </c>
      <c r="Z261" s="18">
        <v>1</v>
      </c>
    </row>
    <row r="262" spans="1:26" ht="15">
      <c r="A262" s="16">
        <f>ROWS($A$5:B262:C262)</f>
        <v>258</v>
      </c>
      <c r="B262" s="16" t="str">
        <f>ASSETs!AU259</f>
        <v>/0/543</v>
      </c>
      <c r="C262" s="26" t="s">
        <v>309</v>
      </c>
      <c r="D262">
        <f>IF(TIM!Q259=TIM!Q259,TIM!Q259,"")</f>
        <v>0</v>
      </c>
      <c r="I262" t="str">
        <f>IFERROR(VLOOKUP(TIM!E259,ASSETs!$AA$6:$AB$7,2,FALSE),"")</f>
        <v/>
      </c>
      <c r="J262" s="2">
        <f>(IF(TIM!B259=TIM!B259,TIM!B259,""))</f>
        <v>0</v>
      </c>
      <c r="L262">
        <f>IF(TIM!C259=TIM!C259,TIM!C259,"")</f>
        <v>0</v>
      </c>
      <c r="M262" t="str">
        <f>ASSETs!W259</f>
        <v/>
      </c>
      <c r="O262">
        <f>IF(TIM!G259=TIM!G259,TIM!G259,"")</f>
        <v>0</v>
      </c>
      <c r="Q262" t="str">
        <f>ASSETs!$AD$2</f>
        <v>Phang-nga</v>
      </c>
      <c r="R262">
        <f>ASSETs!$AE$2</f>
        <v>99</v>
      </c>
      <c r="S262" s="11">
        <v>146</v>
      </c>
      <c r="T262" s="3">
        <f>IF(TIM!F259=TIM!F259,TIM!F259,"")</f>
        <v>0</v>
      </c>
      <c r="U262" s="18">
        <f>ASSETs!X259</f>
        <v>0</v>
      </c>
      <c r="V262" t="str">
        <f>ASSETs!$AA$2</f>
        <v>Phuket</v>
      </c>
      <c r="W262" s="3">
        <f>ASSETs!$AB$2</f>
        <v>99</v>
      </c>
      <c r="X262" s="6" t="str">
        <f>ASSETs!AN259</f>
        <v>/0/543</v>
      </c>
      <c r="Y262" t="str">
        <f>ASSETs!$AF$2</f>
        <v>12.00</v>
      </c>
      <c r="Z262" s="18">
        <v>1</v>
      </c>
    </row>
    <row r="263" spans="1:26" ht="15">
      <c r="A263" s="16">
        <f>ROWS($A$5:B263:C263)</f>
        <v>259</v>
      </c>
      <c r="B263" s="16" t="str">
        <f>ASSETs!AU260</f>
        <v>/0/543</v>
      </c>
      <c r="C263" s="26" t="s">
        <v>309</v>
      </c>
      <c r="D263">
        <f>IF(TIM!Q260=TIM!Q260,TIM!Q260,"")</f>
        <v>0</v>
      </c>
      <c r="I263" t="str">
        <f>IFERROR(VLOOKUP(TIM!E260,ASSETs!$AA$6:$AB$7,2,FALSE),"")</f>
        <v/>
      </c>
      <c r="J263" s="2">
        <f>(IF(TIM!B260=TIM!B260,TIM!B260,""))</f>
        <v>0</v>
      </c>
      <c r="L263">
        <f>IF(TIM!C260=TIM!C260,TIM!C260,"")</f>
        <v>0</v>
      </c>
      <c r="M263" t="str">
        <f>ASSETs!W260</f>
        <v/>
      </c>
      <c r="O263">
        <f>IF(TIM!G260=TIM!G260,TIM!G260,"")</f>
        <v>0</v>
      </c>
      <c r="Q263" t="str">
        <f>ASSETs!$AD$2</f>
        <v>Phang-nga</v>
      </c>
      <c r="R263">
        <f>ASSETs!$AE$2</f>
        <v>99</v>
      </c>
      <c r="S263" s="11">
        <v>146</v>
      </c>
      <c r="T263" s="3">
        <f>IF(TIM!F260=TIM!F260,TIM!F260,"")</f>
        <v>0</v>
      </c>
      <c r="U263" s="18">
        <f>ASSETs!X260</f>
        <v>0</v>
      </c>
      <c r="V263" t="str">
        <f>ASSETs!$AA$2</f>
        <v>Phuket</v>
      </c>
      <c r="W263" s="3">
        <f>ASSETs!$AB$2</f>
        <v>99</v>
      </c>
      <c r="X263" s="6" t="str">
        <f>ASSETs!AN260</f>
        <v>/0/543</v>
      </c>
      <c r="Y263" t="str">
        <f>ASSETs!$AF$2</f>
        <v>12.00</v>
      </c>
      <c r="Z263" s="18">
        <v>1</v>
      </c>
    </row>
    <row r="264" spans="1:26" ht="15">
      <c r="A264" s="16">
        <f>ROWS($A$5:B264:C264)</f>
        <v>260</v>
      </c>
      <c r="B264" s="16" t="str">
        <f>ASSETs!AU261</f>
        <v>/0/543</v>
      </c>
      <c r="C264" s="26" t="s">
        <v>309</v>
      </c>
      <c r="D264">
        <f>IF(TIM!Q261=TIM!Q261,TIM!Q261,"")</f>
        <v>0</v>
      </c>
      <c r="I264" t="str">
        <f>IFERROR(VLOOKUP(TIM!E261,ASSETs!$AA$6:$AB$7,2,FALSE),"")</f>
        <v/>
      </c>
      <c r="J264" s="2">
        <f>(IF(TIM!B261=TIM!B261,TIM!B261,""))</f>
        <v>0</v>
      </c>
      <c r="L264">
        <f>IF(TIM!C261=TIM!C261,TIM!C261,"")</f>
        <v>0</v>
      </c>
      <c r="M264" t="str">
        <f>ASSETs!W261</f>
        <v/>
      </c>
      <c r="O264">
        <f>IF(TIM!G261=TIM!G261,TIM!G261,"")</f>
        <v>0</v>
      </c>
      <c r="Q264" t="str">
        <f>ASSETs!$AD$2</f>
        <v>Phang-nga</v>
      </c>
      <c r="R264">
        <f>ASSETs!$AE$2</f>
        <v>99</v>
      </c>
      <c r="S264" s="11">
        <v>146</v>
      </c>
      <c r="T264" s="3">
        <f>IF(TIM!F261=TIM!F261,TIM!F261,"")</f>
        <v>0</v>
      </c>
      <c r="U264" s="18">
        <f>ASSETs!X261</f>
        <v>0</v>
      </c>
      <c r="V264" t="str">
        <f>ASSETs!$AA$2</f>
        <v>Phuket</v>
      </c>
      <c r="W264" s="3">
        <f>ASSETs!$AB$2</f>
        <v>99</v>
      </c>
      <c r="X264" s="6" t="str">
        <f>ASSETs!AN261</f>
        <v>/0/543</v>
      </c>
      <c r="Y264" t="str">
        <f>ASSETs!$AF$2</f>
        <v>12.00</v>
      </c>
      <c r="Z264" s="18">
        <v>1</v>
      </c>
    </row>
    <row r="265" spans="1:26" ht="15">
      <c r="A265" s="16">
        <f>ROWS($A$5:B265:C265)</f>
        <v>261</v>
      </c>
      <c r="B265" s="16" t="str">
        <f>ASSETs!AU262</f>
        <v>/0/543</v>
      </c>
      <c r="C265" s="26" t="s">
        <v>309</v>
      </c>
      <c r="D265">
        <f>IF(TIM!Q262=TIM!Q262,TIM!Q262,"")</f>
        <v>0</v>
      </c>
      <c r="I265" t="str">
        <f>IFERROR(VLOOKUP(TIM!E262,ASSETs!$AA$6:$AB$7,2,FALSE),"")</f>
        <v/>
      </c>
      <c r="J265" s="2">
        <f>(IF(TIM!B262=TIM!B262,TIM!B262,""))</f>
        <v>0</v>
      </c>
      <c r="L265">
        <f>IF(TIM!C262=TIM!C262,TIM!C262,"")</f>
        <v>0</v>
      </c>
      <c r="M265" t="str">
        <f>ASSETs!W262</f>
        <v/>
      </c>
      <c r="O265">
        <f>IF(TIM!G262=TIM!G262,TIM!G262,"")</f>
        <v>0</v>
      </c>
      <c r="Q265" t="str">
        <f>ASSETs!$AD$2</f>
        <v>Phang-nga</v>
      </c>
      <c r="R265">
        <f>ASSETs!$AE$2</f>
        <v>99</v>
      </c>
      <c r="S265" s="11">
        <v>146</v>
      </c>
      <c r="T265" s="3">
        <f>IF(TIM!F262=TIM!F262,TIM!F262,"")</f>
        <v>0</v>
      </c>
      <c r="U265" s="18">
        <f>ASSETs!X262</f>
        <v>0</v>
      </c>
      <c r="V265" t="str">
        <f>ASSETs!$AA$2</f>
        <v>Phuket</v>
      </c>
      <c r="W265" s="3">
        <f>ASSETs!$AB$2</f>
        <v>99</v>
      </c>
      <c r="X265" s="6" t="str">
        <f>ASSETs!AN262</f>
        <v>/0/543</v>
      </c>
      <c r="Y265" t="str">
        <f>ASSETs!$AF$2</f>
        <v>12.00</v>
      </c>
      <c r="Z265" s="18">
        <v>1</v>
      </c>
    </row>
    <row r="266" spans="1:26" ht="15">
      <c r="A266" s="16">
        <f>ROWS($A$5:B266:C266)</f>
        <v>262</v>
      </c>
      <c r="B266" s="16" t="str">
        <f>ASSETs!AU263</f>
        <v>/0/543</v>
      </c>
      <c r="C266" s="26" t="s">
        <v>309</v>
      </c>
      <c r="D266">
        <f>IF(TIM!Q263=TIM!Q263,TIM!Q263,"")</f>
        <v>0</v>
      </c>
      <c r="I266" t="str">
        <f>IFERROR(VLOOKUP(TIM!E263,ASSETs!$AA$6:$AB$7,2,FALSE),"")</f>
        <v/>
      </c>
      <c r="J266" s="2">
        <f>(IF(TIM!B263=TIM!B263,TIM!B263,""))</f>
        <v>0</v>
      </c>
      <c r="L266">
        <f>IF(TIM!C263=TIM!C263,TIM!C263,"")</f>
        <v>0</v>
      </c>
      <c r="M266" t="str">
        <f>ASSETs!W263</f>
        <v/>
      </c>
      <c r="O266">
        <f>IF(TIM!G263=TIM!G263,TIM!G263,"")</f>
        <v>0</v>
      </c>
      <c r="Q266" t="str">
        <f>ASSETs!$AD$2</f>
        <v>Phang-nga</v>
      </c>
      <c r="R266">
        <f>ASSETs!$AE$2</f>
        <v>99</v>
      </c>
      <c r="S266" s="11">
        <v>146</v>
      </c>
      <c r="T266" s="3">
        <f>IF(TIM!F263=TIM!F263,TIM!F263,"")</f>
        <v>0</v>
      </c>
      <c r="U266" s="18">
        <f>ASSETs!X263</f>
        <v>0</v>
      </c>
      <c r="V266" t="str">
        <f>ASSETs!$AA$2</f>
        <v>Phuket</v>
      </c>
      <c r="W266" s="3">
        <f>ASSETs!$AB$2</f>
        <v>99</v>
      </c>
      <c r="X266" s="6" t="str">
        <f>ASSETs!AN263</f>
        <v>/0/543</v>
      </c>
      <c r="Y266" t="str">
        <f>ASSETs!$AF$2</f>
        <v>12.00</v>
      </c>
      <c r="Z266" s="18">
        <v>1</v>
      </c>
    </row>
    <row r="267" spans="1:26" ht="15">
      <c r="A267" s="16">
        <f>ROWS($A$5:B267:C267)</f>
        <v>263</v>
      </c>
      <c r="B267" s="16" t="str">
        <f>ASSETs!AU264</f>
        <v>/0/543</v>
      </c>
      <c r="C267" s="26" t="s">
        <v>309</v>
      </c>
      <c r="D267">
        <f>IF(TIM!Q264=TIM!Q264,TIM!Q264,"")</f>
        <v>0</v>
      </c>
      <c r="I267" t="str">
        <f>IFERROR(VLOOKUP(TIM!E264,ASSETs!$AA$6:$AB$7,2,FALSE),"")</f>
        <v/>
      </c>
      <c r="J267" s="2">
        <f>(IF(TIM!B264=TIM!B264,TIM!B264,""))</f>
        <v>0</v>
      </c>
      <c r="L267">
        <f>IF(TIM!C264=TIM!C264,TIM!C264,"")</f>
        <v>0</v>
      </c>
      <c r="M267" t="str">
        <f>ASSETs!W264</f>
        <v/>
      </c>
      <c r="O267">
        <f>IF(TIM!G264=TIM!G264,TIM!G264,"")</f>
        <v>0</v>
      </c>
      <c r="Q267" t="str">
        <f>ASSETs!$AD$2</f>
        <v>Phang-nga</v>
      </c>
      <c r="R267">
        <f>ASSETs!$AE$2</f>
        <v>99</v>
      </c>
      <c r="S267" s="11">
        <v>146</v>
      </c>
      <c r="T267" s="3">
        <f>IF(TIM!F264=TIM!F264,TIM!F264,"")</f>
        <v>0</v>
      </c>
      <c r="U267" s="18">
        <f>ASSETs!X264</f>
        <v>0</v>
      </c>
      <c r="V267" t="str">
        <f>ASSETs!$AA$2</f>
        <v>Phuket</v>
      </c>
      <c r="W267" s="3">
        <f>ASSETs!$AB$2</f>
        <v>99</v>
      </c>
      <c r="X267" s="6" t="str">
        <f>ASSETs!AN264</f>
        <v>/0/543</v>
      </c>
      <c r="Y267" t="str">
        <f>ASSETs!$AF$2</f>
        <v>12.00</v>
      </c>
      <c r="Z267" s="18">
        <v>1</v>
      </c>
    </row>
    <row r="268" spans="1:26" ht="15">
      <c r="A268" s="16">
        <f>ROWS($A$5:B268:C268)</f>
        <v>264</v>
      </c>
      <c r="B268" s="16" t="str">
        <f>ASSETs!AU265</f>
        <v>/0/543</v>
      </c>
      <c r="C268" s="26" t="s">
        <v>309</v>
      </c>
      <c r="D268">
        <f>IF(TIM!Q265=TIM!Q265,TIM!Q265,"")</f>
        <v>0</v>
      </c>
      <c r="I268" t="str">
        <f>IFERROR(VLOOKUP(TIM!E265,ASSETs!$AA$6:$AB$7,2,FALSE),"")</f>
        <v/>
      </c>
      <c r="J268" s="2">
        <f>(IF(TIM!B265=TIM!B265,TIM!B265,""))</f>
        <v>0</v>
      </c>
      <c r="L268">
        <f>IF(TIM!C265=TIM!C265,TIM!C265,"")</f>
        <v>0</v>
      </c>
      <c r="M268" t="str">
        <f>ASSETs!W265</f>
        <v/>
      </c>
      <c r="O268">
        <f>IF(TIM!G265=TIM!G265,TIM!G265,"")</f>
        <v>0</v>
      </c>
      <c r="Q268" t="str">
        <f>ASSETs!$AD$2</f>
        <v>Phang-nga</v>
      </c>
      <c r="R268">
        <f>ASSETs!$AE$2</f>
        <v>99</v>
      </c>
      <c r="S268" s="11">
        <v>146</v>
      </c>
      <c r="T268" s="3">
        <f>IF(TIM!F265=TIM!F265,TIM!F265,"")</f>
        <v>0</v>
      </c>
      <c r="U268" s="18">
        <f>ASSETs!X265</f>
        <v>0</v>
      </c>
      <c r="V268" t="str">
        <f>ASSETs!$AA$2</f>
        <v>Phuket</v>
      </c>
      <c r="W268" s="3">
        <f>ASSETs!$AB$2</f>
        <v>99</v>
      </c>
      <c r="X268" s="6" t="str">
        <f>ASSETs!AN265</f>
        <v>/0/543</v>
      </c>
      <c r="Y268" t="str">
        <f>ASSETs!$AF$2</f>
        <v>12.00</v>
      </c>
      <c r="Z268" s="18">
        <v>1</v>
      </c>
    </row>
    <row r="269" spans="1:26" ht="15">
      <c r="A269" s="16">
        <f>ROWS($A$5:B269:C269)</f>
        <v>265</v>
      </c>
      <c r="B269" s="16" t="str">
        <f>ASSETs!AU266</f>
        <v>/0/543</v>
      </c>
      <c r="C269" s="26" t="s">
        <v>309</v>
      </c>
      <c r="D269">
        <f>IF(TIM!Q266=TIM!Q266,TIM!Q266,"")</f>
        <v>0</v>
      </c>
      <c r="I269" t="str">
        <f>IFERROR(VLOOKUP(TIM!E266,ASSETs!$AA$6:$AB$7,2,FALSE),"")</f>
        <v/>
      </c>
      <c r="J269" s="2">
        <f>(IF(TIM!B266=TIM!B266,TIM!B266,""))</f>
        <v>0</v>
      </c>
      <c r="L269">
        <f>IF(TIM!C266=TIM!C266,TIM!C266,"")</f>
        <v>0</v>
      </c>
      <c r="M269" t="str">
        <f>ASSETs!W266</f>
        <v/>
      </c>
      <c r="O269">
        <f>IF(TIM!G266=TIM!G266,TIM!G266,"")</f>
        <v>0</v>
      </c>
      <c r="Q269" t="str">
        <f>ASSETs!$AD$2</f>
        <v>Phang-nga</v>
      </c>
      <c r="R269">
        <f>ASSETs!$AE$2</f>
        <v>99</v>
      </c>
      <c r="S269" s="11">
        <v>146</v>
      </c>
      <c r="T269" s="3">
        <f>IF(TIM!F266=TIM!F266,TIM!F266,"")</f>
        <v>0</v>
      </c>
      <c r="U269" s="18">
        <f>ASSETs!X266</f>
        <v>0</v>
      </c>
      <c r="V269" t="str">
        <f>ASSETs!$AA$2</f>
        <v>Phuket</v>
      </c>
      <c r="W269" s="3">
        <f>ASSETs!$AB$2</f>
        <v>99</v>
      </c>
      <c r="X269" s="6" t="str">
        <f>ASSETs!AN266</f>
        <v>/0/543</v>
      </c>
      <c r="Y269" t="str">
        <f>ASSETs!$AF$2</f>
        <v>12.00</v>
      </c>
      <c r="Z269" s="18">
        <v>1</v>
      </c>
    </row>
    <row r="270" spans="1:26" ht="15">
      <c r="A270" s="16">
        <f>ROWS($A$5:B270:C270)</f>
        <v>266</v>
      </c>
      <c r="B270" s="16" t="str">
        <f>ASSETs!AU267</f>
        <v>/0/543</v>
      </c>
      <c r="C270" s="26" t="s">
        <v>309</v>
      </c>
      <c r="D270">
        <f>IF(TIM!Q267=TIM!Q267,TIM!Q267,"")</f>
        <v>0</v>
      </c>
      <c r="I270" t="str">
        <f>IFERROR(VLOOKUP(TIM!E267,ASSETs!$AA$6:$AB$7,2,FALSE),"")</f>
        <v/>
      </c>
      <c r="J270" s="2">
        <f>(IF(TIM!B267=TIM!B267,TIM!B267,""))</f>
        <v>0</v>
      </c>
      <c r="L270">
        <f>IF(TIM!C267=TIM!C267,TIM!C267,"")</f>
        <v>0</v>
      </c>
      <c r="M270" t="str">
        <f>ASSETs!W267</f>
        <v/>
      </c>
      <c r="O270">
        <f>IF(TIM!G267=TIM!G267,TIM!G267,"")</f>
        <v>0</v>
      </c>
      <c r="Q270" t="str">
        <f>ASSETs!$AD$2</f>
        <v>Phang-nga</v>
      </c>
      <c r="R270">
        <f>ASSETs!$AE$2</f>
        <v>99</v>
      </c>
      <c r="S270" s="11">
        <v>146</v>
      </c>
      <c r="T270" s="3">
        <f>IF(TIM!F267=TIM!F267,TIM!F267,"")</f>
        <v>0</v>
      </c>
      <c r="U270" s="18">
        <f>ASSETs!X267</f>
        <v>0</v>
      </c>
      <c r="V270" t="str">
        <f>ASSETs!$AA$2</f>
        <v>Phuket</v>
      </c>
      <c r="W270" s="3">
        <f>ASSETs!$AB$2</f>
        <v>99</v>
      </c>
      <c r="X270" s="6" t="str">
        <f>ASSETs!AN267</f>
        <v>/0/543</v>
      </c>
      <c r="Y270" t="str">
        <f>ASSETs!$AF$2</f>
        <v>12.00</v>
      </c>
      <c r="Z270" s="18">
        <v>1</v>
      </c>
    </row>
    <row r="271" spans="1:26" ht="15">
      <c r="A271" s="16">
        <f>ROWS($A$5:B271:C271)</f>
        <v>267</v>
      </c>
      <c r="B271" s="16" t="str">
        <f>ASSETs!AU268</f>
        <v>/0/543</v>
      </c>
      <c r="C271" s="26" t="s">
        <v>309</v>
      </c>
      <c r="D271">
        <f>IF(TIM!Q268=TIM!Q268,TIM!Q268,"")</f>
        <v>0</v>
      </c>
      <c r="I271" t="str">
        <f>IFERROR(VLOOKUP(TIM!E268,ASSETs!$AA$6:$AB$7,2,FALSE),"")</f>
        <v/>
      </c>
      <c r="J271" s="2">
        <f>(IF(TIM!B268=TIM!B268,TIM!B268,""))</f>
        <v>0</v>
      </c>
      <c r="L271">
        <f>IF(TIM!C268=TIM!C268,TIM!C268,"")</f>
        <v>0</v>
      </c>
      <c r="M271" t="str">
        <f>ASSETs!W268</f>
        <v/>
      </c>
      <c r="O271">
        <f>IF(TIM!G268=TIM!G268,TIM!G268,"")</f>
        <v>0</v>
      </c>
      <c r="Q271" t="str">
        <f>ASSETs!$AD$2</f>
        <v>Phang-nga</v>
      </c>
      <c r="R271">
        <f>ASSETs!$AE$2</f>
        <v>99</v>
      </c>
      <c r="S271" s="11">
        <v>146</v>
      </c>
      <c r="T271" s="3">
        <f>IF(TIM!F268=TIM!F268,TIM!F268,"")</f>
        <v>0</v>
      </c>
      <c r="U271" s="18">
        <f>ASSETs!X268</f>
        <v>0</v>
      </c>
      <c r="V271" t="str">
        <f>ASSETs!$AA$2</f>
        <v>Phuket</v>
      </c>
      <c r="W271" s="3">
        <f>ASSETs!$AB$2</f>
        <v>99</v>
      </c>
      <c r="X271" s="6" t="str">
        <f>ASSETs!AN268</f>
        <v>/0/543</v>
      </c>
      <c r="Y271" t="str">
        <f>ASSETs!$AF$2</f>
        <v>12.00</v>
      </c>
      <c r="Z271" s="18">
        <v>1</v>
      </c>
    </row>
    <row r="272" spans="1:26" ht="15">
      <c r="A272" s="16">
        <f>ROWS($A$5:B272:C272)</f>
        <v>268</v>
      </c>
      <c r="B272" s="16" t="str">
        <f>ASSETs!AU269</f>
        <v>/0/543</v>
      </c>
      <c r="C272" s="26" t="s">
        <v>309</v>
      </c>
      <c r="D272">
        <f>IF(TIM!Q269=TIM!Q269,TIM!Q269,"")</f>
        <v>0</v>
      </c>
      <c r="I272" t="str">
        <f>IFERROR(VLOOKUP(TIM!E269,ASSETs!$AA$6:$AB$7,2,FALSE),"")</f>
        <v/>
      </c>
      <c r="J272" s="2">
        <f>(IF(TIM!B269=TIM!B269,TIM!B269,""))</f>
        <v>0</v>
      </c>
      <c r="L272">
        <f>IF(TIM!C269=TIM!C269,TIM!C269,"")</f>
        <v>0</v>
      </c>
      <c r="M272" t="str">
        <f>ASSETs!W269</f>
        <v/>
      </c>
      <c r="O272">
        <f>IF(TIM!G269=TIM!G269,TIM!G269,"")</f>
        <v>0</v>
      </c>
      <c r="Q272" t="str">
        <f>ASSETs!$AD$2</f>
        <v>Phang-nga</v>
      </c>
      <c r="R272">
        <f>ASSETs!$AE$2</f>
        <v>99</v>
      </c>
      <c r="S272" s="11">
        <v>146</v>
      </c>
      <c r="T272" s="3">
        <f>IF(TIM!F269=TIM!F269,TIM!F269,"")</f>
        <v>0</v>
      </c>
      <c r="U272" s="18">
        <f>ASSETs!X269</f>
        <v>0</v>
      </c>
      <c r="V272" t="str">
        <f>ASSETs!$AA$2</f>
        <v>Phuket</v>
      </c>
      <c r="W272" s="3">
        <f>ASSETs!$AB$2</f>
        <v>99</v>
      </c>
      <c r="X272" s="6" t="str">
        <f>ASSETs!AN269</f>
        <v>/0/543</v>
      </c>
      <c r="Y272" t="str">
        <f>ASSETs!$AF$2</f>
        <v>12.00</v>
      </c>
      <c r="Z272" s="18">
        <v>1</v>
      </c>
    </row>
    <row r="273" spans="1:26" ht="15">
      <c r="A273" s="16">
        <f>ROWS($A$5:B273:C273)</f>
        <v>269</v>
      </c>
      <c r="B273" s="16" t="str">
        <f>ASSETs!AU270</f>
        <v>/0/543</v>
      </c>
      <c r="C273" s="26" t="s">
        <v>309</v>
      </c>
      <c r="D273">
        <f>IF(TIM!Q270=TIM!Q270,TIM!Q270,"")</f>
        <v>0</v>
      </c>
      <c r="I273" t="str">
        <f>IFERROR(VLOOKUP(TIM!E270,ASSETs!$AA$6:$AB$7,2,FALSE),"")</f>
        <v/>
      </c>
      <c r="J273" s="2">
        <f>(IF(TIM!B270=TIM!B270,TIM!B270,""))</f>
        <v>0</v>
      </c>
      <c r="L273">
        <f>IF(TIM!C270=TIM!C270,TIM!C270,"")</f>
        <v>0</v>
      </c>
      <c r="M273" t="str">
        <f>ASSETs!W270</f>
        <v/>
      </c>
      <c r="O273">
        <f>IF(TIM!G270=TIM!G270,TIM!G270,"")</f>
        <v>0</v>
      </c>
      <c r="Q273" t="str">
        <f>ASSETs!$AD$2</f>
        <v>Phang-nga</v>
      </c>
      <c r="R273">
        <f>ASSETs!$AE$2</f>
        <v>99</v>
      </c>
      <c r="S273" s="11">
        <v>146</v>
      </c>
      <c r="T273" s="3">
        <f>IF(TIM!F270=TIM!F270,TIM!F270,"")</f>
        <v>0</v>
      </c>
      <c r="U273" s="18">
        <f>ASSETs!X270</f>
        <v>0</v>
      </c>
      <c r="V273" t="str">
        <f>ASSETs!$AA$2</f>
        <v>Phuket</v>
      </c>
      <c r="W273" s="3">
        <f>ASSETs!$AB$2</f>
        <v>99</v>
      </c>
      <c r="X273" s="6" t="str">
        <f>ASSETs!AN270</f>
        <v>/0/543</v>
      </c>
      <c r="Y273" t="str">
        <f>ASSETs!$AF$2</f>
        <v>12.00</v>
      </c>
      <c r="Z273" s="18">
        <v>1</v>
      </c>
    </row>
    <row r="274" spans="1:26" ht="15">
      <c r="A274" s="16">
        <f>ROWS($A$5:B274:C274)</f>
        <v>270</v>
      </c>
      <c r="B274" s="16" t="str">
        <f>ASSETs!AU271</f>
        <v>/0/543</v>
      </c>
      <c r="C274" s="26" t="s">
        <v>309</v>
      </c>
      <c r="D274">
        <f>IF(TIM!Q271=TIM!Q271,TIM!Q271,"")</f>
        <v>0</v>
      </c>
      <c r="I274" t="str">
        <f>IFERROR(VLOOKUP(TIM!E271,ASSETs!$AA$6:$AB$7,2,FALSE),"")</f>
        <v/>
      </c>
      <c r="J274" s="2">
        <f>(IF(TIM!B271=TIM!B271,TIM!B271,""))</f>
        <v>0</v>
      </c>
      <c r="L274">
        <f>IF(TIM!C271=TIM!C271,TIM!C271,"")</f>
        <v>0</v>
      </c>
      <c r="M274" t="str">
        <f>ASSETs!W271</f>
        <v/>
      </c>
      <c r="O274">
        <f>IF(TIM!G271=TIM!G271,TIM!G271,"")</f>
        <v>0</v>
      </c>
      <c r="Q274" t="str">
        <f>ASSETs!$AD$2</f>
        <v>Phang-nga</v>
      </c>
      <c r="R274">
        <f>ASSETs!$AE$2</f>
        <v>99</v>
      </c>
      <c r="S274" s="11">
        <v>146</v>
      </c>
      <c r="T274" s="3">
        <f>IF(TIM!F271=TIM!F271,TIM!F271,"")</f>
        <v>0</v>
      </c>
      <c r="U274" s="18">
        <f>ASSETs!X271</f>
        <v>0</v>
      </c>
      <c r="V274" t="str">
        <f>ASSETs!$AA$2</f>
        <v>Phuket</v>
      </c>
      <c r="W274" s="3">
        <f>ASSETs!$AB$2</f>
        <v>99</v>
      </c>
      <c r="X274" s="6" t="str">
        <f>ASSETs!AN271</f>
        <v>/0/543</v>
      </c>
      <c r="Y274" t="str">
        <f>ASSETs!$AF$2</f>
        <v>12.00</v>
      </c>
      <c r="Z274" s="18">
        <v>1</v>
      </c>
    </row>
    <row r="275" spans="1:26" ht="15">
      <c r="A275" s="16">
        <f>ROWS($A$5:B275:C275)</f>
        <v>271</v>
      </c>
      <c r="B275" s="16" t="str">
        <f>ASSETs!AU272</f>
        <v>/0/543</v>
      </c>
      <c r="C275" s="26" t="s">
        <v>309</v>
      </c>
      <c r="D275">
        <f>IF(TIM!Q272=TIM!Q272,TIM!Q272,"")</f>
        <v>0</v>
      </c>
      <c r="I275" t="str">
        <f>IFERROR(VLOOKUP(TIM!E272,ASSETs!$AA$6:$AB$7,2,FALSE),"")</f>
        <v/>
      </c>
      <c r="J275" s="2">
        <f>(IF(TIM!B272=TIM!B272,TIM!B272,""))</f>
        <v>0</v>
      </c>
      <c r="L275">
        <f>IF(TIM!C272=TIM!C272,TIM!C272,"")</f>
        <v>0</v>
      </c>
      <c r="M275" t="str">
        <f>ASSETs!W272</f>
        <v/>
      </c>
      <c r="O275">
        <f>IF(TIM!G272=TIM!G272,TIM!G272,"")</f>
        <v>0</v>
      </c>
      <c r="Q275" t="str">
        <f>ASSETs!$AD$2</f>
        <v>Phang-nga</v>
      </c>
      <c r="R275">
        <f>ASSETs!$AE$2</f>
        <v>99</v>
      </c>
      <c r="S275" s="11">
        <v>146</v>
      </c>
      <c r="T275" s="3">
        <f>IF(TIM!F272=TIM!F272,TIM!F272,"")</f>
        <v>0</v>
      </c>
      <c r="U275" s="18">
        <f>ASSETs!X272</f>
        <v>0</v>
      </c>
      <c r="V275" t="str">
        <f>ASSETs!$AA$2</f>
        <v>Phuket</v>
      </c>
      <c r="W275" s="3">
        <f>ASSETs!$AB$2</f>
        <v>99</v>
      </c>
      <c r="X275" s="6" t="str">
        <f>ASSETs!AN272</f>
        <v>/0/543</v>
      </c>
      <c r="Y275" t="str">
        <f>ASSETs!$AF$2</f>
        <v>12.00</v>
      </c>
      <c r="Z275" s="18">
        <v>1</v>
      </c>
    </row>
    <row r="276" spans="1:26" ht="15">
      <c r="A276" s="16">
        <f>ROWS($A$5:B276:C276)</f>
        <v>272</v>
      </c>
      <c r="B276" s="16" t="str">
        <f>ASSETs!AU273</f>
        <v>/0/543</v>
      </c>
      <c r="C276" s="26" t="s">
        <v>309</v>
      </c>
      <c r="D276">
        <f>IF(TIM!Q273=TIM!Q273,TIM!Q273,"")</f>
        <v>0</v>
      </c>
      <c r="I276" t="str">
        <f>IFERROR(VLOOKUP(TIM!E273,ASSETs!$AA$6:$AB$7,2,FALSE),"")</f>
        <v/>
      </c>
      <c r="J276" s="2">
        <f>(IF(TIM!B273=TIM!B273,TIM!B273,""))</f>
        <v>0</v>
      </c>
      <c r="L276">
        <f>IF(TIM!C273=TIM!C273,TIM!C273,"")</f>
        <v>0</v>
      </c>
      <c r="M276" t="str">
        <f>ASSETs!W273</f>
        <v/>
      </c>
      <c r="O276">
        <f>IF(TIM!G273=TIM!G273,TIM!G273,"")</f>
        <v>0</v>
      </c>
      <c r="Q276" t="str">
        <f>ASSETs!$AD$2</f>
        <v>Phang-nga</v>
      </c>
      <c r="R276">
        <f>ASSETs!$AE$2</f>
        <v>99</v>
      </c>
      <c r="S276" s="11">
        <v>146</v>
      </c>
      <c r="T276" s="3">
        <f>IF(TIM!F273=TIM!F273,TIM!F273,"")</f>
        <v>0</v>
      </c>
      <c r="U276" s="18">
        <f>ASSETs!X273</f>
        <v>0</v>
      </c>
      <c r="V276" t="str">
        <f>ASSETs!$AA$2</f>
        <v>Phuket</v>
      </c>
      <c r="W276" s="3">
        <f>ASSETs!$AB$2</f>
        <v>99</v>
      </c>
      <c r="X276" s="6" t="str">
        <f>ASSETs!AN273</f>
        <v>/0/543</v>
      </c>
      <c r="Y276" t="str">
        <f>ASSETs!$AF$2</f>
        <v>12.00</v>
      </c>
      <c r="Z276" s="18">
        <v>1</v>
      </c>
    </row>
    <row r="277" spans="1:26" ht="15">
      <c r="A277" s="16">
        <f>ROWS($A$5:B277:C277)</f>
        <v>273</v>
      </c>
      <c r="B277" s="16" t="str">
        <f>ASSETs!AU274</f>
        <v>/0/543</v>
      </c>
      <c r="C277" s="26" t="s">
        <v>309</v>
      </c>
      <c r="D277">
        <f>IF(TIM!Q274=TIM!Q274,TIM!Q274,"")</f>
        <v>0</v>
      </c>
      <c r="I277" t="str">
        <f>IFERROR(VLOOKUP(TIM!E274,ASSETs!$AA$6:$AB$7,2,FALSE),"")</f>
        <v/>
      </c>
      <c r="J277" s="2">
        <f>(IF(TIM!B274=TIM!B274,TIM!B274,""))</f>
        <v>0</v>
      </c>
      <c r="L277">
        <f>IF(TIM!C274=TIM!C274,TIM!C274,"")</f>
        <v>0</v>
      </c>
      <c r="M277" t="str">
        <f>ASSETs!W274</f>
        <v/>
      </c>
      <c r="O277">
        <f>IF(TIM!G274=TIM!G274,TIM!G274,"")</f>
        <v>0</v>
      </c>
      <c r="Q277" t="str">
        <f>ASSETs!$AD$2</f>
        <v>Phang-nga</v>
      </c>
      <c r="R277">
        <f>ASSETs!$AE$2</f>
        <v>99</v>
      </c>
      <c r="S277" s="11">
        <v>146</v>
      </c>
      <c r="T277" s="3">
        <f>IF(TIM!F274=TIM!F274,TIM!F274,"")</f>
        <v>0</v>
      </c>
      <c r="U277" s="18">
        <f>ASSETs!X274</f>
        <v>0</v>
      </c>
      <c r="V277" t="str">
        <f>ASSETs!$AA$2</f>
        <v>Phuket</v>
      </c>
      <c r="W277" s="3">
        <f>ASSETs!$AB$2</f>
        <v>99</v>
      </c>
      <c r="X277" s="6" t="str">
        <f>ASSETs!AN274</f>
        <v>/0/543</v>
      </c>
      <c r="Y277" t="str">
        <f>ASSETs!$AF$2</f>
        <v>12.00</v>
      </c>
      <c r="Z277" s="18">
        <v>1</v>
      </c>
    </row>
    <row r="278" spans="1:26" ht="15">
      <c r="A278" s="16">
        <f>ROWS($A$5:B278:C278)</f>
        <v>274</v>
      </c>
      <c r="B278" s="16" t="str">
        <f>ASSETs!AU275</f>
        <v>/0/543</v>
      </c>
      <c r="C278" s="26" t="s">
        <v>309</v>
      </c>
      <c r="D278">
        <f>IF(TIM!Q275=TIM!Q275,TIM!Q275,"")</f>
        <v>0</v>
      </c>
      <c r="I278" t="str">
        <f>IFERROR(VLOOKUP(TIM!E275,ASSETs!$AA$6:$AB$7,2,FALSE),"")</f>
        <v/>
      </c>
      <c r="J278" s="2">
        <f>(IF(TIM!B275=TIM!B275,TIM!B275,""))</f>
        <v>0</v>
      </c>
      <c r="L278">
        <f>IF(TIM!C275=TIM!C275,TIM!C275,"")</f>
        <v>0</v>
      </c>
      <c r="M278" t="str">
        <f>ASSETs!W275</f>
        <v/>
      </c>
      <c r="O278">
        <f>IF(TIM!G275=TIM!G275,TIM!G275,"")</f>
        <v>0</v>
      </c>
      <c r="Q278" t="str">
        <f>ASSETs!$AD$2</f>
        <v>Phang-nga</v>
      </c>
      <c r="R278">
        <f>ASSETs!$AE$2</f>
        <v>99</v>
      </c>
      <c r="S278" s="11">
        <v>146</v>
      </c>
      <c r="T278" s="3">
        <f>IF(TIM!F275=TIM!F275,TIM!F275,"")</f>
        <v>0</v>
      </c>
      <c r="U278" s="18">
        <f>ASSETs!X275</f>
        <v>0</v>
      </c>
      <c r="V278" t="str">
        <f>ASSETs!$AA$2</f>
        <v>Phuket</v>
      </c>
      <c r="W278" s="3">
        <f>ASSETs!$AB$2</f>
        <v>99</v>
      </c>
      <c r="X278" s="6" t="str">
        <f>ASSETs!AN275</f>
        <v>/0/543</v>
      </c>
      <c r="Y278" t="str">
        <f>ASSETs!$AF$2</f>
        <v>12.00</v>
      </c>
      <c r="Z278" s="18">
        <v>1</v>
      </c>
    </row>
    <row r="279" spans="1:26" ht="15">
      <c r="A279" s="16">
        <f>ROWS($A$5:B279:C279)</f>
        <v>275</v>
      </c>
      <c r="B279" s="16" t="str">
        <f>ASSETs!AU276</f>
        <v>/0/543</v>
      </c>
      <c r="C279" s="26" t="s">
        <v>309</v>
      </c>
      <c r="D279">
        <f>IF(TIM!Q276=TIM!Q276,TIM!Q276,"")</f>
        <v>0</v>
      </c>
      <c r="I279" t="str">
        <f>IFERROR(VLOOKUP(TIM!E276,ASSETs!$AA$6:$AB$7,2,FALSE),"")</f>
        <v/>
      </c>
      <c r="J279" s="2">
        <f>(IF(TIM!B276=TIM!B276,TIM!B276,""))</f>
        <v>0</v>
      </c>
      <c r="L279">
        <f>IF(TIM!C276=TIM!C276,TIM!C276,"")</f>
        <v>0</v>
      </c>
      <c r="M279" t="str">
        <f>ASSETs!W276</f>
        <v/>
      </c>
      <c r="O279">
        <f>IF(TIM!G276=TIM!G276,TIM!G276,"")</f>
        <v>0</v>
      </c>
      <c r="Q279" t="str">
        <f>ASSETs!$AD$2</f>
        <v>Phang-nga</v>
      </c>
      <c r="R279">
        <f>ASSETs!$AE$2</f>
        <v>99</v>
      </c>
      <c r="S279" s="11">
        <v>146</v>
      </c>
      <c r="T279" s="3">
        <f>IF(TIM!F276=TIM!F276,TIM!F276,"")</f>
        <v>0</v>
      </c>
      <c r="U279" s="18">
        <f>ASSETs!X276</f>
        <v>0</v>
      </c>
      <c r="V279" t="str">
        <f>ASSETs!$AA$2</f>
        <v>Phuket</v>
      </c>
      <c r="W279" s="3">
        <f>ASSETs!$AB$2</f>
        <v>99</v>
      </c>
      <c r="X279" s="6" t="str">
        <f>ASSETs!AN276</f>
        <v>/0/543</v>
      </c>
      <c r="Y279" t="str">
        <f>ASSETs!$AF$2</f>
        <v>12.00</v>
      </c>
      <c r="Z279" s="18">
        <v>1</v>
      </c>
    </row>
    <row r="280" spans="1:26" ht="15">
      <c r="A280" s="16">
        <f>ROWS($A$5:B280:C280)</f>
        <v>276</v>
      </c>
      <c r="B280" s="16" t="str">
        <f>ASSETs!AU277</f>
        <v>/0/543</v>
      </c>
      <c r="C280" s="26" t="s">
        <v>309</v>
      </c>
      <c r="D280">
        <f>IF(TIM!Q277=TIM!Q277,TIM!Q277,"")</f>
        <v>0</v>
      </c>
      <c r="I280" t="str">
        <f>IFERROR(VLOOKUP(TIM!E277,ASSETs!$AA$6:$AB$7,2,FALSE),"")</f>
        <v/>
      </c>
      <c r="J280" s="2">
        <f>(IF(TIM!B277=TIM!B277,TIM!B277,""))</f>
        <v>0</v>
      </c>
      <c r="L280">
        <f>IF(TIM!C277=TIM!C277,TIM!C277,"")</f>
        <v>0</v>
      </c>
      <c r="M280" t="str">
        <f>ASSETs!W277</f>
        <v/>
      </c>
      <c r="O280">
        <f>IF(TIM!G277=TIM!G277,TIM!G277,"")</f>
        <v>0</v>
      </c>
      <c r="Q280" t="str">
        <f>ASSETs!$AD$2</f>
        <v>Phang-nga</v>
      </c>
      <c r="R280">
        <f>ASSETs!$AE$2</f>
        <v>99</v>
      </c>
      <c r="S280" s="11">
        <v>146</v>
      </c>
      <c r="T280" s="3">
        <f>IF(TIM!F277=TIM!F277,TIM!F277,"")</f>
        <v>0</v>
      </c>
      <c r="U280" s="18">
        <f>ASSETs!X277</f>
        <v>0</v>
      </c>
      <c r="V280" t="str">
        <f>ASSETs!$AA$2</f>
        <v>Phuket</v>
      </c>
      <c r="W280" s="3">
        <f>ASSETs!$AB$2</f>
        <v>99</v>
      </c>
      <c r="X280" s="6" t="str">
        <f>ASSETs!AN277</f>
        <v>/0/543</v>
      </c>
      <c r="Y280" t="str">
        <f>ASSETs!$AF$2</f>
        <v>12.00</v>
      </c>
      <c r="Z280" s="18">
        <v>1</v>
      </c>
    </row>
    <row r="281" spans="1:26" ht="15">
      <c r="A281" s="16">
        <f>ROWS($A$5:B281:C281)</f>
        <v>277</v>
      </c>
      <c r="B281" s="16" t="str">
        <f>ASSETs!AU278</f>
        <v>/0/543</v>
      </c>
      <c r="C281" s="26" t="s">
        <v>309</v>
      </c>
      <c r="D281">
        <f>IF(TIM!Q278=TIM!Q278,TIM!Q278,"")</f>
        <v>0</v>
      </c>
      <c r="I281" t="str">
        <f>IFERROR(VLOOKUP(TIM!E278,ASSETs!$AA$6:$AB$7,2,FALSE),"")</f>
        <v/>
      </c>
      <c r="J281" s="2">
        <f>(IF(TIM!B278=TIM!B278,TIM!B278,""))</f>
        <v>0</v>
      </c>
      <c r="L281">
        <f>IF(TIM!C278=TIM!C278,TIM!C278,"")</f>
        <v>0</v>
      </c>
      <c r="M281" t="str">
        <f>ASSETs!W278</f>
        <v/>
      </c>
      <c r="O281">
        <f>IF(TIM!G278=TIM!G278,TIM!G278,"")</f>
        <v>0</v>
      </c>
      <c r="Q281" t="str">
        <f>ASSETs!$AD$2</f>
        <v>Phang-nga</v>
      </c>
      <c r="R281">
        <f>ASSETs!$AE$2</f>
        <v>99</v>
      </c>
      <c r="S281" s="11">
        <v>146</v>
      </c>
      <c r="T281" s="3">
        <f>IF(TIM!F278=TIM!F278,TIM!F278,"")</f>
        <v>0</v>
      </c>
      <c r="U281" s="18">
        <f>ASSETs!X278</f>
        <v>0</v>
      </c>
      <c r="V281" t="str">
        <f>ASSETs!$AA$2</f>
        <v>Phuket</v>
      </c>
      <c r="W281" s="3">
        <f>ASSETs!$AB$2</f>
        <v>99</v>
      </c>
      <c r="X281" s="6" t="str">
        <f>ASSETs!AN278</f>
        <v>/0/543</v>
      </c>
      <c r="Y281" t="str">
        <f>ASSETs!$AF$2</f>
        <v>12.00</v>
      </c>
      <c r="Z281" s="18">
        <v>1</v>
      </c>
    </row>
    <row r="282" spans="1:26" ht="15">
      <c r="A282" s="16">
        <f>ROWS($A$5:B282:C282)</f>
        <v>278</v>
      </c>
      <c r="B282" s="16" t="str">
        <f>ASSETs!AU279</f>
        <v>/0/543</v>
      </c>
      <c r="C282" s="26" t="s">
        <v>309</v>
      </c>
      <c r="D282">
        <f>IF(TIM!Q279=TIM!Q279,TIM!Q279,"")</f>
        <v>0</v>
      </c>
      <c r="I282" t="str">
        <f>IFERROR(VLOOKUP(TIM!E279,ASSETs!$AA$6:$AB$7,2,FALSE),"")</f>
        <v/>
      </c>
      <c r="J282" s="2">
        <f>(IF(TIM!B279=TIM!B279,TIM!B279,""))</f>
        <v>0</v>
      </c>
      <c r="L282">
        <f>IF(TIM!C279=TIM!C279,TIM!C279,"")</f>
        <v>0</v>
      </c>
      <c r="M282" t="str">
        <f>ASSETs!W279</f>
        <v/>
      </c>
      <c r="O282">
        <f>IF(TIM!G279=TIM!G279,TIM!G279,"")</f>
        <v>0</v>
      </c>
      <c r="Q282" t="str">
        <f>ASSETs!$AD$2</f>
        <v>Phang-nga</v>
      </c>
      <c r="R282">
        <f>ASSETs!$AE$2</f>
        <v>99</v>
      </c>
      <c r="S282" s="11">
        <v>146</v>
      </c>
      <c r="T282" s="3">
        <f>IF(TIM!F279=TIM!F279,TIM!F279,"")</f>
        <v>0</v>
      </c>
      <c r="U282" s="18">
        <f>ASSETs!X279</f>
        <v>0</v>
      </c>
      <c r="V282" t="str">
        <f>ASSETs!$AA$2</f>
        <v>Phuket</v>
      </c>
      <c r="W282" s="3">
        <f>ASSETs!$AB$2</f>
        <v>99</v>
      </c>
      <c r="X282" s="6" t="str">
        <f>ASSETs!AN279</f>
        <v>/0/543</v>
      </c>
      <c r="Y282" t="str">
        <f>ASSETs!$AF$2</f>
        <v>12.00</v>
      </c>
      <c r="Z282" s="18">
        <v>1</v>
      </c>
    </row>
    <row r="283" spans="1:26" ht="15">
      <c r="A283" s="16">
        <f>ROWS($A$5:B283:C283)</f>
        <v>279</v>
      </c>
      <c r="B283" s="16" t="str">
        <f>ASSETs!AU280</f>
        <v>/0/543</v>
      </c>
      <c r="C283" s="26" t="s">
        <v>309</v>
      </c>
      <c r="D283">
        <f>IF(TIM!Q280=TIM!Q280,TIM!Q280,"")</f>
        <v>0</v>
      </c>
      <c r="I283" t="str">
        <f>IFERROR(VLOOKUP(TIM!E280,ASSETs!$AA$6:$AB$7,2,FALSE),"")</f>
        <v/>
      </c>
      <c r="J283" s="2">
        <f>(IF(TIM!B280=TIM!B280,TIM!B280,""))</f>
        <v>0</v>
      </c>
      <c r="L283">
        <f>IF(TIM!C280=TIM!C280,TIM!C280,"")</f>
        <v>0</v>
      </c>
      <c r="M283" t="str">
        <f>ASSETs!W280</f>
        <v/>
      </c>
      <c r="O283">
        <f>IF(TIM!G280=TIM!G280,TIM!G280,"")</f>
        <v>0</v>
      </c>
      <c r="Q283" t="str">
        <f>ASSETs!$AD$2</f>
        <v>Phang-nga</v>
      </c>
      <c r="R283">
        <f>ASSETs!$AE$2</f>
        <v>99</v>
      </c>
      <c r="S283" s="11">
        <v>146</v>
      </c>
      <c r="T283" s="3">
        <f>IF(TIM!F280=TIM!F280,TIM!F280,"")</f>
        <v>0</v>
      </c>
      <c r="U283" s="18">
        <f>ASSETs!X280</f>
        <v>0</v>
      </c>
      <c r="V283" t="str">
        <f>ASSETs!$AA$2</f>
        <v>Phuket</v>
      </c>
      <c r="W283" s="3">
        <f>ASSETs!$AB$2</f>
        <v>99</v>
      </c>
      <c r="X283" s="6" t="str">
        <f>ASSETs!AN280</f>
        <v>/0/543</v>
      </c>
      <c r="Y283" t="str">
        <f>ASSETs!$AF$2</f>
        <v>12.00</v>
      </c>
      <c r="Z283" s="18">
        <v>1</v>
      </c>
    </row>
    <row r="284" spans="1:26" ht="15">
      <c r="A284" s="16">
        <f>ROWS($A$5:B284:C284)</f>
        <v>280</v>
      </c>
      <c r="B284" s="16" t="str">
        <f>ASSETs!AU281</f>
        <v>/0/543</v>
      </c>
      <c r="C284" s="26" t="s">
        <v>309</v>
      </c>
      <c r="D284">
        <f>IF(TIM!Q281=TIM!Q281,TIM!Q281,"")</f>
        <v>0</v>
      </c>
      <c r="I284" t="str">
        <f>IFERROR(VLOOKUP(TIM!E281,ASSETs!$AA$6:$AB$7,2,FALSE),"")</f>
        <v/>
      </c>
      <c r="J284" s="2">
        <f>(IF(TIM!B281=TIM!B281,TIM!B281,""))</f>
        <v>0</v>
      </c>
      <c r="L284">
        <f>IF(TIM!C281=TIM!C281,TIM!C281,"")</f>
        <v>0</v>
      </c>
      <c r="M284" t="str">
        <f>ASSETs!W281</f>
        <v/>
      </c>
      <c r="O284">
        <f>IF(TIM!G281=TIM!G281,TIM!G281,"")</f>
        <v>0</v>
      </c>
      <c r="Q284" t="str">
        <f>ASSETs!$AD$2</f>
        <v>Phang-nga</v>
      </c>
      <c r="R284">
        <f>ASSETs!$AE$2</f>
        <v>99</v>
      </c>
      <c r="S284" s="11">
        <v>146</v>
      </c>
      <c r="T284" s="3">
        <f>IF(TIM!F281=TIM!F281,TIM!F281,"")</f>
        <v>0</v>
      </c>
      <c r="U284" s="18">
        <f>ASSETs!X281</f>
        <v>0</v>
      </c>
      <c r="V284" t="str">
        <f>ASSETs!$AA$2</f>
        <v>Phuket</v>
      </c>
      <c r="W284" s="3">
        <f>ASSETs!$AB$2</f>
        <v>99</v>
      </c>
      <c r="X284" s="6" t="str">
        <f>ASSETs!AN281</f>
        <v>/0/543</v>
      </c>
      <c r="Y284" t="str">
        <f>ASSETs!$AF$2</f>
        <v>12.00</v>
      </c>
      <c r="Z284" s="18">
        <v>1</v>
      </c>
    </row>
    <row r="285" spans="1:26" ht="15">
      <c r="A285" s="16">
        <f>ROWS($A$5:B285:C285)</f>
        <v>281</v>
      </c>
      <c r="B285" s="16" t="str">
        <f>ASSETs!AU282</f>
        <v>/0/543</v>
      </c>
      <c r="C285" s="26" t="s">
        <v>309</v>
      </c>
      <c r="D285">
        <f>IF(TIM!Q282=TIM!Q282,TIM!Q282,"")</f>
        <v>0</v>
      </c>
      <c r="I285" t="str">
        <f>IFERROR(VLOOKUP(TIM!E282,ASSETs!$AA$6:$AB$7,2,FALSE),"")</f>
        <v/>
      </c>
      <c r="J285" s="2">
        <f>(IF(TIM!B282=TIM!B282,TIM!B282,""))</f>
        <v>0</v>
      </c>
      <c r="L285">
        <f>IF(TIM!C282=TIM!C282,TIM!C282,"")</f>
        <v>0</v>
      </c>
      <c r="M285" t="str">
        <f>ASSETs!W282</f>
        <v/>
      </c>
      <c r="O285">
        <f>IF(TIM!G282=TIM!G282,TIM!G282,"")</f>
        <v>0</v>
      </c>
      <c r="Q285" t="str">
        <f>ASSETs!$AD$2</f>
        <v>Phang-nga</v>
      </c>
      <c r="R285">
        <f>ASSETs!$AE$2</f>
        <v>99</v>
      </c>
      <c r="S285" s="11">
        <v>146</v>
      </c>
      <c r="T285" s="3">
        <f>IF(TIM!F282=TIM!F282,TIM!F282,"")</f>
        <v>0</v>
      </c>
      <c r="U285" s="18">
        <f>ASSETs!X282</f>
        <v>0</v>
      </c>
      <c r="V285" t="str">
        <f>ASSETs!$AA$2</f>
        <v>Phuket</v>
      </c>
      <c r="W285" s="3">
        <f>ASSETs!$AB$2</f>
        <v>99</v>
      </c>
      <c r="X285" s="6" t="str">
        <f>ASSETs!AN282</f>
        <v>/0/543</v>
      </c>
      <c r="Y285" t="str">
        <f>ASSETs!$AF$2</f>
        <v>12.00</v>
      </c>
      <c r="Z285" s="18">
        <v>1</v>
      </c>
    </row>
    <row r="286" spans="1:26" ht="15">
      <c r="A286" s="16">
        <f>ROWS($A$5:B286:C286)</f>
        <v>282</v>
      </c>
      <c r="B286" s="16" t="str">
        <f>ASSETs!AU283</f>
        <v>/0/543</v>
      </c>
      <c r="C286" s="26" t="s">
        <v>309</v>
      </c>
      <c r="D286">
        <f>IF(TIM!Q283=TIM!Q283,TIM!Q283,"")</f>
        <v>0</v>
      </c>
      <c r="I286" t="str">
        <f>IFERROR(VLOOKUP(TIM!E283,ASSETs!$AA$6:$AB$7,2,FALSE),"")</f>
        <v/>
      </c>
      <c r="J286" s="2">
        <f>(IF(TIM!B283=TIM!B283,TIM!B283,""))</f>
        <v>0</v>
      </c>
      <c r="L286">
        <f>IF(TIM!C283=TIM!C283,TIM!C283,"")</f>
        <v>0</v>
      </c>
      <c r="M286" t="str">
        <f>ASSETs!W283</f>
        <v/>
      </c>
      <c r="O286">
        <f>IF(TIM!G283=TIM!G283,TIM!G283,"")</f>
        <v>0</v>
      </c>
      <c r="Q286" t="str">
        <f>ASSETs!$AD$2</f>
        <v>Phang-nga</v>
      </c>
      <c r="R286">
        <f>ASSETs!$AE$2</f>
        <v>99</v>
      </c>
      <c r="S286" s="11">
        <v>146</v>
      </c>
      <c r="T286" s="3">
        <f>IF(TIM!F283=TIM!F283,TIM!F283,"")</f>
        <v>0</v>
      </c>
      <c r="U286" s="18">
        <f>ASSETs!X283</f>
        <v>0</v>
      </c>
      <c r="V286" t="str">
        <f>ASSETs!$AA$2</f>
        <v>Phuket</v>
      </c>
      <c r="W286" s="3">
        <f>ASSETs!$AB$2</f>
        <v>99</v>
      </c>
      <c r="X286" s="6" t="str">
        <f>ASSETs!AN283</f>
        <v>/0/543</v>
      </c>
      <c r="Y286" t="str">
        <f>ASSETs!$AF$2</f>
        <v>12.00</v>
      </c>
      <c r="Z286" s="18">
        <v>1</v>
      </c>
    </row>
    <row r="287" spans="1:26" ht="15">
      <c r="A287" s="16">
        <f>ROWS($A$5:B287:C287)</f>
        <v>283</v>
      </c>
      <c r="B287" s="16" t="str">
        <f>ASSETs!AU284</f>
        <v>/0/543</v>
      </c>
      <c r="C287" s="26" t="s">
        <v>309</v>
      </c>
      <c r="D287">
        <f>IF(TIM!Q284=TIM!Q284,TIM!Q284,"")</f>
        <v>0</v>
      </c>
      <c r="I287" t="str">
        <f>IFERROR(VLOOKUP(TIM!E284,ASSETs!$AA$6:$AB$7,2,FALSE),"")</f>
        <v/>
      </c>
      <c r="J287" s="2">
        <f>(IF(TIM!B284=TIM!B284,TIM!B284,""))</f>
        <v>0</v>
      </c>
      <c r="L287">
        <f>IF(TIM!C284=TIM!C284,TIM!C284,"")</f>
        <v>0</v>
      </c>
      <c r="M287" t="str">
        <f>ASSETs!W284</f>
        <v/>
      </c>
      <c r="O287">
        <f>IF(TIM!G284=TIM!G284,TIM!G284,"")</f>
        <v>0</v>
      </c>
      <c r="Q287" t="str">
        <f>ASSETs!$AD$2</f>
        <v>Phang-nga</v>
      </c>
      <c r="R287">
        <f>ASSETs!$AE$2</f>
        <v>99</v>
      </c>
      <c r="S287" s="11">
        <v>146</v>
      </c>
      <c r="T287" s="3">
        <f>IF(TIM!F284=TIM!F284,TIM!F284,"")</f>
        <v>0</v>
      </c>
      <c r="U287" s="18">
        <f>ASSETs!X284</f>
        <v>0</v>
      </c>
      <c r="V287" t="str">
        <f>ASSETs!$AA$2</f>
        <v>Phuket</v>
      </c>
      <c r="W287" s="3">
        <f>ASSETs!$AB$2</f>
        <v>99</v>
      </c>
      <c r="X287" s="6" t="str">
        <f>ASSETs!AN284</f>
        <v>/0/543</v>
      </c>
      <c r="Y287" t="str">
        <f>ASSETs!$AF$2</f>
        <v>12.00</v>
      </c>
      <c r="Z287" s="18">
        <v>1</v>
      </c>
    </row>
    <row r="288" spans="1:26" ht="15">
      <c r="A288" s="16">
        <f>ROWS($A$5:B288:C288)</f>
        <v>284</v>
      </c>
      <c r="B288" s="16" t="str">
        <f>ASSETs!AU285</f>
        <v>/0/543</v>
      </c>
      <c r="C288" s="26" t="s">
        <v>309</v>
      </c>
      <c r="D288">
        <f>IF(TIM!Q285=TIM!Q285,TIM!Q285,"")</f>
        <v>0</v>
      </c>
      <c r="I288" t="str">
        <f>IFERROR(VLOOKUP(TIM!E285,ASSETs!$AA$6:$AB$7,2,FALSE),"")</f>
        <v/>
      </c>
      <c r="J288" s="2">
        <f>(IF(TIM!B285=TIM!B285,TIM!B285,""))</f>
        <v>0</v>
      </c>
      <c r="L288">
        <f>IF(TIM!C285=TIM!C285,TIM!C285,"")</f>
        <v>0</v>
      </c>
      <c r="M288" t="str">
        <f>ASSETs!W285</f>
        <v/>
      </c>
      <c r="O288">
        <f>IF(TIM!G285=TIM!G285,TIM!G285,"")</f>
        <v>0</v>
      </c>
      <c r="Q288" t="str">
        <f>ASSETs!$AD$2</f>
        <v>Phang-nga</v>
      </c>
      <c r="R288">
        <f>ASSETs!$AE$2</f>
        <v>99</v>
      </c>
      <c r="S288" s="11">
        <v>146</v>
      </c>
      <c r="T288" s="3">
        <f>IF(TIM!F285=TIM!F285,TIM!F285,"")</f>
        <v>0</v>
      </c>
      <c r="U288" s="18">
        <f>ASSETs!X285</f>
        <v>0</v>
      </c>
      <c r="V288" t="str">
        <f>ASSETs!$AA$2</f>
        <v>Phuket</v>
      </c>
      <c r="W288" s="3">
        <f>ASSETs!$AB$2</f>
        <v>99</v>
      </c>
      <c r="X288" s="6" t="str">
        <f>ASSETs!AN285</f>
        <v>/0/543</v>
      </c>
      <c r="Y288" t="str">
        <f>ASSETs!$AF$2</f>
        <v>12.00</v>
      </c>
      <c r="Z288" s="18">
        <v>1</v>
      </c>
    </row>
    <row r="289" spans="1:26" ht="15">
      <c r="A289" s="16">
        <f>ROWS($A$5:B289:C289)</f>
        <v>285</v>
      </c>
      <c r="B289" s="16" t="str">
        <f>ASSETs!AU286</f>
        <v>/0/543</v>
      </c>
      <c r="C289" s="26" t="s">
        <v>309</v>
      </c>
      <c r="D289">
        <f>IF(TIM!Q286=TIM!Q286,TIM!Q286,"")</f>
        <v>0</v>
      </c>
      <c r="I289" t="str">
        <f>IFERROR(VLOOKUP(TIM!E286,ASSETs!$AA$6:$AB$7,2,FALSE),"")</f>
        <v/>
      </c>
      <c r="J289" s="2">
        <f>(IF(TIM!B286=TIM!B286,TIM!B286,""))</f>
        <v>0</v>
      </c>
      <c r="L289">
        <f>IF(TIM!C286=TIM!C286,TIM!C286,"")</f>
        <v>0</v>
      </c>
      <c r="M289" t="str">
        <f>ASSETs!W286</f>
        <v/>
      </c>
      <c r="O289">
        <f>IF(TIM!G286=TIM!G286,TIM!G286,"")</f>
        <v>0</v>
      </c>
      <c r="Q289" t="str">
        <f>ASSETs!$AD$2</f>
        <v>Phang-nga</v>
      </c>
      <c r="R289">
        <f>ASSETs!$AE$2</f>
        <v>99</v>
      </c>
      <c r="S289" s="11">
        <v>146</v>
      </c>
      <c r="T289" s="3">
        <f>IF(TIM!F286=TIM!F286,TIM!F286,"")</f>
        <v>0</v>
      </c>
      <c r="U289" s="18">
        <f>ASSETs!X286</f>
        <v>0</v>
      </c>
      <c r="V289" t="str">
        <f>ASSETs!$AA$2</f>
        <v>Phuket</v>
      </c>
      <c r="W289" s="3">
        <f>ASSETs!$AB$2</f>
        <v>99</v>
      </c>
      <c r="X289" s="6" t="str">
        <f>ASSETs!AN286</f>
        <v>/0/543</v>
      </c>
      <c r="Y289" t="str">
        <f>ASSETs!$AF$2</f>
        <v>12.00</v>
      </c>
      <c r="Z289" s="18">
        <v>1</v>
      </c>
    </row>
    <row r="290" spans="1:26" ht="15">
      <c r="A290" s="16">
        <f>ROWS($A$5:B290:C290)</f>
        <v>286</v>
      </c>
      <c r="B290" s="16" t="str">
        <f>ASSETs!AU287</f>
        <v>/0/543</v>
      </c>
      <c r="C290" s="26" t="s">
        <v>309</v>
      </c>
      <c r="D290">
        <f>IF(TIM!Q287=TIM!Q287,TIM!Q287,"")</f>
        <v>0</v>
      </c>
      <c r="I290" t="str">
        <f>IFERROR(VLOOKUP(TIM!E287,ASSETs!$AA$6:$AB$7,2,FALSE),"")</f>
        <v/>
      </c>
      <c r="J290" s="2">
        <f>(IF(TIM!B287=TIM!B287,TIM!B287,""))</f>
        <v>0</v>
      </c>
      <c r="L290">
        <f>IF(TIM!C287=TIM!C287,TIM!C287,"")</f>
        <v>0</v>
      </c>
      <c r="M290" t="str">
        <f>ASSETs!W287</f>
        <v/>
      </c>
      <c r="O290">
        <f>IF(TIM!G287=TIM!G287,TIM!G287,"")</f>
        <v>0</v>
      </c>
      <c r="Q290" t="str">
        <f>ASSETs!$AD$2</f>
        <v>Phang-nga</v>
      </c>
      <c r="R290">
        <f>ASSETs!$AE$2</f>
        <v>99</v>
      </c>
      <c r="S290" s="11">
        <v>146</v>
      </c>
      <c r="T290" s="3">
        <f>IF(TIM!F287=TIM!F287,TIM!F287,"")</f>
        <v>0</v>
      </c>
      <c r="U290" s="18">
        <f>ASSETs!X287</f>
        <v>0</v>
      </c>
      <c r="V290" t="str">
        <f>ASSETs!$AA$2</f>
        <v>Phuket</v>
      </c>
      <c r="W290" s="3">
        <f>ASSETs!$AB$2</f>
        <v>99</v>
      </c>
      <c r="X290" s="6" t="str">
        <f>ASSETs!AN287</f>
        <v>/0/543</v>
      </c>
      <c r="Y290" t="str">
        <f>ASSETs!$AF$2</f>
        <v>12.00</v>
      </c>
      <c r="Z290" s="18">
        <v>1</v>
      </c>
    </row>
    <row r="291" spans="1:26" ht="15">
      <c r="A291" s="16">
        <f>ROWS($A$5:B291:C291)</f>
        <v>287</v>
      </c>
      <c r="B291" s="16" t="str">
        <f>ASSETs!AU288</f>
        <v>/0/543</v>
      </c>
      <c r="C291" s="26" t="s">
        <v>309</v>
      </c>
      <c r="D291">
        <f>IF(TIM!Q288=TIM!Q288,TIM!Q288,"")</f>
        <v>0</v>
      </c>
      <c r="I291" t="str">
        <f>IFERROR(VLOOKUP(TIM!E288,ASSETs!$AA$6:$AB$7,2,FALSE),"")</f>
        <v/>
      </c>
      <c r="J291" s="2">
        <f>(IF(TIM!B288=TIM!B288,TIM!B288,""))</f>
        <v>0</v>
      </c>
      <c r="L291">
        <f>IF(TIM!C288=TIM!C288,TIM!C288,"")</f>
        <v>0</v>
      </c>
      <c r="M291" t="str">
        <f>ASSETs!W288</f>
        <v/>
      </c>
      <c r="O291">
        <f>IF(TIM!G288=TIM!G288,TIM!G288,"")</f>
        <v>0</v>
      </c>
      <c r="Q291" t="str">
        <f>ASSETs!$AD$2</f>
        <v>Phang-nga</v>
      </c>
      <c r="R291">
        <f>ASSETs!$AE$2</f>
        <v>99</v>
      </c>
      <c r="S291" s="11">
        <v>146</v>
      </c>
      <c r="T291" s="3">
        <f>IF(TIM!F288=TIM!F288,TIM!F288,"")</f>
        <v>0</v>
      </c>
      <c r="U291" s="18">
        <f>ASSETs!X288</f>
        <v>0</v>
      </c>
      <c r="V291" t="str">
        <f>ASSETs!$AA$2</f>
        <v>Phuket</v>
      </c>
      <c r="W291" s="3">
        <f>ASSETs!$AB$2</f>
        <v>99</v>
      </c>
      <c r="X291" s="6" t="str">
        <f>ASSETs!AN288</f>
        <v>/0/543</v>
      </c>
      <c r="Y291" t="str">
        <f>ASSETs!$AF$2</f>
        <v>12.00</v>
      </c>
      <c r="Z291" s="18">
        <v>1</v>
      </c>
    </row>
    <row r="292" spans="1:26" ht="15">
      <c r="A292" s="16">
        <f>ROWS($A$5:B292:C292)</f>
        <v>288</v>
      </c>
      <c r="B292" s="16" t="str">
        <f>ASSETs!AU289</f>
        <v>/0/543</v>
      </c>
      <c r="C292" s="26" t="s">
        <v>309</v>
      </c>
      <c r="D292">
        <f>IF(TIM!Q289=TIM!Q289,TIM!Q289,"")</f>
        <v>0</v>
      </c>
      <c r="I292" t="str">
        <f>IFERROR(VLOOKUP(TIM!E289,ASSETs!$AA$6:$AB$7,2,FALSE),"")</f>
        <v/>
      </c>
      <c r="J292" s="2">
        <f>(IF(TIM!B289=TIM!B289,TIM!B289,""))</f>
        <v>0</v>
      </c>
      <c r="L292">
        <f>IF(TIM!C289=TIM!C289,TIM!C289,"")</f>
        <v>0</v>
      </c>
      <c r="M292" t="str">
        <f>ASSETs!W289</f>
        <v/>
      </c>
      <c r="O292">
        <f>IF(TIM!G289=TIM!G289,TIM!G289,"")</f>
        <v>0</v>
      </c>
      <c r="Q292" t="str">
        <f>ASSETs!$AD$2</f>
        <v>Phang-nga</v>
      </c>
      <c r="R292">
        <f>ASSETs!$AE$2</f>
        <v>99</v>
      </c>
      <c r="S292" s="11">
        <v>146</v>
      </c>
      <c r="T292" s="3">
        <f>IF(TIM!F289=TIM!F289,TIM!F289,"")</f>
        <v>0</v>
      </c>
      <c r="U292" s="18">
        <f>ASSETs!X289</f>
        <v>0</v>
      </c>
      <c r="V292" t="str">
        <f>ASSETs!$AA$2</f>
        <v>Phuket</v>
      </c>
      <c r="W292" s="3">
        <f>ASSETs!$AB$2</f>
        <v>99</v>
      </c>
      <c r="X292" s="6" t="str">
        <f>ASSETs!AN289</f>
        <v>/0/543</v>
      </c>
      <c r="Y292" t="str">
        <f>ASSETs!$AF$2</f>
        <v>12.00</v>
      </c>
      <c r="Z292" s="18">
        <v>1</v>
      </c>
    </row>
    <row r="293" spans="1:26" ht="15">
      <c r="A293" s="16">
        <f>ROWS($A$5:B293:C293)</f>
        <v>289</v>
      </c>
      <c r="B293" s="16" t="str">
        <f>ASSETs!AU290</f>
        <v>/0/543</v>
      </c>
      <c r="C293" s="26" t="s">
        <v>309</v>
      </c>
      <c r="D293">
        <f>IF(TIM!Q290=TIM!Q290,TIM!Q290,"")</f>
        <v>0</v>
      </c>
      <c r="I293" t="str">
        <f>IFERROR(VLOOKUP(TIM!E290,ASSETs!$AA$6:$AB$7,2,FALSE),"")</f>
        <v/>
      </c>
      <c r="J293" s="2">
        <f>(IF(TIM!B290=TIM!B290,TIM!B290,""))</f>
        <v>0</v>
      </c>
      <c r="L293">
        <f>IF(TIM!C290=TIM!C290,TIM!C290,"")</f>
        <v>0</v>
      </c>
      <c r="M293" t="str">
        <f>ASSETs!W290</f>
        <v/>
      </c>
      <c r="O293">
        <f>IF(TIM!G290=TIM!G290,TIM!G290,"")</f>
        <v>0</v>
      </c>
      <c r="Q293" t="str">
        <f>ASSETs!$AD$2</f>
        <v>Phang-nga</v>
      </c>
      <c r="R293">
        <f>ASSETs!$AE$2</f>
        <v>99</v>
      </c>
      <c r="S293" s="11">
        <v>146</v>
      </c>
      <c r="T293" s="3">
        <f>IF(TIM!F290=TIM!F290,TIM!F290,"")</f>
        <v>0</v>
      </c>
      <c r="U293" s="18">
        <f>ASSETs!X290</f>
        <v>0</v>
      </c>
      <c r="V293" t="str">
        <f>ASSETs!$AA$2</f>
        <v>Phuket</v>
      </c>
      <c r="W293" s="3">
        <f>ASSETs!$AB$2</f>
        <v>99</v>
      </c>
      <c r="X293" s="6" t="str">
        <f>ASSETs!AN290</f>
        <v>/0/543</v>
      </c>
      <c r="Y293" t="str">
        <f>ASSETs!$AF$2</f>
        <v>12.00</v>
      </c>
      <c r="Z293" s="18">
        <v>1</v>
      </c>
    </row>
    <row r="294" spans="1:26" ht="15">
      <c r="A294" s="16">
        <f>ROWS($A$5:B294:C294)</f>
        <v>290</v>
      </c>
      <c r="B294" s="16" t="str">
        <f>ASSETs!AU291</f>
        <v>/0/543</v>
      </c>
      <c r="C294" s="26" t="s">
        <v>309</v>
      </c>
      <c r="D294">
        <f>IF(TIM!Q291=TIM!Q291,TIM!Q291,"")</f>
        <v>0</v>
      </c>
      <c r="I294" t="str">
        <f>IFERROR(VLOOKUP(TIM!E291,ASSETs!$AA$6:$AB$7,2,FALSE),"")</f>
        <v/>
      </c>
      <c r="J294" s="2">
        <f>(IF(TIM!B291=TIM!B291,TIM!B291,""))</f>
        <v>0</v>
      </c>
      <c r="L294">
        <f>IF(TIM!C291=TIM!C291,TIM!C291,"")</f>
        <v>0</v>
      </c>
      <c r="M294" t="str">
        <f>ASSETs!W291</f>
        <v/>
      </c>
      <c r="O294">
        <f>IF(TIM!G291=TIM!G291,TIM!G291,"")</f>
        <v>0</v>
      </c>
      <c r="Q294" t="str">
        <f>ASSETs!$AD$2</f>
        <v>Phang-nga</v>
      </c>
      <c r="R294">
        <f>ASSETs!$AE$2</f>
        <v>99</v>
      </c>
      <c r="S294" s="11">
        <v>146</v>
      </c>
      <c r="T294" s="3">
        <f>IF(TIM!F291=TIM!F291,TIM!F291,"")</f>
        <v>0</v>
      </c>
      <c r="U294" s="18">
        <f>ASSETs!X291</f>
        <v>0</v>
      </c>
      <c r="V294" t="str">
        <f>ASSETs!$AA$2</f>
        <v>Phuket</v>
      </c>
      <c r="W294" s="3">
        <f>ASSETs!$AB$2</f>
        <v>99</v>
      </c>
      <c r="X294" s="6" t="str">
        <f>ASSETs!AN291</f>
        <v>/0/543</v>
      </c>
      <c r="Y294" t="str">
        <f>ASSETs!$AF$2</f>
        <v>12.00</v>
      </c>
      <c r="Z294" s="18">
        <v>1</v>
      </c>
    </row>
    <row r="295" spans="1:26" ht="15">
      <c r="A295" s="16">
        <f>ROWS($A$5:B295:C295)</f>
        <v>291</v>
      </c>
      <c r="B295" s="16" t="str">
        <f>ASSETs!AU292</f>
        <v>/0/543</v>
      </c>
      <c r="C295" s="26" t="s">
        <v>309</v>
      </c>
      <c r="D295">
        <f>IF(TIM!Q292=TIM!Q292,TIM!Q292,"")</f>
        <v>0</v>
      </c>
      <c r="I295" t="str">
        <f>IFERROR(VLOOKUP(TIM!E292,ASSETs!$AA$6:$AB$7,2,FALSE),"")</f>
        <v/>
      </c>
      <c r="J295" s="2">
        <f>(IF(TIM!B292=TIM!B292,TIM!B292,""))</f>
        <v>0</v>
      </c>
      <c r="L295">
        <f>IF(TIM!C292=TIM!C292,TIM!C292,"")</f>
        <v>0</v>
      </c>
      <c r="M295" t="str">
        <f>ASSETs!W292</f>
        <v/>
      </c>
      <c r="O295">
        <f>IF(TIM!G292=TIM!G292,TIM!G292,"")</f>
        <v>0</v>
      </c>
      <c r="Q295" t="str">
        <f>ASSETs!$AD$2</f>
        <v>Phang-nga</v>
      </c>
      <c r="R295">
        <f>ASSETs!$AE$2</f>
        <v>99</v>
      </c>
      <c r="S295" s="11">
        <v>146</v>
      </c>
      <c r="T295" s="3">
        <f>IF(TIM!F292=TIM!F292,TIM!F292,"")</f>
        <v>0</v>
      </c>
      <c r="U295" s="18">
        <f>ASSETs!X292</f>
        <v>0</v>
      </c>
      <c r="V295" t="str">
        <f>ASSETs!$AA$2</f>
        <v>Phuket</v>
      </c>
      <c r="W295" s="3">
        <f>ASSETs!$AB$2</f>
        <v>99</v>
      </c>
      <c r="X295" s="6" t="str">
        <f>ASSETs!AN292</f>
        <v>/0/543</v>
      </c>
      <c r="Y295" t="str">
        <f>ASSETs!$AF$2</f>
        <v>12.00</v>
      </c>
      <c r="Z295" s="18">
        <v>1</v>
      </c>
    </row>
    <row r="296" spans="1:26" ht="15">
      <c r="A296" s="16">
        <f>ROWS($A$5:B296:C296)</f>
        <v>292</v>
      </c>
      <c r="B296" s="16" t="str">
        <f>ASSETs!AU293</f>
        <v>/0/543</v>
      </c>
      <c r="C296" s="26" t="s">
        <v>309</v>
      </c>
      <c r="D296">
        <f>IF(TIM!Q293=TIM!Q293,TIM!Q293,"")</f>
        <v>0</v>
      </c>
      <c r="I296" t="str">
        <f>IFERROR(VLOOKUP(TIM!E293,ASSETs!$AA$6:$AB$7,2,FALSE),"")</f>
        <v/>
      </c>
      <c r="J296" s="2">
        <f>(IF(TIM!B293=TIM!B293,TIM!B293,""))</f>
        <v>0</v>
      </c>
      <c r="L296">
        <f>IF(TIM!C293=TIM!C293,TIM!C293,"")</f>
        <v>0</v>
      </c>
      <c r="M296" t="str">
        <f>ASSETs!W293</f>
        <v/>
      </c>
      <c r="O296">
        <f>IF(TIM!G293=TIM!G293,TIM!G293,"")</f>
        <v>0</v>
      </c>
      <c r="Q296" t="str">
        <f>ASSETs!$AD$2</f>
        <v>Phang-nga</v>
      </c>
      <c r="R296">
        <f>ASSETs!$AE$2</f>
        <v>99</v>
      </c>
      <c r="S296" s="11">
        <v>146</v>
      </c>
      <c r="T296" s="3">
        <f>IF(TIM!F293=TIM!F293,TIM!F293,"")</f>
        <v>0</v>
      </c>
      <c r="U296" s="18">
        <f>ASSETs!X293</f>
        <v>0</v>
      </c>
      <c r="V296" t="str">
        <f>ASSETs!$AA$2</f>
        <v>Phuket</v>
      </c>
      <c r="W296" s="3">
        <f>ASSETs!$AB$2</f>
        <v>99</v>
      </c>
      <c r="X296" s="6" t="str">
        <f>ASSETs!AN293</f>
        <v>/0/543</v>
      </c>
      <c r="Y296" t="str">
        <f>ASSETs!$AF$2</f>
        <v>12.00</v>
      </c>
      <c r="Z296" s="18">
        <v>1</v>
      </c>
    </row>
    <row r="297" spans="1:26" ht="15">
      <c r="A297" s="16">
        <f>ROWS($A$5:B297:C297)</f>
        <v>293</v>
      </c>
      <c r="B297" s="16" t="str">
        <f>ASSETs!AU294</f>
        <v>/0/543</v>
      </c>
      <c r="C297" s="26" t="s">
        <v>309</v>
      </c>
      <c r="D297">
        <f>IF(TIM!Q294=TIM!Q294,TIM!Q294,"")</f>
        <v>0</v>
      </c>
      <c r="I297" t="str">
        <f>IFERROR(VLOOKUP(TIM!E294,ASSETs!$AA$6:$AB$7,2,FALSE),"")</f>
        <v/>
      </c>
      <c r="J297" s="2">
        <f>(IF(TIM!B294=TIM!B294,TIM!B294,""))</f>
        <v>0</v>
      </c>
      <c r="L297">
        <f>IF(TIM!C294=TIM!C294,TIM!C294,"")</f>
        <v>0</v>
      </c>
      <c r="M297" t="str">
        <f>ASSETs!W294</f>
        <v/>
      </c>
      <c r="O297">
        <f>IF(TIM!G294=TIM!G294,TIM!G294,"")</f>
        <v>0</v>
      </c>
      <c r="Q297" t="str">
        <f>ASSETs!$AD$2</f>
        <v>Phang-nga</v>
      </c>
      <c r="R297">
        <f>ASSETs!$AE$2</f>
        <v>99</v>
      </c>
      <c r="S297" s="11">
        <v>146</v>
      </c>
      <c r="T297" s="3">
        <f>IF(TIM!F294=TIM!F294,TIM!F294,"")</f>
        <v>0</v>
      </c>
      <c r="U297" s="18">
        <f>ASSETs!X294</f>
        <v>0</v>
      </c>
      <c r="V297" t="str">
        <f>ASSETs!$AA$2</f>
        <v>Phuket</v>
      </c>
      <c r="W297" s="3">
        <f>ASSETs!$AB$2</f>
        <v>99</v>
      </c>
      <c r="X297" s="6" t="str">
        <f>ASSETs!AN294</f>
        <v>/0/543</v>
      </c>
      <c r="Y297" t="str">
        <f>ASSETs!$AF$2</f>
        <v>12.00</v>
      </c>
      <c r="Z297" s="18">
        <v>1</v>
      </c>
    </row>
    <row r="298" spans="1:26" ht="15">
      <c r="A298" s="16">
        <f>ROWS($A$5:B298:C298)</f>
        <v>294</v>
      </c>
      <c r="B298" s="16" t="str">
        <f>ASSETs!AU295</f>
        <v>/0/543</v>
      </c>
      <c r="C298" s="26" t="s">
        <v>309</v>
      </c>
      <c r="D298">
        <f>IF(TIM!Q295=TIM!Q295,TIM!Q295,"")</f>
        <v>0</v>
      </c>
      <c r="I298" t="str">
        <f>IFERROR(VLOOKUP(TIM!E295,ASSETs!$AA$6:$AB$7,2,FALSE),"")</f>
        <v/>
      </c>
      <c r="J298" s="2">
        <f>(IF(TIM!B295=TIM!B295,TIM!B295,""))</f>
        <v>0</v>
      </c>
      <c r="L298">
        <f>IF(TIM!C295=TIM!C295,TIM!C295,"")</f>
        <v>0</v>
      </c>
      <c r="M298" t="str">
        <f>ASSETs!W295</f>
        <v/>
      </c>
      <c r="O298">
        <f>IF(TIM!G295=TIM!G295,TIM!G295,"")</f>
        <v>0</v>
      </c>
      <c r="Q298" t="str">
        <f>ASSETs!$AD$2</f>
        <v>Phang-nga</v>
      </c>
      <c r="R298">
        <f>ASSETs!$AE$2</f>
        <v>99</v>
      </c>
      <c r="S298" s="11">
        <v>146</v>
      </c>
      <c r="T298" s="3">
        <f>IF(TIM!F295=TIM!F295,TIM!F295,"")</f>
        <v>0</v>
      </c>
      <c r="U298" s="18">
        <f>ASSETs!X295</f>
        <v>0</v>
      </c>
      <c r="V298" t="str">
        <f>ASSETs!$AA$2</f>
        <v>Phuket</v>
      </c>
      <c r="W298" s="3">
        <f>ASSETs!$AB$2</f>
        <v>99</v>
      </c>
      <c r="X298" s="6" t="str">
        <f>ASSETs!AN295</f>
        <v>/0/543</v>
      </c>
      <c r="Y298" t="str">
        <f>ASSETs!$AF$2</f>
        <v>12.00</v>
      </c>
      <c r="Z298" s="18">
        <v>1</v>
      </c>
    </row>
    <row r="299" spans="1:26" ht="15">
      <c r="A299" s="16">
        <f>ROWS($A$5:B299:C299)</f>
        <v>295</v>
      </c>
      <c r="B299" s="16" t="str">
        <f>ASSETs!AU296</f>
        <v>/0/543</v>
      </c>
      <c r="C299" s="26" t="s">
        <v>309</v>
      </c>
      <c r="D299">
        <f>IF(TIM!Q296=TIM!Q296,TIM!Q296,"")</f>
        <v>0</v>
      </c>
      <c r="I299" t="str">
        <f>IFERROR(VLOOKUP(TIM!E296,ASSETs!$AA$6:$AB$7,2,FALSE),"")</f>
        <v/>
      </c>
      <c r="J299" s="2">
        <f>(IF(TIM!B296=TIM!B296,TIM!B296,""))</f>
        <v>0</v>
      </c>
      <c r="L299">
        <f>IF(TIM!C296=TIM!C296,TIM!C296,"")</f>
        <v>0</v>
      </c>
      <c r="M299" t="str">
        <f>ASSETs!W296</f>
        <v/>
      </c>
      <c r="O299">
        <f>IF(TIM!G296=TIM!G296,TIM!G296,"")</f>
        <v>0</v>
      </c>
      <c r="Q299" t="str">
        <f>ASSETs!$AD$2</f>
        <v>Phang-nga</v>
      </c>
      <c r="R299">
        <f>ASSETs!$AE$2</f>
        <v>99</v>
      </c>
      <c r="S299" s="11">
        <v>146</v>
      </c>
      <c r="T299" s="3">
        <f>IF(TIM!F296=TIM!F296,TIM!F296,"")</f>
        <v>0</v>
      </c>
      <c r="U299" s="18">
        <f>ASSETs!X296</f>
        <v>0</v>
      </c>
      <c r="V299" t="str">
        <f>ASSETs!$AA$2</f>
        <v>Phuket</v>
      </c>
      <c r="W299" s="3">
        <f>ASSETs!$AB$2</f>
        <v>99</v>
      </c>
      <c r="X299" s="6" t="str">
        <f>ASSETs!AN296</f>
        <v>/0/543</v>
      </c>
      <c r="Y299" t="str">
        <f>ASSETs!$AF$2</f>
        <v>12.00</v>
      </c>
      <c r="Z299" s="18">
        <v>1</v>
      </c>
    </row>
    <row r="300" spans="1:26" ht="15">
      <c r="A300" s="16">
        <f>ROWS($A$5:B300:C300)</f>
        <v>296</v>
      </c>
      <c r="B300" s="16" t="str">
        <f>ASSETs!AU297</f>
        <v>/0/543</v>
      </c>
      <c r="C300" s="26" t="s">
        <v>309</v>
      </c>
      <c r="D300">
        <f>IF(TIM!Q297=TIM!Q297,TIM!Q297,"")</f>
        <v>0</v>
      </c>
      <c r="I300" t="str">
        <f>IFERROR(VLOOKUP(TIM!E297,ASSETs!$AA$6:$AB$7,2,FALSE),"")</f>
        <v/>
      </c>
      <c r="J300" s="2">
        <f>(IF(TIM!B297=TIM!B297,TIM!B297,""))</f>
        <v>0</v>
      </c>
      <c r="L300">
        <f>IF(TIM!C297=TIM!C297,TIM!C297,"")</f>
        <v>0</v>
      </c>
      <c r="M300" t="str">
        <f>ASSETs!W297</f>
        <v/>
      </c>
      <c r="O300">
        <f>IF(TIM!G297=TIM!G297,TIM!G297,"")</f>
        <v>0</v>
      </c>
      <c r="Q300" t="str">
        <f>ASSETs!$AD$2</f>
        <v>Phang-nga</v>
      </c>
      <c r="R300">
        <f>ASSETs!$AE$2</f>
        <v>99</v>
      </c>
      <c r="S300" s="11">
        <v>146</v>
      </c>
      <c r="T300" s="3">
        <f>IF(TIM!F297=TIM!F297,TIM!F297,"")</f>
        <v>0</v>
      </c>
      <c r="U300" s="18">
        <f>ASSETs!X297</f>
        <v>0</v>
      </c>
      <c r="V300" t="str">
        <f>ASSETs!$AA$2</f>
        <v>Phuket</v>
      </c>
      <c r="W300" s="3">
        <f>ASSETs!$AB$2</f>
        <v>99</v>
      </c>
      <c r="X300" s="6" t="str">
        <f>ASSETs!AN297</f>
        <v>/0/543</v>
      </c>
      <c r="Y300" t="str">
        <f>ASSETs!$AF$2</f>
        <v>12.00</v>
      </c>
      <c r="Z300" s="18">
        <v>1</v>
      </c>
    </row>
    <row r="301" spans="1:26" ht="15">
      <c r="A301" s="16">
        <f>ROWS($A$5:B301:C301)</f>
        <v>297</v>
      </c>
      <c r="B301" s="16" t="str">
        <f>ASSETs!AU298</f>
        <v>/0/543</v>
      </c>
      <c r="C301" s="26" t="s">
        <v>309</v>
      </c>
      <c r="D301">
        <f>IF(TIM!Q298=TIM!Q298,TIM!Q298,"")</f>
        <v>0</v>
      </c>
      <c r="I301" t="str">
        <f>IFERROR(VLOOKUP(TIM!E298,ASSETs!$AA$6:$AB$7,2,FALSE),"")</f>
        <v/>
      </c>
      <c r="J301" s="2">
        <f>(IF(TIM!B298=TIM!B298,TIM!B298,""))</f>
        <v>0</v>
      </c>
      <c r="L301">
        <f>IF(TIM!C298=TIM!C298,TIM!C298,"")</f>
        <v>0</v>
      </c>
      <c r="M301" t="str">
        <f>ASSETs!W298</f>
        <v/>
      </c>
      <c r="O301">
        <f>IF(TIM!G298=TIM!G298,TIM!G298,"")</f>
        <v>0</v>
      </c>
      <c r="Q301" t="str">
        <f>ASSETs!$AD$2</f>
        <v>Phang-nga</v>
      </c>
      <c r="R301">
        <f>ASSETs!$AE$2</f>
        <v>99</v>
      </c>
      <c r="S301" s="11">
        <v>146</v>
      </c>
      <c r="T301" s="3">
        <f>IF(TIM!F298=TIM!F298,TIM!F298,"")</f>
        <v>0</v>
      </c>
      <c r="U301" s="18">
        <f>ASSETs!X298</f>
        <v>0</v>
      </c>
      <c r="V301" t="str">
        <f>ASSETs!$AA$2</f>
        <v>Phuket</v>
      </c>
      <c r="W301" s="3">
        <f>ASSETs!$AB$2</f>
        <v>99</v>
      </c>
      <c r="X301" s="6" t="str">
        <f>ASSETs!AN298</f>
        <v>/0/543</v>
      </c>
      <c r="Y301" t="str">
        <f>ASSETs!$AF$2</f>
        <v>12.00</v>
      </c>
      <c r="Z301" s="18">
        <v>1</v>
      </c>
    </row>
    <row r="302" spans="1:26" ht="15">
      <c r="A302" s="16">
        <f>ROWS($A$5:B302:C302)</f>
        <v>298</v>
      </c>
      <c r="B302" s="16" t="str">
        <f>ASSETs!AU299</f>
        <v>/0/543</v>
      </c>
      <c r="C302" s="26" t="s">
        <v>309</v>
      </c>
      <c r="D302">
        <f>IF(TIM!Q299=TIM!Q299,TIM!Q299,"")</f>
        <v>0</v>
      </c>
      <c r="I302" t="str">
        <f>IFERROR(VLOOKUP(TIM!E299,ASSETs!$AA$6:$AB$7,2,FALSE),"")</f>
        <v/>
      </c>
      <c r="J302" s="2">
        <f>(IF(TIM!B299=TIM!B299,TIM!B299,""))</f>
        <v>0</v>
      </c>
      <c r="L302">
        <f>IF(TIM!C299=TIM!C299,TIM!C299,"")</f>
        <v>0</v>
      </c>
      <c r="M302" t="str">
        <f>ASSETs!W299</f>
        <v/>
      </c>
      <c r="O302">
        <f>IF(TIM!G299=TIM!G299,TIM!G299,"")</f>
        <v>0</v>
      </c>
      <c r="Q302" t="str">
        <f>ASSETs!$AD$2</f>
        <v>Phang-nga</v>
      </c>
      <c r="R302">
        <f>ASSETs!$AE$2</f>
        <v>99</v>
      </c>
      <c r="S302" s="11">
        <v>146</v>
      </c>
      <c r="T302" s="3">
        <f>IF(TIM!F299=TIM!F299,TIM!F299,"")</f>
        <v>0</v>
      </c>
      <c r="U302" s="18">
        <f>ASSETs!X299</f>
        <v>0</v>
      </c>
      <c r="V302" t="str">
        <f>ASSETs!$AA$2</f>
        <v>Phuket</v>
      </c>
      <c r="W302" s="3">
        <f>ASSETs!$AB$2</f>
        <v>99</v>
      </c>
      <c r="X302" s="6" t="str">
        <f>ASSETs!AN299</f>
        <v>/0/543</v>
      </c>
      <c r="Y302" t="str">
        <f>ASSETs!$AF$2</f>
        <v>12.00</v>
      </c>
      <c r="Z302" s="18">
        <v>1</v>
      </c>
    </row>
    <row r="303" spans="1:26" ht="15">
      <c r="A303" s="16">
        <f>ROWS($A$5:B303:C303)</f>
        <v>299</v>
      </c>
      <c r="B303" s="16" t="str">
        <f>ASSETs!AU300</f>
        <v>/0/543</v>
      </c>
      <c r="C303" s="26" t="s">
        <v>309</v>
      </c>
      <c r="D303">
        <f>IF(TIM!Q300=TIM!Q300,TIM!Q300,"")</f>
        <v>0</v>
      </c>
      <c r="I303" t="str">
        <f>IFERROR(VLOOKUP(TIM!E300,ASSETs!$AA$6:$AB$7,2,FALSE),"")</f>
        <v/>
      </c>
      <c r="J303" s="2">
        <f>(IF(TIM!B300=TIM!B300,TIM!B300,""))</f>
        <v>0</v>
      </c>
      <c r="L303">
        <f>IF(TIM!C300=TIM!C300,TIM!C300,"")</f>
        <v>0</v>
      </c>
      <c r="M303" t="str">
        <f>ASSETs!W300</f>
        <v/>
      </c>
      <c r="O303">
        <f>IF(TIM!G300=TIM!G300,TIM!G300,"")</f>
        <v>0</v>
      </c>
      <c r="Q303" t="str">
        <f>ASSETs!$AD$2</f>
        <v>Phang-nga</v>
      </c>
      <c r="R303">
        <f>ASSETs!$AE$2</f>
        <v>99</v>
      </c>
      <c r="S303" s="11">
        <v>146</v>
      </c>
      <c r="T303" s="3">
        <f>IF(TIM!F300=TIM!F300,TIM!F300,"")</f>
        <v>0</v>
      </c>
      <c r="U303" s="18">
        <f>ASSETs!X300</f>
        <v>0</v>
      </c>
      <c r="V303" t="str">
        <f>ASSETs!$AA$2</f>
        <v>Phuket</v>
      </c>
      <c r="W303" s="3">
        <f>ASSETs!$AB$2</f>
        <v>99</v>
      </c>
      <c r="X303" s="6" t="str">
        <f>ASSETs!AN300</f>
        <v>/0/543</v>
      </c>
      <c r="Y303" t="str">
        <f>ASSETs!$AF$2</f>
        <v>12.00</v>
      </c>
      <c r="Z303" s="18">
        <v>1</v>
      </c>
    </row>
    <row r="304" spans="1:26" ht="15">
      <c r="A304" s="16">
        <f>ROWS($A$5:B304:C304)</f>
        <v>300</v>
      </c>
      <c r="B304" s="16" t="str">
        <f>ASSETs!AU301</f>
        <v>/0/543</v>
      </c>
      <c r="C304" s="26" t="s">
        <v>309</v>
      </c>
      <c r="D304">
        <f>IF(TIM!Q301=TIM!Q301,TIM!Q301,"")</f>
        <v>0</v>
      </c>
      <c r="I304" t="str">
        <f>IFERROR(VLOOKUP(TIM!E301,ASSETs!$AA$6:$AB$7,2,FALSE),"")</f>
        <v/>
      </c>
      <c r="J304" s="2">
        <f>(IF(TIM!B301=TIM!B301,TIM!B301,""))</f>
        <v>0</v>
      </c>
      <c r="L304">
        <f>IF(TIM!C301=TIM!C301,TIM!C301,"")</f>
        <v>0</v>
      </c>
      <c r="M304" t="str">
        <f>ASSETs!W301</f>
        <v/>
      </c>
      <c r="O304">
        <f>IF(TIM!G301=TIM!G301,TIM!G301,"")</f>
        <v>0</v>
      </c>
      <c r="Q304" t="str">
        <f>ASSETs!$AD$2</f>
        <v>Phang-nga</v>
      </c>
      <c r="R304">
        <f>ASSETs!$AE$2</f>
        <v>99</v>
      </c>
      <c r="S304" s="11">
        <v>146</v>
      </c>
      <c r="T304" s="3">
        <f>IF(TIM!F301=TIM!F301,TIM!F301,"")</f>
        <v>0</v>
      </c>
      <c r="U304" s="18">
        <f>ASSETs!X301</f>
        <v>0</v>
      </c>
      <c r="V304" t="str">
        <f>ASSETs!$AA$2</f>
        <v>Phuket</v>
      </c>
      <c r="W304" s="3">
        <f>ASSETs!$AB$2</f>
        <v>99</v>
      </c>
      <c r="X304" s="6" t="str">
        <f>ASSETs!AN301</f>
        <v>/0/543</v>
      </c>
      <c r="Y304" t="str">
        <f>ASSETs!$AF$2</f>
        <v>12.00</v>
      </c>
      <c r="Z304" s="18">
        <v>1</v>
      </c>
    </row>
    <row r="305" spans="1:26" ht="15">
      <c r="A305" s="16">
        <f>ROWS($A$5:B305:C305)</f>
        <v>301</v>
      </c>
      <c r="B305" s="16" t="str">
        <f>ASSETs!AU302</f>
        <v>/0/543</v>
      </c>
      <c r="C305" s="26" t="s">
        <v>309</v>
      </c>
      <c r="D305">
        <f>IF(TIM!Q302=TIM!Q302,TIM!Q302,"")</f>
        <v>0</v>
      </c>
      <c r="I305" t="str">
        <f>IFERROR(VLOOKUP(TIM!E302,ASSETs!$AA$6:$AB$7,2,FALSE),"")</f>
        <v/>
      </c>
      <c r="J305" s="2">
        <f>(IF(TIM!B302=TIM!B302,TIM!B302,""))</f>
        <v>0</v>
      </c>
      <c r="L305">
        <f>IF(TIM!C302=TIM!C302,TIM!C302,"")</f>
        <v>0</v>
      </c>
      <c r="M305" t="str">
        <f>ASSETs!W302</f>
        <v/>
      </c>
      <c r="O305">
        <f>IF(TIM!G302=TIM!G302,TIM!G302,"")</f>
        <v>0</v>
      </c>
      <c r="Q305" t="str">
        <f>ASSETs!$AD$2</f>
        <v>Phang-nga</v>
      </c>
      <c r="R305">
        <f>ASSETs!$AE$2</f>
        <v>99</v>
      </c>
      <c r="S305" s="11">
        <v>146</v>
      </c>
      <c r="T305" s="3">
        <f>IF(TIM!F302=TIM!F302,TIM!F302,"")</f>
        <v>0</v>
      </c>
      <c r="U305" s="18">
        <f>ASSETs!X302</f>
        <v>0</v>
      </c>
      <c r="V305" t="str">
        <f>ASSETs!$AA$2</f>
        <v>Phuket</v>
      </c>
      <c r="W305" s="3">
        <f>ASSETs!$AB$2</f>
        <v>99</v>
      </c>
      <c r="X305" s="6" t="str">
        <f>ASSETs!AN302</f>
        <v>/0/543</v>
      </c>
      <c r="Y305" t="str">
        <f>ASSETs!$AF$2</f>
        <v>12.00</v>
      </c>
      <c r="Z305" s="18">
        <v>1</v>
      </c>
    </row>
    <row r="306" spans="1:26" ht="15">
      <c r="A306" s="16">
        <f>ROWS($A$5:B306:C306)</f>
        <v>302</v>
      </c>
      <c r="B306" s="16" t="str">
        <f>ASSETs!AU303</f>
        <v>/0/543</v>
      </c>
      <c r="C306" s="26" t="s">
        <v>309</v>
      </c>
      <c r="D306">
        <f>IF(TIM!Q303=TIM!Q303,TIM!Q303,"")</f>
        <v>0</v>
      </c>
      <c r="I306" t="str">
        <f>IFERROR(VLOOKUP(TIM!E303,ASSETs!$AA$6:$AB$7,2,FALSE),"")</f>
        <v/>
      </c>
      <c r="J306" s="2">
        <f>(IF(TIM!B303=TIM!B303,TIM!B303,""))</f>
        <v>0</v>
      </c>
      <c r="L306">
        <f>IF(TIM!C303=TIM!C303,TIM!C303,"")</f>
        <v>0</v>
      </c>
      <c r="M306" t="str">
        <f>ASSETs!W303</f>
        <v/>
      </c>
      <c r="O306">
        <f>IF(TIM!G303=TIM!G303,TIM!G303,"")</f>
        <v>0</v>
      </c>
      <c r="Q306" t="str">
        <f>ASSETs!$AD$2</f>
        <v>Phang-nga</v>
      </c>
      <c r="R306">
        <f>ASSETs!$AE$2</f>
        <v>99</v>
      </c>
      <c r="S306" s="11">
        <v>146</v>
      </c>
      <c r="T306" s="3">
        <f>IF(TIM!F303=TIM!F303,TIM!F303,"")</f>
        <v>0</v>
      </c>
      <c r="U306" s="18">
        <f>ASSETs!X303</f>
        <v>0</v>
      </c>
      <c r="V306" t="str">
        <f>ASSETs!$AA$2</f>
        <v>Phuket</v>
      </c>
      <c r="W306" s="3">
        <f>ASSETs!$AB$2</f>
        <v>99</v>
      </c>
      <c r="X306" s="6" t="str">
        <f>ASSETs!AN303</f>
        <v>/0/543</v>
      </c>
      <c r="Y306" t="str">
        <f>ASSETs!$AF$2</f>
        <v>12.00</v>
      </c>
      <c r="Z306" s="18">
        <v>1</v>
      </c>
    </row>
    <row r="307" spans="1:26" ht="15">
      <c r="A307" s="16">
        <f>ROWS($A$5:B307:C307)</f>
        <v>303</v>
      </c>
      <c r="B307" s="16" t="str">
        <f>ASSETs!AU304</f>
        <v>/0/543</v>
      </c>
      <c r="C307" s="26" t="s">
        <v>309</v>
      </c>
      <c r="D307">
        <f>IF(TIM!Q304=TIM!Q304,TIM!Q304,"")</f>
        <v>0</v>
      </c>
      <c r="I307" t="str">
        <f>IFERROR(VLOOKUP(TIM!E304,ASSETs!$AA$6:$AB$7,2,FALSE),"")</f>
        <v/>
      </c>
      <c r="J307" s="2">
        <f>(IF(TIM!B304=TIM!B304,TIM!B304,""))</f>
        <v>0</v>
      </c>
      <c r="L307">
        <f>IF(TIM!C304=TIM!C304,TIM!C304,"")</f>
        <v>0</v>
      </c>
      <c r="M307" t="str">
        <f>ASSETs!W304</f>
        <v/>
      </c>
      <c r="O307">
        <f>IF(TIM!G304=TIM!G304,TIM!G304,"")</f>
        <v>0</v>
      </c>
      <c r="Q307" t="str">
        <f>ASSETs!$AD$2</f>
        <v>Phang-nga</v>
      </c>
      <c r="R307">
        <f>ASSETs!$AE$2</f>
        <v>99</v>
      </c>
      <c r="S307" s="11">
        <v>146</v>
      </c>
      <c r="T307" s="3">
        <f>IF(TIM!F304=TIM!F304,TIM!F304,"")</f>
        <v>0</v>
      </c>
      <c r="U307" s="18">
        <f>ASSETs!X304</f>
        <v>0</v>
      </c>
      <c r="V307" t="str">
        <f>ASSETs!$AA$2</f>
        <v>Phuket</v>
      </c>
      <c r="W307" s="3">
        <f>ASSETs!$AB$2</f>
        <v>99</v>
      </c>
      <c r="X307" s="6" t="str">
        <f>ASSETs!AN304</f>
        <v>/0/543</v>
      </c>
      <c r="Y307" t="str">
        <f>ASSETs!$AF$2</f>
        <v>12.00</v>
      </c>
      <c r="Z307" s="18">
        <v>1</v>
      </c>
    </row>
    <row r="308" spans="1:26" ht="15">
      <c r="A308" s="16">
        <f>ROWS($A$5:B308:C308)</f>
        <v>304</v>
      </c>
      <c r="B308" s="16" t="str">
        <f>ASSETs!AU305</f>
        <v>/0/543</v>
      </c>
      <c r="C308" s="26" t="s">
        <v>309</v>
      </c>
      <c r="D308">
        <f>IF(TIM!Q305=TIM!Q305,TIM!Q305,"")</f>
        <v>0</v>
      </c>
      <c r="I308" t="str">
        <f>IFERROR(VLOOKUP(TIM!E305,ASSETs!$AA$6:$AB$7,2,FALSE),"")</f>
        <v/>
      </c>
      <c r="J308" s="2">
        <f>(IF(TIM!B305=TIM!B305,TIM!B305,""))</f>
        <v>0</v>
      </c>
      <c r="L308">
        <f>IF(TIM!C305=TIM!C305,TIM!C305,"")</f>
        <v>0</v>
      </c>
      <c r="M308" t="str">
        <f>ASSETs!W305</f>
        <v/>
      </c>
      <c r="O308">
        <f>IF(TIM!G305=TIM!G305,TIM!G305,"")</f>
        <v>0</v>
      </c>
      <c r="Q308" t="str">
        <f>ASSETs!$AD$2</f>
        <v>Phang-nga</v>
      </c>
      <c r="R308">
        <f>ASSETs!$AE$2</f>
        <v>99</v>
      </c>
      <c r="S308" s="11">
        <v>146</v>
      </c>
      <c r="T308" s="3">
        <f>IF(TIM!F305=TIM!F305,TIM!F305,"")</f>
        <v>0</v>
      </c>
      <c r="U308" s="18">
        <f>ASSETs!X305</f>
        <v>0</v>
      </c>
      <c r="V308" t="str">
        <f>ASSETs!$AA$2</f>
        <v>Phuket</v>
      </c>
      <c r="W308" s="3">
        <f>ASSETs!$AB$2</f>
        <v>99</v>
      </c>
      <c r="X308" s="6" t="str">
        <f>ASSETs!AN305</f>
        <v>/0/543</v>
      </c>
      <c r="Y308" t="str">
        <f>ASSETs!$AF$2</f>
        <v>12.00</v>
      </c>
      <c r="Z308" s="18">
        <v>1</v>
      </c>
    </row>
    <row r="309" spans="1:26" ht="15">
      <c r="A309" s="16">
        <f>ROWS($A$5:B309:C309)</f>
        <v>305</v>
      </c>
      <c r="B309" s="16" t="str">
        <f>ASSETs!AU306</f>
        <v>/0/543</v>
      </c>
      <c r="C309" s="26" t="s">
        <v>309</v>
      </c>
      <c r="D309">
        <f>IF(TIM!Q306=TIM!Q306,TIM!Q306,"")</f>
        <v>0</v>
      </c>
      <c r="I309" t="str">
        <f>IFERROR(VLOOKUP(TIM!E306,ASSETs!$AA$6:$AB$7,2,FALSE),"")</f>
        <v/>
      </c>
      <c r="J309" s="2">
        <f>(IF(TIM!B306=TIM!B306,TIM!B306,""))</f>
        <v>0</v>
      </c>
      <c r="L309">
        <f>IF(TIM!C306=TIM!C306,TIM!C306,"")</f>
        <v>0</v>
      </c>
      <c r="M309" t="str">
        <f>ASSETs!W306</f>
        <v/>
      </c>
      <c r="O309">
        <f>IF(TIM!G306=TIM!G306,TIM!G306,"")</f>
        <v>0</v>
      </c>
      <c r="Q309" t="str">
        <f>ASSETs!$AD$2</f>
        <v>Phang-nga</v>
      </c>
      <c r="R309">
        <f>ASSETs!$AE$2</f>
        <v>99</v>
      </c>
      <c r="S309" s="11">
        <v>146</v>
      </c>
      <c r="T309" s="3">
        <f>IF(TIM!F306=TIM!F306,TIM!F306,"")</f>
        <v>0</v>
      </c>
      <c r="U309" s="18">
        <f>ASSETs!X306</f>
        <v>0</v>
      </c>
      <c r="V309" t="str">
        <f>ASSETs!$AA$2</f>
        <v>Phuket</v>
      </c>
      <c r="W309" s="3">
        <f>ASSETs!$AB$2</f>
        <v>99</v>
      </c>
      <c r="X309" s="6" t="str">
        <f>ASSETs!AN306</f>
        <v>/0/543</v>
      </c>
      <c r="Y309" t="str">
        <f>ASSETs!$AF$2</f>
        <v>12.00</v>
      </c>
      <c r="Z309" s="18">
        <v>1</v>
      </c>
    </row>
    <row r="310" spans="1:26" ht="15">
      <c r="A310" s="16">
        <f>ROWS($A$5:B310:C310)</f>
        <v>306</v>
      </c>
      <c r="B310" s="16" t="str">
        <f>ASSETs!AU307</f>
        <v>/0/543</v>
      </c>
      <c r="C310" s="26" t="s">
        <v>309</v>
      </c>
      <c r="D310">
        <f>IF(TIM!Q307=TIM!Q307,TIM!Q307,"")</f>
        <v>0</v>
      </c>
      <c r="I310" t="str">
        <f>IFERROR(VLOOKUP(TIM!E307,ASSETs!$AA$6:$AB$7,2,FALSE),"")</f>
        <v/>
      </c>
      <c r="J310" s="2">
        <f>(IF(TIM!B307=TIM!B307,TIM!B307,""))</f>
        <v>0</v>
      </c>
      <c r="L310">
        <f>IF(TIM!C307=TIM!C307,TIM!C307,"")</f>
        <v>0</v>
      </c>
      <c r="M310" t="str">
        <f>ASSETs!W307</f>
        <v/>
      </c>
      <c r="O310">
        <f>IF(TIM!G307=TIM!G307,TIM!G307,"")</f>
        <v>0</v>
      </c>
      <c r="Q310" t="str">
        <f>ASSETs!$AD$2</f>
        <v>Phang-nga</v>
      </c>
      <c r="R310">
        <f>ASSETs!$AE$2</f>
        <v>99</v>
      </c>
      <c r="S310" s="11">
        <v>146</v>
      </c>
      <c r="T310" s="3">
        <f>IF(TIM!F307=TIM!F307,TIM!F307,"")</f>
        <v>0</v>
      </c>
      <c r="U310" s="18">
        <f>ASSETs!X307</f>
        <v>0</v>
      </c>
      <c r="V310" t="str">
        <f>ASSETs!$AA$2</f>
        <v>Phuket</v>
      </c>
      <c r="W310" s="3">
        <f>ASSETs!$AB$2</f>
        <v>99</v>
      </c>
      <c r="X310" s="6" t="str">
        <f>ASSETs!AN307</f>
        <v>/0/543</v>
      </c>
      <c r="Y310" t="str">
        <f>ASSETs!$AF$2</f>
        <v>12.00</v>
      </c>
      <c r="Z310" s="18">
        <v>1</v>
      </c>
    </row>
    <row r="311" spans="1:26" ht="15">
      <c r="A311" s="16">
        <f>ROWS($A$5:B311:C311)</f>
        <v>307</v>
      </c>
      <c r="B311" s="16" t="str">
        <f>ASSETs!AU308</f>
        <v>/0/543</v>
      </c>
      <c r="C311" s="26" t="s">
        <v>309</v>
      </c>
      <c r="D311">
        <f>IF(TIM!Q308=TIM!Q308,TIM!Q308,"")</f>
        <v>0</v>
      </c>
      <c r="I311" t="str">
        <f>IFERROR(VLOOKUP(TIM!E308,ASSETs!$AA$6:$AB$7,2,FALSE),"")</f>
        <v/>
      </c>
      <c r="J311" s="2">
        <f>(IF(TIM!B308=TIM!B308,TIM!B308,""))</f>
        <v>0</v>
      </c>
      <c r="L311">
        <f>IF(TIM!C308=TIM!C308,TIM!C308,"")</f>
        <v>0</v>
      </c>
      <c r="M311" t="str">
        <f>ASSETs!W308</f>
        <v/>
      </c>
      <c r="O311">
        <f>IF(TIM!G308=TIM!G308,TIM!G308,"")</f>
        <v>0</v>
      </c>
      <c r="Q311" t="str">
        <f>ASSETs!$AD$2</f>
        <v>Phang-nga</v>
      </c>
      <c r="R311">
        <f>ASSETs!$AE$2</f>
        <v>99</v>
      </c>
      <c r="S311" s="11">
        <v>146</v>
      </c>
      <c r="T311" s="3">
        <f>IF(TIM!F308=TIM!F308,TIM!F308,"")</f>
        <v>0</v>
      </c>
      <c r="U311" s="18">
        <f>ASSETs!X308</f>
        <v>0</v>
      </c>
      <c r="V311" t="str">
        <f>ASSETs!$AA$2</f>
        <v>Phuket</v>
      </c>
      <c r="W311" s="3">
        <f>ASSETs!$AB$2</f>
        <v>99</v>
      </c>
      <c r="X311" s="6" t="str">
        <f>ASSETs!AN308</f>
        <v>/0/543</v>
      </c>
      <c r="Y311" t="str">
        <f>ASSETs!$AF$2</f>
        <v>12.00</v>
      </c>
      <c r="Z311" s="18">
        <v>1</v>
      </c>
    </row>
    <row r="312" spans="1:26" ht="15">
      <c r="A312" s="16">
        <f>ROWS($A$5:B312:C312)</f>
        <v>308</v>
      </c>
      <c r="B312" s="16" t="str">
        <f>ASSETs!AU309</f>
        <v>/0/543</v>
      </c>
      <c r="C312" s="26" t="s">
        <v>309</v>
      </c>
      <c r="D312">
        <f>IF(TIM!Q309=TIM!Q309,TIM!Q309,"")</f>
        <v>0</v>
      </c>
      <c r="I312" t="str">
        <f>IFERROR(VLOOKUP(TIM!E309,ASSETs!$AA$6:$AB$7,2,FALSE),"")</f>
        <v/>
      </c>
      <c r="J312" s="2">
        <f>(IF(TIM!B309=TIM!B309,TIM!B309,""))</f>
        <v>0</v>
      </c>
      <c r="L312">
        <f>IF(TIM!C309=TIM!C309,TIM!C309,"")</f>
        <v>0</v>
      </c>
      <c r="M312" t="str">
        <f>ASSETs!W309</f>
        <v/>
      </c>
      <c r="O312">
        <f>IF(TIM!G309=TIM!G309,TIM!G309,"")</f>
        <v>0</v>
      </c>
      <c r="Q312" t="str">
        <f>ASSETs!$AD$2</f>
        <v>Phang-nga</v>
      </c>
      <c r="R312">
        <f>ASSETs!$AE$2</f>
        <v>99</v>
      </c>
      <c r="S312" s="11">
        <v>146</v>
      </c>
      <c r="T312" s="3">
        <f>IF(TIM!F309=TIM!F309,TIM!F309,"")</f>
        <v>0</v>
      </c>
      <c r="U312" s="18">
        <f>ASSETs!X309</f>
        <v>0</v>
      </c>
      <c r="V312" t="str">
        <f>ASSETs!$AA$2</f>
        <v>Phuket</v>
      </c>
      <c r="W312" s="3">
        <f>ASSETs!$AB$2</f>
        <v>99</v>
      </c>
      <c r="X312" s="6" t="str">
        <f>ASSETs!AN309</f>
        <v>/0/543</v>
      </c>
      <c r="Y312" t="str">
        <f>ASSETs!$AF$2</f>
        <v>12.00</v>
      </c>
      <c r="Z312" s="18">
        <v>1</v>
      </c>
    </row>
    <row r="313" spans="1:26" ht="15">
      <c r="A313" s="16">
        <f>ROWS($A$5:B313:C313)</f>
        <v>309</v>
      </c>
      <c r="B313" s="16" t="str">
        <f>ASSETs!AU310</f>
        <v>/0/543</v>
      </c>
      <c r="C313" s="26" t="s">
        <v>309</v>
      </c>
      <c r="D313">
        <f>IF(TIM!Q310=TIM!Q310,TIM!Q310,"")</f>
        <v>0</v>
      </c>
      <c r="I313" t="str">
        <f>IFERROR(VLOOKUP(TIM!E310,ASSETs!$AA$6:$AB$7,2,FALSE),"")</f>
        <v/>
      </c>
      <c r="J313" s="2">
        <f>(IF(TIM!B310=TIM!B310,TIM!B310,""))</f>
        <v>0</v>
      </c>
      <c r="L313">
        <f>IF(TIM!C310=TIM!C310,TIM!C310,"")</f>
        <v>0</v>
      </c>
      <c r="M313" t="str">
        <f>ASSETs!W310</f>
        <v/>
      </c>
      <c r="O313">
        <f>IF(TIM!G310=TIM!G310,TIM!G310,"")</f>
        <v>0</v>
      </c>
      <c r="Q313" t="str">
        <f>ASSETs!$AD$2</f>
        <v>Phang-nga</v>
      </c>
      <c r="R313">
        <f>ASSETs!$AE$2</f>
        <v>99</v>
      </c>
      <c r="S313" s="11">
        <v>146</v>
      </c>
      <c r="T313" s="3">
        <f>IF(TIM!F310=TIM!F310,TIM!F310,"")</f>
        <v>0</v>
      </c>
      <c r="U313" s="18">
        <f>ASSETs!X310</f>
        <v>0</v>
      </c>
      <c r="V313" t="str">
        <f>ASSETs!$AA$2</f>
        <v>Phuket</v>
      </c>
      <c r="W313" s="3">
        <f>ASSETs!$AB$2</f>
        <v>99</v>
      </c>
      <c r="X313" s="6" t="str">
        <f>ASSETs!AN310</f>
        <v>/0/543</v>
      </c>
      <c r="Y313" t="str">
        <f>ASSETs!$AF$2</f>
        <v>12.00</v>
      </c>
      <c r="Z313" s="18">
        <v>1</v>
      </c>
    </row>
    <row r="314" spans="1:26" ht="15">
      <c r="A314" s="16">
        <f>ROWS($A$5:B314:C314)</f>
        <v>310</v>
      </c>
      <c r="B314" s="16" t="str">
        <f>ASSETs!AU311</f>
        <v>/0/543</v>
      </c>
      <c r="C314" s="26" t="s">
        <v>309</v>
      </c>
      <c r="D314">
        <f>IF(TIM!Q311=TIM!Q311,TIM!Q311,"")</f>
        <v>0</v>
      </c>
      <c r="I314" t="str">
        <f>IFERROR(VLOOKUP(TIM!E311,ASSETs!$AA$6:$AB$7,2,FALSE),"")</f>
        <v/>
      </c>
      <c r="J314" s="2">
        <f>(IF(TIM!B311=TIM!B311,TIM!B311,""))</f>
        <v>0</v>
      </c>
      <c r="L314">
        <f>IF(TIM!C311=TIM!C311,TIM!C311,"")</f>
        <v>0</v>
      </c>
      <c r="M314" t="str">
        <f>ASSETs!W311</f>
        <v/>
      </c>
      <c r="O314">
        <f>IF(TIM!G311=TIM!G311,TIM!G311,"")</f>
        <v>0</v>
      </c>
      <c r="Q314" t="str">
        <f>ASSETs!$AD$2</f>
        <v>Phang-nga</v>
      </c>
      <c r="R314">
        <f>ASSETs!$AE$2</f>
        <v>99</v>
      </c>
      <c r="S314" s="11">
        <v>146</v>
      </c>
      <c r="T314" s="3">
        <f>IF(TIM!F311=TIM!F311,TIM!F311,"")</f>
        <v>0</v>
      </c>
      <c r="U314" s="18">
        <f>ASSETs!X311</f>
        <v>0</v>
      </c>
      <c r="V314" t="str">
        <f>ASSETs!$AA$2</f>
        <v>Phuket</v>
      </c>
      <c r="W314" s="3">
        <f>ASSETs!$AB$2</f>
        <v>99</v>
      </c>
      <c r="X314" s="6" t="str">
        <f>ASSETs!AN311</f>
        <v>/0/543</v>
      </c>
      <c r="Y314" t="str">
        <f>ASSETs!$AF$2</f>
        <v>12.00</v>
      </c>
      <c r="Z314" s="18">
        <v>1</v>
      </c>
    </row>
    <row r="315" spans="1:26" ht="15">
      <c r="A315" s="16">
        <f>ROWS($A$5:B315:C315)</f>
        <v>311</v>
      </c>
      <c r="B315" s="16" t="str">
        <f>ASSETs!AU312</f>
        <v>/0/543</v>
      </c>
      <c r="C315" s="26" t="s">
        <v>309</v>
      </c>
      <c r="D315">
        <f>IF(TIM!Q312=TIM!Q312,TIM!Q312,"")</f>
        <v>0</v>
      </c>
      <c r="I315" t="str">
        <f>IFERROR(VLOOKUP(TIM!E312,ASSETs!$AA$6:$AB$7,2,FALSE),"")</f>
        <v/>
      </c>
      <c r="J315" s="2">
        <f>(IF(TIM!B312=TIM!B312,TIM!B312,""))</f>
        <v>0</v>
      </c>
      <c r="L315">
        <f>IF(TIM!C312=TIM!C312,TIM!C312,"")</f>
        <v>0</v>
      </c>
      <c r="M315" t="str">
        <f>ASSETs!W312</f>
        <v/>
      </c>
      <c r="O315">
        <f>IF(TIM!G312=TIM!G312,TIM!G312,"")</f>
        <v>0</v>
      </c>
      <c r="Q315" t="str">
        <f>ASSETs!$AD$2</f>
        <v>Phang-nga</v>
      </c>
      <c r="R315">
        <f>ASSETs!$AE$2</f>
        <v>99</v>
      </c>
      <c r="S315" s="11">
        <v>146</v>
      </c>
      <c r="T315" s="3">
        <f>IF(TIM!F312=TIM!F312,TIM!F312,"")</f>
        <v>0</v>
      </c>
      <c r="U315" s="18">
        <f>ASSETs!X312</f>
        <v>0</v>
      </c>
      <c r="V315" t="str">
        <f>ASSETs!$AA$2</f>
        <v>Phuket</v>
      </c>
      <c r="W315" s="3">
        <f>ASSETs!$AB$2</f>
        <v>99</v>
      </c>
      <c r="X315" s="6" t="str">
        <f>ASSETs!AN312</f>
        <v>/0/543</v>
      </c>
      <c r="Y315" t="str">
        <f>ASSETs!$AF$2</f>
        <v>12.00</v>
      </c>
      <c r="Z315" s="18">
        <v>1</v>
      </c>
    </row>
    <row r="316" spans="1:26" ht="15">
      <c r="A316" s="16">
        <f>ROWS($A$5:B316:C316)</f>
        <v>312</v>
      </c>
      <c r="B316" s="16" t="str">
        <f>ASSETs!AU313</f>
        <v>/0/543</v>
      </c>
      <c r="C316" s="26" t="s">
        <v>309</v>
      </c>
      <c r="D316">
        <f>IF(TIM!Q313=TIM!Q313,TIM!Q313,"")</f>
        <v>0</v>
      </c>
      <c r="I316" t="str">
        <f>IFERROR(VLOOKUP(TIM!E313,ASSETs!$AA$6:$AB$7,2,FALSE),"")</f>
        <v/>
      </c>
      <c r="J316" s="2">
        <f>(IF(TIM!B313=TIM!B313,TIM!B313,""))</f>
        <v>0</v>
      </c>
      <c r="L316">
        <f>IF(TIM!C313=TIM!C313,TIM!C313,"")</f>
        <v>0</v>
      </c>
      <c r="M316" t="str">
        <f>ASSETs!W313</f>
        <v/>
      </c>
      <c r="O316">
        <f>IF(TIM!G313=TIM!G313,TIM!G313,"")</f>
        <v>0</v>
      </c>
      <c r="Q316" t="str">
        <f>ASSETs!$AD$2</f>
        <v>Phang-nga</v>
      </c>
      <c r="R316">
        <f>ASSETs!$AE$2</f>
        <v>99</v>
      </c>
      <c r="S316" s="11">
        <v>146</v>
      </c>
      <c r="T316" s="3">
        <f>IF(TIM!F313=TIM!F313,TIM!F313,"")</f>
        <v>0</v>
      </c>
      <c r="U316" s="18">
        <f>ASSETs!X313</f>
        <v>0</v>
      </c>
      <c r="V316" t="str">
        <f>ASSETs!$AA$2</f>
        <v>Phuket</v>
      </c>
      <c r="W316" s="3">
        <f>ASSETs!$AB$2</f>
        <v>99</v>
      </c>
      <c r="X316" s="6" t="str">
        <f>ASSETs!AN313</f>
        <v>/0/543</v>
      </c>
      <c r="Y316" t="str">
        <f>ASSETs!$AF$2</f>
        <v>12.00</v>
      </c>
      <c r="Z316" s="18">
        <v>1</v>
      </c>
    </row>
    <row r="317" spans="1:26" ht="15">
      <c r="A317" s="16">
        <f>ROWS($A$5:B317:C317)</f>
        <v>313</v>
      </c>
      <c r="B317" s="16" t="str">
        <f>ASSETs!AU314</f>
        <v>/0/543</v>
      </c>
      <c r="C317" s="26" t="s">
        <v>309</v>
      </c>
      <c r="D317">
        <f>IF(TIM!Q314=TIM!Q314,TIM!Q314,"")</f>
        <v>0</v>
      </c>
      <c r="I317" t="str">
        <f>IFERROR(VLOOKUP(TIM!E314,ASSETs!$AA$6:$AB$7,2,FALSE),"")</f>
        <v/>
      </c>
      <c r="J317" s="2">
        <f>(IF(TIM!B314=TIM!B314,TIM!B314,""))</f>
        <v>0</v>
      </c>
      <c r="L317">
        <f>IF(TIM!C314=TIM!C314,TIM!C314,"")</f>
        <v>0</v>
      </c>
      <c r="M317" t="str">
        <f>ASSETs!W314</f>
        <v/>
      </c>
      <c r="O317">
        <f>IF(TIM!G314=TIM!G314,TIM!G314,"")</f>
        <v>0</v>
      </c>
      <c r="Q317" t="str">
        <f>ASSETs!$AD$2</f>
        <v>Phang-nga</v>
      </c>
      <c r="R317">
        <f>ASSETs!$AE$2</f>
        <v>99</v>
      </c>
      <c r="S317" s="11">
        <v>146</v>
      </c>
      <c r="T317" s="3">
        <f>IF(TIM!F314=TIM!F314,TIM!F314,"")</f>
        <v>0</v>
      </c>
      <c r="U317" s="18">
        <f>ASSETs!X314</f>
        <v>0</v>
      </c>
      <c r="V317" t="str">
        <f>ASSETs!$AA$2</f>
        <v>Phuket</v>
      </c>
      <c r="W317" s="3">
        <f>ASSETs!$AB$2</f>
        <v>99</v>
      </c>
      <c r="X317" s="6" t="str">
        <f>ASSETs!AN314</f>
        <v>/0/543</v>
      </c>
      <c r="Y317" t="str">
        <f>ASSETs!$AF$2</f>
        <v>12.00</v>
      </c>
      <c r="Z317" s="18">
        <v>1</v>
      </c>
    </row>
    <row r="318" spans="1:26" ht="15">
      <c r="A318" s="16">
        <f>ROWS($A$5:B318:C318)</f>
        <v>314</v>
      </c>
      <c r="B318" s="16" t="str">
        <f>ASSETs!AU315</f>
        <v>/0/543</v>
      </c>
      <c r="C318" s="26" t="s">
        <v>309</v>
      </c>
      <c r="D318">
        <f>IF(TIM!Q315=TIM!Q315,TIM!Q315,"")</f>
        <v>0</v>
      </c>
      <c r="I318" t="str">
        <f>IFERROR(VLOOKUP(TIM!E315,ASSETs!$AA$6:$AB$7,2,FALSE),"")</f>
        <v/>
      </c>
      <c r="J318" s="2">
        <f>(IF(TIM!B315=TIM!B315,TIM!B315,""))</f>
        <v>0</v>
      </c>
      <c r="L318">
        <f>IF(TIM!C315=TIM!C315,TIM!C315,"")</f>
        <v>0</v>
      </c>
      <c r="M318" t="str">
        <f>ASSETs!W315</f>
        <v/>
      </c>
      <c r="O318">
        <f>IF(TIM!G315=TIM!G315,TIM!G315,"")</f>
        <v>0</v>
      </c>
      <c r="Q318" t="str">
        <f>ASSETs!$AD$2</f>
        <v>Phang-nga</v>
      </c>
      <c r="R318">
        <f>ASSETs!$AE$2</f>
        <v>99</v>
      </c>
      <c r="S318" s="11">
        <v>146</v>
      </c>
      <c r="T318" s="3">
        <f>IF(TIM!F315=TIM!F315,TIM!F315,"")</f>
        <v>0</v>
      </c>
      <c r="U318" s="18">
        <f>ASSETs!X315</f>
        <v>0</v>
      </c>
      <c r="V318" t="str">
        <f>ASSETs!$AA$2</f>
        <v>Phuket</v>
      </c>
      <c r="W318" s="3">
        <f>ASSETs!$AB$2</f>
        <v>99</v>
      </c>
      <c r="X318" s="6" t="str">
        <f>ASSETs!AN315</f>
        <v>/0/543</v>
      </c>
      <c r="Y318" t="str">
        <f>ASSETs!$AF$2</f>
        <v>12.00</v>
      </c>
      <c r="Z318" s="18">
        <v>1</v>
      </c>
    </row>
    <row r="319" spans="1:26" ht="15">
      <c r="A319" s="16">
        <f>ROWS($A$5:B319:C319)</f>
        <v>315</v>
      </c>
      <c r="B319" s="16" t="str">
        <f>ASSETs!AU316</f>
        <v>/0/543</v>
      </c>
      <c r="C319" s="26" t="s">
        <v>309</v>
      </c>
      <c r="D319">
        <f>IF(TIM!Q316=TIM!Q316,TIM!Q316,"")</f>
        <v>0</v>
      </c>
      <c r="I319" t="str">
        <f>IFERROR(VLOOKUP(TIM!E316,ASSETs!$AA$6:$AB$7,2,FALSE),"")</f>
        <v/>
      </c>
      <c r="J319" s="2">
        <f>(IF(TIM!B316=TIM!B316,TIM!B316,""))</f>
        <v>0</v>
      </c>
      <c r="L319">
        <f>IF(TIM!C316=TIM!C316,TIM!C316,"")</f>
        <v>0</v>
      </c>
      <c r="M319" t="str">
        <f>ASSETs!W316</f>
        <v/>
      </c>
      <c r="O319">
        <f>IF(TIM!G316=TIM!G316,TIM!G316,"")</f>
        <v>0</v>
      </c>
      <c r="Q319" t="str">
        <f>ASSETs!$AD$2</f>
        <v>Phang-nga</v>
      </c>
      <c r="R319">
        <f>ASSETs!$AE$2</f>
        <v>99</v>
      </c>
      <c r="S319" s="11">
        <v>146</v>
      </c>
      <c r="T319" s="3">
        <f>IF(TIM!F316=TIM!F316,TIM!F316,"")</f>
        <v>0</v>
      </c>
      <c r="U319" s="18">
        <f>ASSETs!X316</f>
        <v>0</v>
      </c>
      <c r="V319" t="str">
        <f>ASSETs!$AA$2</f>
        <v>Phuket</v>
      </c>
      <c r="W319" s="3">
        <f>ASSETs!$AB$2</f>
        <v>99</v>
      </c>
      <c r="X319" s="6" t="str">
        <f>ASSETs!AN316</f>
        <v>/0/543</v>
      </c>
      <c r="Y319" t="str">
        <f>ASSETs!$AF$2</f>
        <v>12.00</v>
      </c>
      <c r="Z319" s="18">
        <v>1</v>
      </c>
    </row>
    <row r="320" spans="1:26" ht="15">
      <c r="A320" s="16">
        <f>ROWS($A$5:B320:C320)</f>
        <v>316</v>
      </c>
      <c r="B320" s="16" t="str">
        <f>ASSETs!AU317</f>
        <v>/0/543</v>
      </c>
      <c r="C320" s="26" t="s">
        <v>309</v>
      </c>
      <c r="D320">
        <f>IF(TIM!Q317=TIM!Q317,TIM!Q317,"")</f>
        <v>0</v>
      </c>
      <c r="I320" t="str">
        <f>IFERROR(VLOOKUP(TIM!E317,ASSETs!$AA$6:$AB$7,2,FALSE),"")</f>
        <v/>
      </c>
      <c r="J320" s="2">
        <f>(IF(TIM!B317=TIM!B317,TIM!B317,""))</f>
        <v>0</v>
      </c>
      <c r="L320">
        <f>IF(TIM!C317=TIM!C317,TIM!C317,"")</f>
        <v>0</v>
      </c>
      <c r="M320" t="str">
        <f>ASSETs!W317</f>
        <v/>
      </c>
      <c r="O320">
        <f>IF(TIM!G317=TIM!G317,TIM!G317,"")</f>
        <v>0</v>
      </c>
      <c r="Q320" t="str">
        <f>ASSETs!$AD$2</f>
        <v>Phang-nga</v>
      </c>
      <c r="R320">
        <f>ASSETs!$AE$2</f>
        <v>99</v>
      </c>
      <c r="S320" s="11">
        <v>146</v>
      </c>
      <c r="T320" s="3">
        <f>IF(TIM!F317=TIM!F317,TIM!F317,"")</f>
        <v>0</v>
      </c>
      <c r="U320" s="18">
        <f>ASSETs!X317</f>
        <v>0</v>
      </c>
      <c r="V320" t="str">
        <f>ASSETs!$AA$2</f>
        <v>Phuket</v>
      </c>
      <c r="W320" s="3">
        <f>ASSETs!$AB$2</f>
        <v>99</v>
      </c>
      <c r="X320" s="6" t="str">
        <f>ASSETs!AN317</f>
        <v>/0/543</v>
      </c>
      <c r="Y320" t="str">
        <f>ASSETs!$AF$2</f>
        <v>12.00</v>
      </c>
      <c r="Z320" s="18">
        <v>1</v>
      </c>
    </row>
    <row r="321" spans="1:26" ht="15">
      <c r="A321" s="16">
        <f>ROWS($A$5:B321:C321)</f>
        <v>317</v>
      </c>
      <c r="B321" s="16" t="str">
        <f>ASSETs!AU318</f>
        <v>/0/543</v>
      </c>
      <c r="C321" s="26" t="s">
        <v>309</v>
      </c>
      <c r="D321">
        <f>IF(TIM!Q318=TIM!Q318,TIM!Q318,"")</f>
        <v>0</v>
      </c>
      <c r="I321" t="str">
        <f>IFERROR(VLOOKUP(TIM!E318,ASSETs!$AA$6:$AB$7,2,FALSE),"")</f>
        <v/>
      </c>
      <c r="J321" s="2">
        <f>(IF(TIM!B318=TIM!B318,TIM!B318,""))</f>
        <v>0</v>
      </c>
      <c r="L321">
        <f>IF(TIM!C318=TIM!C318,TIM!C318,"")</f>
        <v>0</v>
      </c>
      <c r="M321" t="str">
        <f>ASSETs!W318</f>
        <v/>
      </c>
      <c r="O321">
        <f>IF(TIM!G318=TIM!G318,TIM!G318,"")</f>
        <v>0</v>
      </c>
      <c r="Q321" t="str">
        <f>ASSETs!$AD$2</f>
        <v>Phang-nga</v>
      </c>
      <c r="R321">
        <f>ASSETs!$AE$2</f>
        <v>99</v>
      </c>
      <c r="S321" s="11">
        <v>146</v>
      </c>
      <c r="T321" s="3">
        <f>IF(TIM!F318=TIM!F318,TIM!F318,"")</f>
        <v>0</v>
      </c>
      <c r="U321" s="18">
        <f>ASSETs!X318</f>
        <v>0</v>
      </c>
      <c r="V321" t="str">
        <f>ASSETs!$AA$2</f>
        <v>Phuket</v>
      </c>
      <c r="W321" s="3">
        <f>ASSETs!$AB$2</f>
        <v>99</v>
      </c>
      <c r="X321" s="6" t="str">
        <f>ASSETs!AN318</f>
        <v>/0/543</v>
      </c>
      <c r="Y321" t="str">
        <f>ASSETs!$AF$2</f>
        <v>12.00</v>
      </c>
      <c r="Z321" s="18">
        <v>1</v>
      </c>
    </row>
    <row r="322" spans="1:26" ht="15">
      <c r="A322" s="16">
        <f>ROWS($A$5:B322:C322)</f>
        <v>318</v>
      </c>
      <c r="B322" s="16" t="str">
        <f>ASSETs!AU319</f>
        <v>/0/543</v>
      </c>
      <c r="C322" s="26" t="s">
        <v>309</v>
      </c>
      <c r="D322">
        <f>IF(TIM!Q319=TIM!Q319,TIM!Q319,"")</f>
        <v>0</v>
      </c>
      <c r="I322" t="str">
        <f>IFERROR(VLOOKUP(TIM!E319,ASSETs!$AA$6:$AB$7,2,FALSE),"")</f>
        <v/>
      </c>
      <c r="J322" s="2">
        <f>(IF(TIM!B319=TIM!B319,TIM!B319,""))</f>
        <v>0</v>
      </c>
      <c r="L322">
        <f>IF(TIM!C319=TIM!C319,TIM!C319,"")</f>
        <v>0</v>
      </c>
      <c r="M322" t="str">
        <f>ASSETs!W319</f>
        <v/>
      </c>
      <c r="O322">
        <f>IF(TIM!G319=TIM!G319,TIM!G319,"")</f>
        <v>0</v>
      </c>
      <c r="Q322" t="str">
        <f>ASSETs!$AD$2</f>
        <v>Phang-nga</v>
      </c>
      <c r="R322">
        <f>ASSETs!$AE$2</f>
        <v>99</v>
      </c>
      <c r="S322" s="11">
        <v>146</v>
      </c>
      <c r="T322" s="3">
        <f>IF(TIM!F319=TIM!F319,TIM!F319,"")</f>
        <v>0</v>
      </c>
      <c r="U322" s="18">
        <f>ASSETs!X319</f>
        <v>0</v>
      </c>
      <c r="V322" t="str">
        <f>ASSETs!$AA$2</f>
        <v>Phuket</v>
      </c>
      <c r="W322" s="3">
        <f>ASSETs!$AB$2</f>
        <v>99</v>
      </c>
      <c r="X322" s="6" t="str">
        <f>ASSETs!AN319</f>
        <v>/0/543</v>
      </c>
      <c r="Y322" t="str">
        <f>ASSETs!$AF$2</f>
        <v>12.00</v>
      </c>
      <c r="Z322" s="18">
        <v>1</v>
      </c>
    </row>
    <row r="323" spans="1:26" ht="15">
      <c r="A323" s="16">
        <f>ROWS($A$5:B323:C323)</f>
        <v>319</v>
      </c>
      <c r="B323" s="16" t="str">
        <f>ASSETs!AU320</f>
        <v>/0/543</v>
      </c>
      <c r="C323" s="26" t="s">
        <v>309</v>
      </c>
      <c r="D323">
        <f>IF(TIM!Q320=TIM!Q320,TIM!Q320,"")</f>
        <v>0</v>
      </c>
      <c r="I323" t="str">
        <f>IFERROR(VLOOKUP(TIM!E320,ASSETs!$AA$6:$AB$7,2,FALSE),"")</f>
        <v/>
      </c>
      <c r="J323" s="2">
        <f>(IF(TIM!B320=TIM!B320,TIM!B320,""))</f>
        <v>0</v>
      </c>
      <c r="L323">
        <f>IF(TIM!C320=TIM!C320,TIM!C320,"")</f>
        <v>0</v>
      </c>
      <c r="M323" t="str">
        <f>ASSETs!W320</f>
        <v/>
      </c>
      <c r="O323">
        <f>IF(TIM!G320=TIM!G320,TIM!G320,"")</f>
        <v>0</v>
      </c>
      <c r="Q323" t="str">
        <f>ASSETs!$AD$2</f>
        <v>Phang-nga</v>
      </c>
      <c r="R323">
        <f>ASSETs!$AE$2</f>
        <v>99</v>
      </c>
      <c r="S323" s="11">
        <v>146</v>
      </c>
      <c r="T323" s="3">
        <f>IF(TIM!F320=TIM!F320,TIM!F320,"")</f>
        <v>0</v>
      </c>
      <c r="U323" s="18">
        <f>ASSETs!X320</f>
        <v>0</v>
      </c>
      <c r="V323" t="str">
        <f>ASSETs!$AA$2</f>
        <v>Phuket</v>
      </c>
      <c r="W323" s="3">
        <f>ASSETs!$AB$2</f>
        <v>99</v>
      </c>
      <c r="X323" s="6" t="str">
        <f>ASSETs!AN320</f>
        <v>/0/543</v>
      </c>
      <c r="Y323" t="str">
        <f>ASSETs!$AF$2</f>
        <v>12.00</v>
      </c>
      <c r="Z323" s="18">
        <v>1</v>
      </c>
    </row>
    <row r="324" spans="1:26" ht="15">
      <c r="A324" s="16">
        <f>ROWS($A$5:B324:C324)</f>
        <v>320</v>
      </c>
      <c r="B324" s="16" t="str">
        <f>ASSETs!AU321</f>
        <v>/0/543</v>
      </c>
      <c r="C324" s="26" t="s">
        <v>309</v>
      </c>
      <c r="D324">
        <f>IF(TIM!Q321=TIM!Q321,TIM!Q321,"")</f>
        <v>0</v>
      </c>
      <c r="I324" t="str">
        <f>IFERROR(VLOOKUP(TIM!E321,ASSETs!$AA$6:$AB$7,2,FALSE),"")</f>
        <v/>
      </c>
      <c r="J324" s="2">
        <f>(IF(TIM!B321=TIM!B321,TIM!B321,""))</f>
        <v>0</v>
      </c>
      <c r="L324">
        <f>IF(TIM!C321=TIM!C321,TIM!C321,"")</f>
        <v>0</v>
      </c>
      <c r="M324" t="str">
        <f>ASSETs!W321</f>
        <v/>
      </c>
      <c r="O324">
        <f>IF(TIM!G321=TIM!G321,TIM!G321,"")</f>
        <v>0</v>
      </c>
      <c r="Q324" t="str">
        <f>ASSETs!$AD$2</f>
        <v>Phang-nga</v>
      </c>
      <c r="R324">
        <f>ASSETs!$AE$2</f>
        <v>99</v>
      </c>
      <c r="S324" s="11">
        <v>146</v>
      </c>
      <c r="T324" s="3">
        <f>IF(TIM!F321=TIM!F321,TIM!F321,"")</f>
        <v>0</v>
      </c>
      <c r="U324" s="18">
        <f>ASSETs!X321</f>
        <v>0</v>
      </c>
      <c r="V324" t="str">
        <f>ASSETs!$AA$2</f>
        <v>Phuket</v>
      </c>
      <c r="W324" s="3">
        <f>ASSETs!$AB$2</f>
        <v>99</v>
      </c>
      <c r="X324" s="6" t="str">
        <f>ASSETs!AN321</f>
        <v>/0/543</v>
      </c>
      <c r="Y324" t="str">
        <f>ASSETs!$AF$2</f>
        <v>12.00</v>
      </c>
      <c r="Z324" s="18">
        <v>1</v>
      </c>
    </row>
    <row r="325" spans="1:26" ht="15">
      <c r="A325" s="16">
        <f>ROWS($A$5:B325:C325)</f>
        <v>321</v>
      </c>
      <c r="B325" s="16" t="str">
        <f>ASSETs!AU322</f>
        <v>/0/543</v>
      </c>
      <c r="C325" s="26" t="s">
        <v>309</v>
      </c>
      <c r="D325">
        <f>IF(TIM!Q322=TIM!Q322,TIM!Q322,"")</f>
        <v>0</v>
      </c>
      <c r="I325" t="str">
        <f>IFERROR(VLOOKUP(TIM!E322,ASSETs!$AA$6:$AB$7,2,FALSE),"")</f>
        <v/>
      </c>
      <c r="J325" s="2">
        <f>(IF(TIM!B322=TIM!B322,TIM!B322,""))</f>
        <v>0</v>
      </c>
      <c r="L325">
        <f>IF(TIM!C322=TIM!C322,TIM!C322,"")</f>
        <v>0</v>
      </c>
      <c r="M325" t="str">
        <f>ASSETs!W322</f>
        <v/>
      </c>
      <c r="O325">
        <f>IF(TIM!G322=TIM!G322,TIM!G322,"")</f>
        <v>0</v>
      </c>
      <c r="Q325" t="str">
        <f>ASSETs!$AD$2</f>
        <v>Phang-nga</v>
      </c>
      <c r="R325">
        <f>ASSETs!$AE$2</f>
        <v>99</v>
      </c>
      <c r="S325" s="11">
        <v>146</v>
      </c>
      <c r="T325" s="3">
        <f>IF(TIM!F322=TIM!F322,TIM!F322,"")</f>
        <v>0</v>
      </c>
      <c r="U325" s="18">
        <f>ASSETs!X322</f>
        <v>0</v>
      </c>
      <c r="V325" t="str">
        <f>ASSETs!$AA$2</f>
        <v>Phuket</v>
      </c>
      <c r="W325" s="3">
        <f>ASSETs!$AB$2</f>
        <v>99</v>
      </c>
      <c r="X325" s="6" t="str">
        <f>ASSETs!AN322</f>
        <v>/0/543</v>
      </c>
      <c r="Y325" t="str">
        <f>ASSETs!$AF$2</f>
        <v>12.00</v>
      </c>
      <c r="Z325" s="18">
        <v>1</v>
      </c>
    </row>
    <row r="326" spans="1:26" ht="15">
      <c r="A326" s="16">
        <f>ROWS($A$5:B326:C326)</f>
        <v>322</v>
      </c>
      <c r="B326" s="16" t="str">
        <f>ASSETs!AU323</f>
        <v>/0/543</v>
      </c>
      <c r="C326" s="26" t="s">
        <v>309</v>
      </c>
      <c r="D326">
        <f>IF(TIM!Q323=TIM!Q323,TIM!Q323,"")</f>
        <v>0</v>
      </c>
      <c r="I326" t="str">
        <f>IFERROR(VLOOKUP(TIM!E323,ASSETs!$AA$6:$AB$7,2,FALSE),"")</f>
        <v/>
      </c>
      <c r="J326" s="2">
        <f>(IF(TIM!B323=TIM!B323,TIM!B323,""))</f>
        <v>0</v>
      </c>
      <c r="L326">
        <f>IF(TIM!C323=TIM!C323,TIM!C323,"")</f>
        <v>0</v>
      </c>
      <c r="M326" t="str">
        <f>ASSETs!W323</f>
        <v/>
      </c>
      <c r="O326">
        <f>IF(TIM!G323=TIM!G323,TIM!G323,"")</f>
        <v>0</v>
      </c>
      <c r="Q326" t="str">
        <f>ASSETs!$AD$2</f>
        <v>Phang-nga</v>
      </c>
      <c r="R326">
        <f>ASSETs!$AE$2</f>
        <v>99</v>
      </c>
      <c r="S326" s="11">
        <v>146</v>
      </c>
      <c r="T326" s="3">
        <f>IF(TIM!F323=TIM!F323,TIM!F323,"")</f>
        <v>0</v>
      </c>
      <c r="U326" s="18">
        <f>ASSETs!X323</f>
        <v>0</v>
      </c>
      <c r="V326" t="str">
        <f>ASSETs!$AA$2</f>
        <v>Phuket</v>
      </c>
      <c r="W326" s="3">
        <f>ASSETs!$AB$2</f>
        <v>99</v>
      </c>
      <c r="X326" s="6" t="str">
        <f>ASSETs!AN323</f>
        <v>/0/543</v>
      </c>
      <c r="Y326" t="str">
        <f>ASSETs!$AF$2</f>
        <v>12.00</v>
      </c>
      <c r="Z326" s="18">
        <v>1</v>
      </c>
    </row>
    <row r="327" spans="1:26" ht="15">
      <c r="A327" s="16">
        <f>ROWS($A$5:B327:C327)</f>
        <v>323</v>
      </c>
      <c r="B327" s="16" t="str">
        <f>ASSETs!AU324</f>
        <v>/0/543</v>
      </c>
      <c r="C327" s="26" t="s">
        <v>309</v>
      </c>
      <c r="D327">
        <f>IF(TIM!Q324=TIM!Q324,TIM!Q324,"")</f>
        <v>0</v>
      </c>
      <c r="I327" t="str">
        <f>IFERROR(VLOOKUP(TIM!E324,ASSETs!$AA$6:$AB$7,2,FALSE),"")</f>
        <v/>
      </c>
      <c r="J327" s="2">
        <f>(IF(TIM!B324=TIM!B324,TIM!B324,""))</f>
        <v>0</v>
      </c>
      <c r="L327">
        <f>IF(TIM!C324=TIM!C324,TIM!C324,"")</f>
        <v>0</v>
      </c>
      <c r="M327" t="str">
        <f>ASSETs!W324</f>
        <v/>
      </c>
      <c r="O327">
        <f>IF(TIM!G324=TIM!G324,TIM!G324,"")</f>
        <v>0</v>
      </c>
      <c r="Q327" t="str">
        <f>ASSETs!$AD$2</f>
        <v>Phang-nga</v>
      </c>
      <c r="R327">
        <f>ASSETs!$AE$2</f>
        <v>99</v>
      </c>
      <c r="S327" s="11">
        <v>146</v>
      </c>
      <c r="T327" s="3">
        <f>IF(TIM!F324=TIM!F324,TIM!F324,"")</f>
        <v>0</v>
      </c>
      <c r="U327" s="18">
        <f>ASSETs!X324</f>
        <v>0</v>
      </c>
      <c r="V327" t="str">
        <f>ASSETs!$AA$2</f>
        <v>Phuket</v>
      </c>
      <c r="W327" s="3">
        <f>ASSETs!$AB$2</f>
        <v>99</v>
      </c>
      <c r="X327" s="6" t="str">
        <f>ASSETs!AN324</f>
        <v>/0/543</v>
      </c>
      <c r="Y327" t="str">
        <f>ASSETs!$AF$2</f>
        <v>12.00</v>
      </c>
      <c r="Z327" s="18">
        <v>1</v>
      </c>
    </row>
    <row r="328" spans="1:26" ht="15">
      <c r="A328" s="16">
        <f>ROWS($A$5:B328:C328)</f>
        <v>324</v>
      </c>
      <c r="B328" s="16" t="str">
        <f>ASSETs!AU325</f>
        <v>/0/543</v>
      </c>
      <c r="C328" s="26" t="s">
        <v>309</v>
      </c>
      <c r="D328">
        <f>IF(TIM!Q325=TIM!Q325,TIM!Q325,"")</f>
        <v>0</v>
      </c>
      <c r="I328" t="str">
        <f>IFERROR(VLOOKUP(TIM!E325,ASSETs!$AA$6:$AB$7,2,FALSE),"")</f>
        <v/>
      </c>
      <c r="J328" s="2">
        <f>(IF(TIM!B325=TIM!B325,TIM!B325,""))</f>
        <v>0</v>
      </c>
      <c r="L328">
        <f>IF(TIM!C325=TIM!C325,TIM!C325,"")</f>
        <v>0</v>
      </c>
      <c r="M328" t="str">
        <f>ASSETs!W325</f>
        <v/>
      </c>
      <c r="O328">
        <f>IF(TIM!G325=TIM!G325,TIM!G325,"")</f>
        <v>0</v>
      </c>
      <c r="Q328" t="str">
        <f>ASSETs!$AD$2</f>
        <v>Phang-nga</v>
      </c>
      <c r="R328">
        <f>ASSETs!$AE$2</f>
        <v>99</v>
      </c>
      <c r="S328" s="11">
        <v>146</v>
      </c>
      <c r="T328" s="3">
        <f>IF(TIM!F325=TIM!F325,TIM!F325,"")</f>
        <v>0</v>
      </c>
      <c r="U328" s="18">
        <f>ASSETs!X325</f>
        <v>0</v>
      </c>
      <c r="V328" t="str">
        <f>ASSETs!$AA$2</f>
        <v>Phuket</v>
      </c>
      <c r="W328" s="3">
        <f>ASSETs!$AB$2</f>
        <v>99</v>
      </c>
      <c r="X328" s="6" t="str">
        <f>ASSETs!AN325</f>
        <v>/0/543</v>
      </c>
      <c r="Y328" t="str">
        <f>ASSETs!$AF$2</f>
        <v>12.00</v>
      </c>
      <c r="Z328" s="18">
        <v>1</v>
      </c>
    </row>
    <row r="329" spans="1:26" ht="15">
      <c r="A329" s="16">
        <f>ROWS($A$5:B329:C329)</f>
        <v>325</v>
      </c>
      <c r="B329" s="16" t="str">
        <f>ASSETs!AU326</f>
        <v>/0/543</v>
      </c>
      <c r="C329" s="26" t="s">
        <v>309</v>
      </c>
      <c r="D329">
        <f>IF(TIM!Q326=TIM!Q326,TIM!Q326,"")</f>
        <v>0</v>
      </c>
      <c r="I329" t="str">
        <f>IFERROR(VLOOKUP(TIM!E326,ASSETs!$AA$6:$AB$7,2,FALSE),"")</f>
        <v/>
      </c>
      <c r="J329" s="2">
        <f>(IF(TIM!B326=TIM!B326,TIM!B326,""))</f>
        <v>0</v>
      </c>
      <c r="L329">
        <f>IF(TIM!C326=TIM!C326,TIM!C326,"")</f>
        <v>0</v>
      </c>
      <c r="M329" t="str">
        <f>ASSETs!W326</f>
        <v/>
      </c>
      <c r="O329">
        <f>IF(TIM!G326=TIM!G326,TIM!G326,"")</f>
        <v>0</v>
      </c>
      <c r="Q329" t="str">
        <f>ASSETs!$AD$2</f>
        <v>Phang-nga</v>
      </c>
      <c r="R329">
        <f>ASSETs!$AE$2</f>
        <v>99</v>
      </c>
      <c r="S329" s="11">
        <v>146</v>
      </c>
      <c r="T329" s="3">
        <f>IF(TIM!F326=TIM!F326,TIM!F326,"")</f>
        <v>0</v>
      </c>
      <c r="U329" s="18">
        <f>ASSETs!X326</f>
        <v>0</v>
      </c>
      <c r="V329" t="str">
        <f>ASSETs!$AA$2</f>
        <v>Phuket</v>
      </c>
      <c r="W329" s="3">
        <f>ASSETs!$AB$2</f>
        <v>99</v>
      </c>
      <c r="X329" s="6" t="str">
        <f>ASSETs!AN326</f>
        <v>/0/543</v>
      </c>
      <c r="Y329" t="str">
        <f>ASSETs!$AF$2</f>
        <v>12.00</v>
      </c>
      <c r="Z329" s="18">
        <v>1</v>
      </c>
    </row>
    <row r="330" spans="1:26" ht="15">
      <c r="A330" s="16">
        <f>ROWS($A$5:B330:C330)</f>
        <v>326</v>
      </c>
      <c r="B330" s="16" t="str">
        <f>ASSETs!AU327</f>
        <v>/0/543</v>
      </c>
      <c r="C330" s="26" t="s">
        <v>309</v>
      </c>
      <c r="D330">
        <f>IF(TIM!Q327=TIM!Q327,TIM!Q327,"")</f>
        <v>0</v>
      </c>
      <c r="I330" t="str">
        <f>IFERROR(VLOOKUP(TIM!E327,ASSETs!$AA$6:$AB$7,2,FALSE),"")</f>
        <v/>
      </c>
      <c r="J330" s="2">
        <f>(IF(TIM!B327=TIM!B327,TIM!B327,""))</f>
        <v>0</v>
      </c>
      <c r="L330">
        <f>IF(TIM!C327=TIM!C327,TIM!C327,"")</f>
        <v>0</v>
      </c>
      <c r="M330" t="str">
        <f>ASSETs!W327</f>
        <v/>
      </c>
      <c r="O330">
        <f>IF(TIM!G327=TIM!G327,TIM!G327,"")</f>
        <v>0</v>
      </c>
      <c r="Q330" t="str">
        <f>ASSETs!$AD$2</f>
        <v>Phang-nga</v>
      </c>
      <c r="R330">
        <f>ASSETs!$AE$2</f>
        <v>99</v>
      </c>
      <c r="S330" s="11">
        <v>146</v>
      </c>
      <c r="T330" s="3">
        <f>IF(TIM!F327=TIM!F327,TIM!F327,"")</f>
        <v>0</v>
      </c>
      <c r="U330" s="18">
        <f>ASSETs!X327</f>
        <v>0</v>
      </c>
      <c r="V330" t="str">
        <f>ASSETs!$AA$2</f>
        <v>Phuket</v>
      </c>
      <c r="W330" s="3">
        <f>ASSETs!$AB$2</f>
        <v>99</v>
      </c>
      <c r="X330" s="6" t="str">
        <f>ASSETs!AN327</f>
        <v>/0/543</v>
      </c>
      <c r="Y330" t="str">
        <f>ASSETs!$AF$2</f>
        <v>12.00</v>
      </c>
      <c r="Z330" s="18">
        <v>1</v>
      </c>
    </row>
    <row r="331" spans="1:26" ht="15">
      <c r="A331" s="16">
        <f>ROWS($A$5:B331:C331)</f>
        <v>327</v>
      </c>
      <c r="B331" s="16" t="str">
        <f>ASSETs!AU328</f>
        <v>/0/543</v>
      </c>
      <c r="C331" s="26" t="s">
        <v>309</v>
      </c>
      <c r="D331">
        <f>IF(TIM!Q328=TIM!Q328,TIM!Q328,"")</f>
        <v>0</v>
      </c>
      <c r="I331" t="str">
        <f>IFERROR(VLOOKUP(TIM!E328,ASSETs!$AA$6:$AB$7,2,FALSE),"")</f>
        <v/>
      </c>
      <c r="J331" s="2">
        <f>(IF(TIM!B328=TIM!B328,TIM!B328,""))</f>
        <v>0</v>
      </c>
      <c r="L331">
        <f>IF(TIM!C328=TIM!C328,TIM!C328,"")</f>
        <v>0</v>
      </c>
      <c r="M331" t="str">
        <f>ASSETs!W328</f>
        <v/>
      </c>
      <c r="O331">
        <f>IF(TIM!G328=TIM!G328,TIM!G328,"")</f>
        <v>0</v>
      </c>
      <c r="Q331" t="str">
        <f>ASSETs!$AD$2</f>
        <v>Phang-nga</v>
      </c>
      <c r="R331">
        <f>ASSETs!$AE$2</f>
        <v>99</v>
      </c>
      <c r="S331" s="11">
        <v>146</v>
      </c>
      <c r="T331" s="3">
        <f>IF(TIM!F328=TIM!F328,TIM!F328,"")</f>
        <v>0</v>
      </c>
      <c r="U331" s="18">
        <f>ASSETs!X328</f>
        <v>0</v>
      </c>
      <c r="V331" t="str">
        <f>ASSETs!$AA$2</f>
        <v>Phuket</v>
      </c>
      <c r="W331" s="3">
        <f>ASSETs!$AB$2</f>
        <v>99</v>
      </c>
      <c r="X331" s="6" t="str">
        <f>ASSETs!AN328</f>
        <v>/0/543</v>
      </c>
      <c r="Y331" t="str">
        <f>ASSETs!$AF$2</f>
        <v>12.00</v>
      </c>
      <c r="Z331" s="18">
        <v>1</v>
      </c>
    </row>
    <row r="332" spans="1:26" ht="15">
      <c r="A332" s="16">
        <f>ROWS($A$5:B332:C332)</f>
        <v>328</v>
      </c>
      <c r="B332" s="16">
        <f>ASSETs!AU329</f>
        <v>0</v>
      </c>
      <c r="C332" s="26" t="s">
        <v>309</v>
      </c>
      <c r="D332">
        <f>IF(TIM!Q329=TIM!Q329,TIM!Q329,"")</f>
        <v>0</v>
      </c>
      <c r="I332" t="str">
        <f>IFERROR(VLOOKUP(TIM!E329,ASSETs!$AA$6:$AB$7,2,FALSE),"")</f>
        <v/>
      </c>
      <c r="J332" s="2">
        <f>(IF(TIM!B329=TIM!B329,TIM!B329,""))</f>
        <v>0</v>
      </c>
      <c r="L332">
        <f>IF(TIM!C329=TIM!C329,TIM!C329,"")</f>
        <v>0</v>
      </c>
      <c r="M332" t="str">
        <f>ASSETs!W329</f>
        <v/>
      </c>
      <c r="O332">
        <f>IF(TIM!G329=TIM!G329,TIM!G329,"")</f>
        <v>0</v>
      </c>
      <c r="Q332" t="str">
        <f>ASSETs!$AD$2</f>
        <v>Phang-nga</v>
      </c>
      <c r="R332">
        <f>ASSETs!$AE$2</f>
        <v>99</v>
      </c>
      <c r="S332" s="11">
        <v>146</v>
      </c>
      <c r="T332" s="3">
        <f>IF(TIM!F329=TIM!F329,TIM!F329,"")</f>
        <v>0</v>
      </c>
      <c r="U332" s="18">
        <f>ASSETs!X329</f>
        <v>0</v>
      </c>
      <c r="V332" t="str">
        <f>ASSETs!$AA$2</f>
        <v>Phuket</v>
      </c>
      <c r="W332" s="3">
        <f>ASSETs!$AB$2</f>
        <v>99</v>
      </c>
      <c r="X332" s="6">
        <f>ASSETs!AN329</f>
        <v>0</v>
      </c>
      <c r="Y332" t="str">
        <f>ASSETs!$AF$2</f>
        <v>12.00</v>
      </c>
      <c r="Z332" s="18">
        <v>1</v>
      </c>
    </row>
    <row r="333" spans="1:26" ht="15">
      <c r="A333" s="16">
        <f>ROWS($A$5:B333:C333)</f>
        <v>329</v>
      </c>
      <c r="B333" s="16">
        <f>ASSETs!AU330</f>
        <v>0</v>
      </c>
      <c r="C333" s="26" t="s">
        <v>309</v>
      </c>
      <c r="D333">
        <f>IF(TIM!Q330=TIM!Q330,TIM!Q330,"")</f>
        <v>0</v>
      </c>
      <c r="I333" t="str">
        <f>IFERROR(VLOOKUP(TIM!E330,ASSETs!$AA$6:$AB$7,2,FALSE),"")</f>
        <v/>
      </c>
      <c r="J333" s="2">
        <f>(IF(TIM!B330=TIM!B330,TIM!B330,""))</f>
        <v>0</v>
      </c>
      <c r="L333">
        <f>IF(TIM!C330=TIM!C330,TIM!C330,"")</f>
        <v>0</v>
      </c>
      <c r="M333">
        <f>ASSETs!W330</f>
        <v>0</v>
      </c>
      <c r="O333">
        <f>IF(TIM!G330=TIM!G330,TIM!G330,"")</f>
        <v>0</v>
      </c>
      <c r="Q333" t="str">
        <f>ASSETs!$AD$2</f>
        <v>Phang-nga</v>
      </c>
      <c r="R333">
        <f>ASSETs!$AE$2</f>
        <v>99</v>
      </c>
      <c r="S333" s="11">
        <v>146</v>
      </c>
      <c r="T333" s="3">
        <f>IF(TIM!F330=TIM!F330,TIM!F330,"")</f>
        <v>0</v>
      </c>
      <c r="U333" s="18">
        <f>ASSETs!X330</f>
        <v>0</v>
      </c>
      <c r="V333" t="str">
        <f>ASSETs!$AA$2</f>
        <v>Phuket</v>
      </c>
      <c r="W333" s="3">
        <f>ASSETs!$AB$2</f>
        <v>99</v>
      </c>
      <c r="X333" s="6">
        <f>ASSETs!AN330</f>
        <v>0</v>
      </c>
      <c r="Y333" t="str">
        <f>ASSETs!$AF$2</f>
        <v>12.00</v>
      </c>
      <c r="Z333" s="18">
        <v>1</v>
      </c>
    </row>
    <row r="334" spans="1:26" ht="15">
      <c r="A334" s="16">
        <f>ROWS($A$5:B334:C334)</f>
        <v>330</v>
      </c>
      <c r="B334" s="16">
        <f>ASSETs!AU331</f>
        <v>0</v>
      </c>
      <c r="C334" s="26" t="s">
        <v>309</v>
      </c>
      <c r="D334">
        <f>IF(TIM!Q331=TIM!Q331,TIM!Q331,"")</f>
        <v>0</v>
      </c>
      <c r="I334" t="str">
        <f>IFERROR(VLOOKUP(TIM!E331,ASSETs!$AA$6:$AB$7,2,FALSE),"")</f>
        <v/>
      </c>
      <c r="J334" s="2">
        <f>(IF(TIM!B331=TIM!B331,TIM!B331,""))</f>
        <v>0</v>
      </c>
      <c r="L334">
        <f>IF(TIM!C331=TIM!C331,TIM!C331,"")</f>
        <v>0</v>
      </c>
      <c r="M334">
        <f>ASSETs!W331</f>
        <v>0</v>
      </c>
      <c r="O334">
        <f>IF(TIM!G331=TIM!G331,TIM!G331,"")</f>
        <v>0</v>
      </c>
      <c r="Q334" t="str">
        <f>ASSETs!$AD$2</f>
        <v>Phang-nga</v>
      </c>
      <c r="R334">
        <f>ASSETs!$AE$2</f>
        <v>99</v>
      </c>
      <c r="S334" s="11">
        <v>146</v>
      </c>
      <c r="T334" s="3">
        <f>IF(TIM!F331=TIM!F331,TIM!F331,"")</f>
        <v>0</v>
      </c>
      <c r="U334" s="18">
        <f>ASSETs!X331</f>
        <v>0</v>
      </c>
      <c r="V334" t="str">
        <f>ASSETs!$AA$2</f>
        <v>Phuket</v>
      </c>
      <c r="W334" s="3">
        <f>ASSETs!$AB$2</f>
        <v>99</v>
      </c>
      <c r="X334" s="6">
        <f>ASSETs!AN331</f>
        <v>0</v>
      </c>
      <c r="Y334" t="str">
        <f>ASSETs!$AF$2</f>
        <v>12.00</v>
      </c>
      <c r="Z334" s="18">
        <v>1</v>
      </c>
    </row>
    <row r="335" spans="1:26" ht="15">
      <c r="A335" s="16">
        <f>ROWS($A$5:B335:C335)</f>
        <v>331</v>
      </c>
      <c r="B335" s="16">
        <f>ASSETs!AU332</f>
        <v>0</v>
      </c>
      <c r="C335" s="26" t="s">
        <v>309</v>
      </c>
      <c r="D335">
        <f>IF(TIM!Q332=TIM!Q332,TIM!Q332,"")</f>
        <v>0</v>
      </c>
      <c r="I335" t="str">
        <f>IFERROR(VLOOKUP(TIM!E332,ASSETs!$AA$6:$AB$7,2,FALSE),"")</f>
        <v/>
      </c>
      <c r="J335" s="2">
        <f>(IF(TIM!B332=TIM!B332,TIM!B332,""))</f>
        <v>0</v>
      </c>
      <c r="L335">
        <f>IF(TIM!C332=TIM!C332,TIM!C332,"")</f>
        <v>0</v>
      </c>
      <c r="M335">
        <f>ASSETs!W332</f>
        <v>0</v>
      </c>
      <c r="O335">
        <f>IF(TIM!G332=TIM!G332,TIM!G332,"")</f>
        <v>0</v>
      </c>
      <c r="Q335" t="str">
        <f>ASSETs!$AD$2</f>
        <v>Phang-nga</v>
      </c>
      <c r="R335">
        <f>ASSETs!$AE$2</f>
        <v>99</v>
      </c>
      <c r="S335" s="11">
        <v>146</v>
      </c>
      <c r="T335" s="3">
        <f>IF(TIM!F332=TIM!F332,TIM!F332,"")</f>
        <v>0</v>
      </c>
      <c r="U335" s="18">
        <f>ASSETs!X332</f>
        <v>0</v>
      </c>
      <c r="V335" t="str">
        <f>ASSETs!$AA$2</f>
        <v>Phuket</v>
      </c>
      <c r="W335" s="3">
        <f>ASSETs!$AB$2</f>
        <v>99</v>
      </c>
      <c r="X335" s="6">
        <f>ASSETs!AN332</f>
        <v>0</v>
      </c>
      <c r="Y335" t="str">
        <f>ASSETs!$AF$2</f>
        <v>12.00</v>
      </c>
      <c r="Z335" s="18">
        <v>1</v>
      </c>
    </row>
    <row r="336" spans="1:26" ht="15">
      <c r="A336" s="16">
        <f>ROWS($A$5:B336:C336)</f>
        <v>332</v>
      </c>
      <c r="B336" s="16">
        <f>ASSETs!AU333</f>
        <v>0</v>
      </c>
      <c r="C336" s="26" t="s">
        <v>309</v>
      </c>
      <c r="D336">
        <f>IF(TIM!Q333=TIM!Q333,TIM!Q333,"")</f>
        <v>0</v>
      </c>
      <c r="I336" t="str">
        <f>IFERROR(VLOOKUP(TIM!E333,ASSETs!$AA$6:$AB$7,2,FALSE),"")</f>
        <v/>
      </c>
      <c r="J336" s="2">
        <f>(IF(TIM!B333=TIM!B333,TIM!B333,""))</f>
        <v>0</v>
      </c>
      <c r="L336">
        <f>IF(TIM!C333=TIM!C333,TIM!C333,"")</f>
        <v>0</v>
      </c>
      <c r="M336">
        <f>ASSETs!W333</f>
        <v>0</v>
      </c>
      <c r="O336">
        <f>IF(TIM!G333=TIM!G333,TIM!G333,"")</f>
        <v>0</v>
      </c>
      <c r="Q336" t="str">
        <f>ASSETs!$AD$2</f>
        <v>Phang-nga</v>
      </c>
      <c r="R336">
        <f>ASSETs!$AE$2</f>
        <v>99</v>
      </c>
      <c r="S336" s="11">
        <v>146</v>
      </c>
      <c r="T336" s="3">
        <f>IF(TIM!F333=TIM!F333,TIM!F333,"")</f>
        <v>0</v>
      </c>
      <c r="U336" s="18">
        <f>ASSETs!X333</f>
        <v>0</v>
      </c>
      <c r="V336" t="str">
        <f>ASSETs!$AA$2</f>
        <v>Phuket</v>
      </c>
      <c r="W336" s="3">
        <f>ASSETs!$AB$2</f>
        <v>99</v>
      </c>
      <c r="X336" s="6">
        <f>ASSETs!AN333</f>
        <v>0</v>
      </c>
      <c r="Y336" t="str">
        <f>ASSETs!$AF$2</f>
        <v>12.00</v>
      </c>
      <c r="Z336" s="18">
        <v>1</v>
      </c>
    </row>
    <row r="337" spans="1:26" ht="15">
      <c r="A337" s="16">
        <f>ROWS($A$5:B337:C337)</f>
        <v>333</v>
      </c>
      <c r="B337" s="16">
        <f>ASSETs!AU334</f>
        <v>0</v>
      </c>
      <c r="C337" s="26" t="s">
        <v>309</v>
      </c>
      <c r="D337">
        <f>IF(TIM!Q334=TIM!Q334,TIM!Q334,"")</f>
        <v>0</v>
      </c>
      <c r="I337" t="str">
        <f>IFERROR(VLOOKUP(TIM!E334,ASSETs!$AA$6:$AB$7,2,FALSE),"")</f>
        <v/>
      </c>
      <c r="J337" s="2">
        <f>(IF(TIM!B334=TIM!B334,TIM!B334,""))</f>
        <v>0</v>
      </c>
      <c r="L337">
        <f>IF(TIM!C334=TIM!C334,TIM!C334,"")</f>
        <v>0</v>
      </c>
      <c r="M337">
        <f>ASSETs!W334</f>
        <v>0</v>
      </c>
      <c r="O337">
        <f>IF(TIM!G334=TIM!G334,TIM!G334,"")</f>
        <v>0</v>
      </c>
      <c r="Q337" t="str">
        <f>ASSETs!$AD$2</f>
        <v>Phang-nga</v>
      </c>
      <c r="R337">
        <f>ASSETs!$AE$2</f>
        <v>99</v>
      </c>
      <c r="S337" s="11">
        <v>146</v>
      </c>
      <c r="T337" s="3">
        <f>IF(TIM!F334=TIM!F334,TIM!F334,"")</f>
        <v>0</v>
      </c>
      <c r="U337" s="18">
        <f>ASSETs!X334</f>
        <v>0</v>
      </c>
      <c r="V337" t="str">
        <f>ASSETs!$AA$2</f>
        <v>Phuket</v>
      </c>
      <c r="W337" s="3">
        <f>ASSETs!$AB$2</f>
        <v>99</v>
      </c>
      <c r="X337" s="6">
        <f>ASSETs!AN334</f>
        <v>0</v>
      </c>
      <c r="Y337" t="str">
        <f>ASSETs!$AF$2</f>
        <v>12.00</v>
      </c>
      <c r="Z337" s="18">
        <v>1</v>
      </c>
    </row>
    <row r="338" spans="1:26" ht="15">
      <c r="A338" s="16">
        <f>ROWS($A$5:B338:C338)</f>
        <v>334</v>
      </c>
      <c r="B338" s="16">
        <f>ASSETs!AU335</f>
        <v>0</v>
      </c>
      <c r="C338" s="26" t="s">
        <v>309</v>
      </c>
      <c r="D338">
        <f>IF(TIM!Q335=TIM!Q335,TIM!Q335,"")</f>
        <v>0</v>
      </c>
      <c r="I338" t="str">
        <f>IFERROR(VLOOKUP(TIM!E335,ASSETs!$AA$6:$AB$7,2,FALSE),"")</f>
        <v/>
      </c>
      <c r="J338" s="2">
        <f>(IF(TIM!B335=TIM!B335,TIM!B335,""))</f>
        <v>0</v>
      </c>
      <c r="L338">
        <f>IF(TIM!C335=TIM!C335,TIM!C335,"")</f>
        <v>0</v>
      </c>
      <c r="M338">
        <f>ASSETs!W335</f>
        <v>0</v>
      </c>
      <c r="O338">
        <f>IF(TIM!G335=TIM!G335,TIM!G335,"")</f>
        <v>0</v>
      </c>
      <c r="Q338" t="str">
        <f>ASSETs!$AD$2</f>
        <v>Phang-nga</v>
      </c>
      <c r="R338">
        <f>ASSETs!$AE$2</f>
        <v>99</v>
      </c>
      <c r="S338" s="11">
        <v>146</v>
      </c>
      <c r="T338" s="3">
        <f>IF(TIM!F335=TIM!F335,TIM!F335,"")</f>
        <v>0</v>
      </c>
      <c r="U338" s="18">
        <f>ASSETs!X335</f>
        <v>0</v>
      </c>
      <c r="V338" t="str">
        <f>ASSETs!$AA$2</f>
        <v>Phuket</v>
      </c>
      <c r="W338" s="3">
        <f>ASSETs!$AB$2</f>
        <v>99</v>
      </c>
      <c r="X338" s="6">
        <f>ASSETs!AN335</f>
        <v>0</v>
      </c>
      <c r="Y338" t="str">
        <f>ASSETs!$AF$2</f>
        <v>12.00</v>
      </c>
      <c r="Z338" s="18">
        <v>1</v>
      </c>
    </row>
    <row r="339" spans="1:26" ht="15">
      <c r="A339" s="16">
        <f>ROWS($A$5:B339:C339)</f>
        <v>335</v>
      </c>
      <c r="B339" s="16">
        <f>ASSETs!AU336</f>
        <v>0</v>
      </c>
      <c r="C339" s="26" t="s">
        <v>309</v>
      </c>
      <c r="D339">
        <f>IF(TIM!Q336=TIM!Q336,TIM!Q336,"")</f>
        <v>0</v>
      </c>
      <c r="I339" t="str">
        <f>IFERROR(VLOOKUP(TIM!E336,ASSETs!$AA$6:$AB$7,2,FALSE),"")</f>
        <v/>
      </c>
      <c r="J339" s="2">
        <f>(IF(TIM!B336=TIM!B336,TIM!B336,""))</f>
        <v>0</v>
      </c>
      <c r="L339">
        <f>IF(TIM!C336=TIM!C336,TIM!C336,"")</f>
        <v>0</v>
      </c>
      <c r="M339">
        <f>ASSETs!W336</f>
        <v>0</v>
      </c>
      <c r="O339">
        <f>IF(TIM!G336=TIM!G336,TIM!G336,"")</f>
        <v>0</v>
      </c>
      <c r="Q339" t="str">
        <f>ASSETs!$AD$2</f>
        <v>Phang-nga</v>
      </c>
      <c r="R339">
        <f>ASSETs!$AE$2</f>
        <v>99</v>
      </c>
      <c r="S339" s="11">
        <v>146</v>
      </c>
      <c r="T339" s="3">
        <f>IF(TIM!F336=TIM!F336,TIM!F336,"")</f>
        <v>0</v>
      </c>
      <c r="U339" s="18">
        <f>ASSETs!X336</f>
        <v>0</v>
      </c>
      <c r="V339" t="str">
        <f>ASSETs!$AA$2</f>
        <v>Phuket</v>
      </c>
      <c r="W339" s="3">
        <f>ASSETs!$AB$2</f>
        <v>99</v>
      </c>
      <c r="X339" s="6">
        <f>ASSETs!AN336</f>
        <v>0</v>
      </c>
      <c r="Y339" t="str">
        <f>ASSETs!$AF$2</f>
        <v>12.00</v>
      </c>
      <c r="Z339" s="18">
        <v>1</v>
      </c>
    </row>
    <row r="340" spans="1:26" ht="15">
      <c r="A340" s="16">
        <f>ROWS($A$5:B340:C340)</f>
        <v>336</v>
      </c>
      <c r="B340" s="16">
        <f>ASSETs!AU337</f>
        <v>0</v>
      </c>
      <c r="C340" s="26" t="s">
        <v>309</v>
      </c>
      <c r="D340">
        <f>IF(TIM!Q337=TIM!Q337,TIM!Q337,"")</f>
        <v>0</v>
      </c>
      <c r="I340" t="str">
        <f>IFERROR(VLOOKUP(TIM!E337,ASSETs!$AA$6:$AB$7,2,FALSE),"")</f>
        <v/>
      </c>
      <c r="J340" s="2">
        <f>(IF(TIM!B337=TIM!B337,TIM!B337,""))</f>
        <v>0</v>
      </c>
      <c r="L340">
        <f>IF(TIM!C337=TIM!C337,TIM!C337,"")</f>
        <v>0</v>
      </c>
      <c r="M340">
        <f>ASSETs!W337</f>
        <v>0</v>
      </c>
      <c r="O340">
        <f>IF(TIM!G337=TIM!G337,TIM!G337,"")</f>
        <v>0</v>
      </c>
      <c r="Q340" t="str">
        <f>ASSETs!$AD$2</f>
        <v>Phang-nga</v>
      </c>
      <c r="R340">
        <f>ASSETs!$AE$2</f>
        <v>99</v>
      </c>
      <c r="S340" s="11">
        <v>146</v>
      </c>
      <c r="T340" s="3">
        <f>IF(TIM!F337=TIM!F337,TIM!F337,"")</f>
        <v>0</v>
      </c>
      <c r="U340" s="18">
        <f>ASSETs!X337</f>
        <v>0</v>
      </c>
      <c r="V340" t="str">
        <f>ASSETs!$AA$2</f>
        <v>Phuket</v>
      </c>
      <c r="W340" s="3">
        <f>ASSETs!$AB$2</f>
        <v>99</v>
      </c>
      <c r="X340" s="6">
        <f>ASSETs!AN337</f>
        <v>0</v>
      </c>
      <c r="Y340" t="str">
        <f>ASSETs!$AF$2</f>
        <v>12.00</v>
      </c>
      <c r="Z340" s="18">
        <v>1</v>
      </c>
    </row>
    <row r="341" spans="1:26" ht="15">
      <c r="A341" s="16">
        <f>ROWS($A$5:B341:C341)</f>
        <v>337</v>
      </c>
      <c r="B341" s="16">
        <f>ASSETs!AU338</f>
        <v>0</v>
      </c>
      <c r="C341" s="26" t="s">
        <v>309</v>
      </c>
      <c r="D341">
        <f>IF(TIM!Q338=TIM!Q338,TIM!Q338,"")</f>
        <v>0</v>
      </c>
      <c r="I341" t="str">
        <f>IFERROR(VLOOKUP(TIM!E338,ASSETs!$AA$6:$AB$7,2,FALSE),"")</f>
        <v/>
      </c>
      <c r="J341" s="2">
        <f>(IF(TIM!B338=TIM!B338,TIM!B338,""))</f>
        <v>0</v>
      </c>
      <c r="L341">
        <f>IF(TIM!C338=TIM!C338,TIM!C338,"")</f>
        <v>0</v>
      </c>
      <c r="M341">
        <f>ASSETs!W338</f>
        <v>0</v>
      </c>
      <c r="O341">
        <f>IF(TIM!G338=TIM!G338,TIM!G338,"")</f>
        <v>0</v>
      </c>
      <c r="Q341" t="str">
        <f>ASSETs!$AD$2</f>
        <v>Phang-nga</v>
      </c>
      <c r="R341">
        <f>ASSETs!$AE$2</f>
        <v>99</v>
      </c>
      <c r="S341" s="11">
        <v>146</v>
      </c>
      <c r="T341" s="3">
        <f>IF(TIM!F338=TIM!F338,TIM!F338,"")</f>
        <v>0</v>
      </c>
      <c r="U341" s="18">
        <f>ASSETs!X338</f>
        <v>0</v>
      </c>
      <c r="V341" t="str">
        <f>ASSETs!$AA$2</f>
        <v>Phuket</v>
      </c>
      <c r="W341" s="3">
        <f>ASSETs!$AB$2</f>
        <v>99</v>
      </c>
      <c r="X341" s="6">
        <f>ASSETs!AN338</f>
        <v>0</v>
      </c>
      <c r="Y341" t="str">
        <f>ASSETs!$AF$2</f>
        <v>12.00</v>
      </c>
      <c r="Z341" s="18">
        <v>1</v>
      </c>
    </row>
    <row r="342" spans="1:26" ht="15">
      <c r="A342" s="16">
        <f>ROWS($A$5:B342:C342)</f>
        <v>338</v>
      </c>
      <c r="B342" s="16">
        <f>ASSETs!AU339</f>
        <v>0</v>
      </c>
      <c r="C342" s="26" t="s">
        <v>309</v>
      </c>
      <c r="D342">
        <f>IF(TIM!Q339=TIM!Q339,TIM!Q339,"")</f>
        <v>0</v>
      </c>
      <c r="I342" t="str">
        <f>IFERROR(VLOOKUP(TIM!E339,ASSETs!$AA$6:$AB$7,2,FALSE),"")</f>
        <v/>
      </c>
      <c r="J342" s="2">
        <f>(IF(TIM!B339=TIM!B339,TIM!B339,""))</f>
        <v>0</v>
      </c>
      <c r="L342">
        <f>IF(TIM!C339=TIM!C339,TIM!C339,"")</f>
        <v>0</v>
      </c>
      <c r="M342">
        <f>ASSETs!W339</f>
        <v>0</v>
      </c>
      <c r="O342">
        <f>IF(TIM!G339=TIM!G339,TIM!G339,"")</f>
        <v>0</v>
      </c>
      <c r="Q342" t="str">
        <f>ASSETs!$AD$2</f>
        <v>Phang-nga</v>
      </c>
      <c r="R342">
        <f>ASSETs!$AE$2</f>
        <v>99</v>
      </c>
      <c r="S342" s="11">
        <v>146</v>
      </c>
      <c r="T342" s="3">
        <f>IF(TIM!F339=TIM!F339,TIM!F339,"")</f>
        <v>0</v>
      </c>
      <c r="U342" s="18">
        <f>ASSETs!X339</f>
        <v>0</v>
      </c>
      <c r="V342" t="str">
        <f>ASSETs!$AA$2</f>
        <v>Phuket</v>
      </c>
      <c r="W342" s="3">
        <f>ASSETs!$AB$2</f>
        <v>99</v>
      </c>
      <c r="X342" s="6">
        <f>ASSETs!AN339</f>
        <v>0</v>
      </c>
      <c r="Y342" t="str">
        <f>ASSETs!$AF$2</f>
        <v>12.00</v>
      </c>
      <c r="Z342" s="18">
        <v>1</v>
      </c>
    </row>
    <row r="343" spans="1:26" ht="15">
      <c r="A343" s="16">
        <f>ROWS($A$5:B343:C343)</f>
        <v>339</v>
      </c>
      <c r="B343" s="16">
        <f>ASSETs!AU340</f>
        <v>0</v>
      </c>
      <c r="C343" s="26" t="s">
        <v>309</v>
      </c>
      <c r="D343">
        <f>IF(TIM!Q340=TIM!Q340,TIM!Q340,"")</f>
        <v>0</v>
      </c>
      <c r="I343" t="str">
        <f>IFERROR(VLOOKUP(TIM!E340,ASSETs!$AA$6:$AB$7,2,FALSE),"")</f>
        <v/>
      </c>
      <c r="J343" s="2">
        <f>(IF(TIM!B340=TIM!B340,TIM!B340,""))</f>
        <v>0</v>
      </c>
      <c r="L343">
        <f>IF(TIM!C340=TIM!C340,TIM!C340,"")</f>
        <v>0</v>
      </c>
      <c r="M343">
        <f>ASSETs!W340</f>
        <v>0</v>
      </c>
      <c r="O343">
        <f>IF(TIM!G340=TIM!G340,TIM!G340,"")</f>
        <v>0</v>
      </c>
      <c r="Q343" t="str">
        <f>ASSETs!$AD$2</f>
        <v>Phang-nga</v>
      </c>
      <c r="R343">
        <f>ASSETs!$AE$2</f>
        <v>99</v>
      </c>
      <c r="S343" s="11">
        <v>146</v>
      </c>
      <c r="T343" s="3">
        <f>IF(TIM!F340=TIM!F340,TIM!F340,"")</f>
        <v>0</v>
      </c>
      <c r="U343" s="18">
        <f>ASSETs!X340</f>
        <v>0</v>
      </c>
      <c r="V343" t="str">
        <f>ASSETs!$AA$2</f>
        <v>Phuket</v>
      </c>
      <c r="W343" s="3">
        <f>ASSETs!$AB$2</f>
        <v>99</v>
      </c>
      <c r="X343" s="6">
        <f>ASSETs!AN340</f>
        <v>0</v>
      </c>
      <c r="Y343" t="str">
        <f>ASSETs!$AF$2</f>
        <v>12.00</v>
      </c>
      <c r="Z343" s="18">
        <v>1</v>
      </c>
    </row>
    <row r="344" spans="1:26" ht="15">
      <c r="A344" s="16">
        <f>ROWS($A$5:B344:C344)</f>
        <v>340</v>
      </c>
      <c r="B344" s="16">
        <f>ASSETs!AU341</f>
        <v>0</v>
      </c>
      <c r="C344" s="26" t="s">
        <v>309</v>
      </c>
      <c r="D344">
        <f>IF(TIM!Q341=TIM!Q341,TIM!Q341,"")</f>
        <v>0</v>
      </c>
      <c r="I344" t="str">
        <f>IFERROR(VLOOKUP(TIM!E341,ASSETs!$AA$6:$AB$7,2,FALSE),"")</f>
        <v/>
      </c>
      <c r="J344" s="2">
        <f>(IF(TIM!B341=TIM!B341,TIM!B341,""))</f>
        <v>0</v>
      </c>
      <c r="L344">
        <f>IF(TIM!C341=TIM!C341,TIM!C341,"")</f>
        <v>0</v>
      </c>
      <c r="M344">
        <f>ASSETs!W341</f>
        <v>0</v>
      </c>
      <c r="O344">
        <f>IF(TIM!G341=TIM!G341,TIM!G341,"")</f>
        <v>0</v>
      </c>
      <c r="Q344" t="str">
        <f>ASSETs!$AD$2</f>
        <v>Phang-nga</v>
      </c>
      <c r="R344">
        <f>ASSETs!$AE$2</f>
        <v>99</v>
      </c>
      <c r="S344" s="11">
        <v>146</v>
      </c>
      <c r="T344" s="3">
        <f>IF(TIM!F341=TIM!F341,TIM!F341,"")</f>
        <v>0</v>
      </c>
      <c r="U344" s="18">
        <f>ASSETs!X341</f>
        <v>0</v>
      </c>
      <c r="V344" t="str">
        <f>ASSETs!$AA$2</f>
        <v>Phuket</v>
      </c>
      <c r="W344" s="3">
        <f>ASSETs!$AB$2</f>
        <v>99</v>
      </c>
      <c r="X344" s="6">
        <f>ASSETs!AN341</f>
        <v>0</v>
      </c>
      <c r="Y344" t="str">
        <f>ASSETs!$AF$2</f>
        <v>12.00</v>
      </c>
      <c r="Z344" s="18">
        <v>1</v>
      </c>
    </row>
    <row r="345" spans="1:26" ht="15">
      <c r="A345" s="16">
        <f>ROWS($A$5:B345:C345)</f>
        <v>341</v>
      </c>
      <c r="B345" s="16">
        <f>ASSETs!AU342</f>
        <v>0</v>
      </c>
      <c r="C345" s="26" t="s">
        <v>309</v>
      </c>
      <c r="D345">
        <f>IF(TIM!Q342=TIM!Q342,TIM!Q342,"")</f>
        <v>0</v>
      </c>
      <c r="I345" t="str">
        <f>IFERROR(VLOOKUP(TIM!E342,ASSETs!$AA$6:$AB$7,2,FALSE),"")</f>
        <v/>
      </c>
      <c r="J345" s="2">
        <f>(IF(TIM!B342=TIM!B342,TIM!B342,""))</f>
        <v>0</v>
      </c>
      <c r="L345">
        <f>IF(TIM!C342=TIM!C342,TIM!C342,"")</f>
        <v>0</v>
      </c>
      <c r="M345">
        <f>ASSETs!W342</f>
        <v>0</v>
      </c>
      <c r="O345">
        <f>IF(TIM!G342=TIM!G342,TIM!G342,"")</f>
        <v>0</v>
      </c>
      <c r="Q345" t="str">
        <f>ASSETs!$AD$2</f>
        <v>Phang-nga</v>
      </c>
      <c r="R345">
        <f>ASSETs!$AE$2</f>
        <v>99</v>
      </c>
      <c r="S345" s="11">
        <v>146</v>
      </c>
      <c r="T345" s="3">
        <f>IF(TIM!F342=TIM!F342,TIM!F342,"")</f>
        <v>0</v>
      </c>
      <c r="U345" s="18">
        <f>ASSETs!X342</f>
        <v>0</v>
      </c>
      <c r="V345" t="str">
        <f>ASSETs!$AA$2</f>
        <v>Phuket</v>
      </c>
      <c r="W345" s="3">
        <f>ASSETs!$AB$2</f>
        <v>99</v>
      </c>
      <c r="X345" s="6">
        <f>ASSETs!AN342</f>
        <v>0</v>
      </c>
      <c r="Y345" t="str">
        <f>ASSETs!$AF$2</f>
        <v>12.00</v>
      </c>
      <c r="Z345" s="18">
        <v>1</v>
      </c>
    </row>
    <row r="346" spans="1:26" ht="15">
      <c r="A346" s="16">
        <f>ROWS($A$5:B346:C346)</f>
        <v>342</v>
      </c>
      <c r="B346" s="16">
        <f>ASSETs!AU343</f>
        <v>0</v>
      </c>
      <c r="C346" s="26" t="s">
        <v>309</v>
      </c>
      <c r="D346">
        <f>IF(TIM!Q343=TIM!Q343,TIM!Q343,"")</f>
        <v>0</v>
      </c>
      <c r="I346" t="str">
        <f>IFERROR(VLOOKUP(TIM!E343,ASSETs!$AA$6:$AB$7,2,FALSE),"")</f>
        <v/>
      </c>
      <c r="J346" s="2">
        <f>(IF(TIM!B343=TIM!B343,TIM!B343,""))</f>
        <v>0</v>
      </c>
      <c r="L346">
        <f>IF(TIM!C343=TIM!C343,TIM!C343,"")</f>
        <v>0</v>
      </c>
      <c r="M346">
        <f>ASSETs!W343</f>
        <v>0</v>
      </c>
      <c r="O346">
        <f>IF(TIM!G343=TIM!G343,TIM!G343,"")</f>
        <v>0</v>
      </c>
      <c r="Q346" t="str">
        <f>ASSETs!$AD$2</f>
        <v>Phang-nga</v>
      </c>
      <c r="R346">
        <f>ASSETs!$AE$2</f>
        <v>99</v>
      </c>
      <c r="S346" s="11">
        <v>146</v>
      </c>
      <c r="T346" s="3">
        <f>IF(TIM!F343=TIM!F343,TIM!F343,"")</f>
        <v>0</v>
      </c>
      <c r="U346" s="18">
        <f>ASSETs!X343</f>
        <v>0</v>
      </c>
      <c r="V346" t="str">
        <f>ASSETs!$AA$2</f>
        <v>Phuket</v>
      </c>
      <c r="W346" s="3">
        <f>ASSETs!$AB$2</f>
        <v>99</v>
      </c>
      <c r="X346" s="6">
        <f>ASSETs!AN343</f>
        <v>0</v>
      </c>
      <c r="Y346" t="str">
        <f>ASSETs!$AF$2</f>
        <v>12.00</v>
      </c>
      <c r="Z346" s="18">
        <v>1</v>
      </c>
    </row>
    <row r="347" spans="1:26" ht="15">
      <c r="A347" s="16">
        <f>ROWS($A$5:B347:C347)</f>
        <v>343</v>
      </c>
      <c r="B347" s="16">
        <f>ASSETs!AU344</f>
        <v>0</v>
      </c>
      <c r="C347" s="26" t="s">
        <v>309</v>
      </c>
      <c r="D347">
        <f>IF(TIM!Q344=TIM!Q344,TIM!Q344,"")</f>
        <v>0</v>
      </c>
      <c r="I347" t="str">
        <f>IFERROR(VLOOKUP(TIM!E344,ASSETs!$AA$6:$AB$7,2,FALSE),"")</f>
        <v/>
      </c>
      <c r="J347" s="2">
        <f>(IF(TIM!B344=TIM!B344,TIM!B344,""))</f>
        <v>0</v>
      </c>
      <c r="L347">
        <f>IF(TIM!C344=TIM!C344,TIM!C344,"")</f>
        <v>0</v>
      </c>
      <c r="M347">
        <f>ASSETs!W344</f>
        <v>0</v>
      </c>
      <c r="O347">
        <f>IF(TIM!G344=TIM!G344,TIM!G344,"")</f>
        <v>0</v>
      </c>
      <c r="Q347" t="str">
        <f>ASSETs!$AD$2</f>
        <v>Phang-nga</v>
      </c>
      <c r="R347">
        <f>ASSETs!$AE$2</f>
        <v>99</v>
      </c>
      <c r="S347" s="11">
        <v>146</v>
      </c>
      <c r="T347" s="3">
        <f>IF(TIM!F344=TIM!F344,TIM!F344,"")</f>
        <v>0</v>
      </c>
      <c r="U347" s="18">
        <f>ASSETs!X344</f>
        <v>0</v>
      </c>
      <c r="V347" t="str">
        <f>ASSETs!$AA$2</f>
        <v>Phuket</v>
      </c>
      <c r="W347" s="3">
        <f>ASSETs!$AB$2</f>
        <v>99</v>
      </c>
      <c r="X347" s="6">
        <f>ASSETs!AN344</f>
        <v>0</v>
      </c>
      <c r="Y347" t="str">
        <f>ASSETs!$AF$2</f>
        <v>12.00</v>
      </c>
      <c r="Z347" s="18">
        <v>1</v>
      </c>
    </row>
    <row r="348" spans="1:26" ht="15">
      <c r="A348" s="16">
        <f>ROWS($A$5:B348:C348)</f>
        <v>344</v>
      </c>
      <c r="B348" s="16">
        <f>ASSETs!AU345</f>
        <v>0</v>
      </c>
      <c r="C348" s="26" t="s">
        <v>309</v>
      </c>
      <c r="D348">
        <f>IF(TIM!Q345=TIM!Q345,TIM!Q345,"")</f>
        <v>0</v>
      </c>
      <c r="I348" t="str">
        <f>IFERROR(VLOOKUP(TIM!E345,ASSETs!$AA$6:$AB$7,2,FALSE),"")</f>
        <v/>
      </c>
      <c r="J348" s="2">
        <f>(IF(TIM!B345=TIM!B345,TIM!B345,""))</f>
        <v>0</v>
      </c>
      <c r="L348">
        <f>IF(TIM!C345=TIM!C345,TIM!C345,"")</f>
        <v>0</v>
      </c>
      <c r="M348">
        <f>ASSETs!W345</f>
        <v>0</v>
      </c>
      <c r="O348">
        <f>IF(TIM!G345=TIM!G345,TIM!G345,"")</f>
        <v>0</v>
      </c>
      <c r="Q348" t="str">
        <f>ASSETs!$AD$2</f>
        <v>Phang-nga</v>
      </c>
      <c r="R348">
        <f>ASSETs!$AE$2</f>
        <v>99</v>
      </c>
      <c r="S348" s="11">
        <v>146</v>
      </c>
      <c r="T348" s="3">
        <f>IF(TIM!F345=TIM!F345,TIM!F345,"")</f>
        <v>0</v>
      </c>
      <c r="U348" s="18">
        <f>ASSETs!X345</f>
        <v>0</v>
      </c>
      <c r="V348" t="str">
        <f>ASSETs!$AA$2</f>
        <v>Phuket</v>
      </c>
      <c r="W348" s="3">
        <f>ASSETs!$AB$2</f>
        <v>99</v>
      </c>
      <c r="X348" s="6">
        <f>ASSETs!AN345</f>
        <v>0</v>
      </c>
      <c r="Y348" t="str">
        <f>ASSETs!$AF$2</f>
        <v>12.00</v>
      </c>
      <c r="Z348" s="18">
        <v>1</v>
      </c>
    </row>
    <row r="349" spans="1:26" ht="15">
      <c r="A349" s="16">
        <f>ROWS($A$5:B349:C349)</f>
        <v>345</v>
      </c>
      <c r="B349" s="16">
        <f>ASSETs!AU346</f>
        <v>0</v>
      </c>
      <c r="C349" s="26" t="s">
        <v>309</v>
      </c>
      <c r="D349">
        <f>IF(TIM!Q346=TIM!Q346,TIM!Q346,"")</f>
        <v>0</v>
      </c>
      <c r="I349" t="str">
        <f>IFERROR(VLOOKUP(TIM!E346,ASSETs!$AA$6:$AB$7,2,FALSE),"")</f>
        <v/>
      </c>
      <c r="J349" s="2">
        <f>(IF(TIM!B346=TIM!B346,TIM!B346,""))</f>
        <v>0</v>
      </c>
      <c r="L349">
        <f>IF(TIM!C346=TIM!C346,TIM!C346,"")</f>
        <v>0</v>
      </c>
      <c r="M349">
        <f>ASSETs!W346</f>
        <v>0</v>
      </c>
      <c r="O349">
        <f>IF(TIM!G346=TIM!G346,TIM!G346,"")</f>
        <v>0</v>
      </c>
      <c r="Q349" t="str">
        <f>ASSETs!$AD$2</f>
        <v>Phang-nga</v>
      </c>
      <c r="R349">
        <f>ASSETs!$AE$2</f>
        <v>99</v>
      </c>
      <c r="S349" s="11">
        <v>146</v>
      </c>
      <c r="T349" s="3">
        <f>IF(TIM!F346=TIM!F346,TIM!F346,"")</f>
        <v>0</v>
      </c>
      <c r="U349" s="18">
        <f>ASSETs!X346</f>
        <v>0</v>
      </c>
      <c r="V349" t="str">
        <f>ASSETs!$AA$2</f>
        <v>Phuket</v>
      </c>
      <c r="W349" s="3">
        <f>ASSETs!$AB$2</f>
        <v>99</v>
      </c>
      <c r="X349" s="6">
        <f>ASSETs!AN346</f>
        <v>0</v>
      </c>
      <c r="Y349" t="str">
        <f>ASSETs!$AF$2</f>
        <v>12.00</v>
      </c>
      <c r="Z349" s="18">
        <v>1</v>
      </c>
    </row>
    <row r="350" spans="1:26" ht="15">
      <c r="A350" s="16">
        <f>ROWS($A$5:B350:C350)</f>
        <v>346</v>
      </c>
      <c r="B350" s="16">
        <f>ASSETs!AU347</f>
        <v>0</v>
      </c>
      <c r="C350" s="26" t="s">
        <v>309</v>
      </c>
      <c r="D350">
        <f>IF(TIM!Q347=TIM!Q347,TIM!Q347,"")</f>
        <v>0</v>
      </c>
      <c r="I350" t="str">
        <f>IFERROR(VLOOKUP(TIM!E347,ASSETs!$AA$6:$AB$7,2,FALSE),"")</f>
        <v/>
      </c>
      <c r="J350" s="2">
        <f>(IF(TIM!B347=TIM!B347,TIM!B347,""))</f>
        <v>0</v>
      </c>
      <c r="L350">
        <f>IF(TIM!C347=TIM!C347,TIM!C347,"")</f>
        <v>0</v>
      </c>
      <c r="M350">
        <f>ASSETs!W347</f>
        <v>0</v>
      </c>
      <c r="O350">
        <f>IF(TIM!G347=TIM!G347,TIM!G347,"")</f>
        <v>0</v>
      </c>
      <c r="Q350" t="str">
        <f>ASSETs!$AD$2</f>
        <v>Phang-nga</v>
      </c>
      <c r="R350">
        <f>ASSETs!$AE$2</f>
        <v>99</v>
      </c>
      <c r="S350" s="11">
        <v>146</v>
      </c>
      <c r="T350" s="3">
        <f>IF(TIM!F347=TIM!F347,TIM!F347,"")</f>
        <v>0</v>
      </c>
      <c r="U350" s="18">
        <f>ASSETs!X347</f>
        <v>0</v>
      </c>
      <c r="V350" t="str">
        <f>ASSETs!$AA$2</f>
        <v>Phuket</v>
      </c>
      <c r="W350" s="3">
        <f>ASSETs!$AB$2</f>
        <v>99</v>
      </c>
      <c r="X350" s="6">
        <f>ASSETs!AN347</f>
        <v>0</v>
      </c>
      <c r="Y350" t="str">
        <f>ASSETs!$AF$2</f>
        <v>12.00</v>
      </c>
      <c r="Z350" s="18">
        <v>1</v>
      </c>
    </row>
    <row r="351" spans="1:26" ht="15">
      <c r="A351" s="16">
        <f>ROWS($A$5:B351:C351)</f>
        <v>347</v>
      </c>
      <c r="B351" s="16">
        <f>ASSETs!AU348</f>
        <v>0</v>
      </c>
      <c r="C351" s="26" t="s">
        <v>309</v>
      </c>
      <c r="D351">
        <f>IF(TIM!Q348=TIM!Q348,TIM!Q348,"")</f>
        <v>0</v>
      </c>
      <c r="I351" t="str">
        <f>IFERROR(VLOOKUP(TIM!E348,ASSETs!$AA$6:$AB$7,2,FALSE),"")</f>
        <v/>
      </c>
      <c r="J351" s="2">
        <f>(IF(TIM!B348=TIM!B348,TIM!B348,""))</f>
        <v>0</v>
      </c>
      <c r="L351">
        <f>IF(TIM!C348=TIM!C348,TIM!C348,"")</f>
        <v>0</v>
      </c>
      <c r="M351">
        <f>ASSETs!W348</f>
        <v>0</v>
      </c>
      <c r="O351">
        <f>IF(TIM!G348=TIM!G348,TIM!G348,"")</f>
        <v>0</v>
      </c>
      <c r="Q351" t="str">
        <f>ASSETs!$AD$2</f>
        <v>Phang-nga</v>
      </c>
      <c r="R351">
        <f>ASSETs!$AE$2</f>
        <v>99</v>
      </c>
      <c r="S351" s="11">
        <v>146</v>
      </c>
      <c r="T351" s="3">
        <f>IF(TIM!F348=TIM!F348,TIM!F348,"")</f>
        <v>0</v>
      </c>
      <c r="U351" s="18">
        <f>ASSETs!X348</f>
        <v>0</v>
      </c>
      <c r="V351" t="str">
        <f>ASSETs!$AA$2</f>
        <v>Phuket</v>
      </c>
      <c r="W351" s="3">
        <f>ASSETs!$AB$2</f>
        <v>99</v>
      </c>
      <c r="X351" s="6">
        <f>ASSETs!AN348</f>
        <v>0</v>
      </c>
      <c r="Y351" t="str">
        <f>ASSETs!$AF$2</f>
        <v>12.00</v>
      </c>
      <c r="Z351" s="18">
        <v>1</v>
      </c>
    </row>
    <row r="352" spans="1:26" ht="15">
      <c r="A352" s="16">
        <f>ROWS($A$5:B352:C352)</f>
        <v>348</v>
      </c>
      <c r="B352" s="16">
        <f>ASSETs!AU349</f>
        <v>0</v>
      </c>
      <c r="C352" s="26" t="s">
        <v>309</v>
      </c>
      <c r="D352">
        <f>IF(TIM!Q349=TIM!Q349,TIM!Q349,"")</f>
        <v>0</v>
      </c>
      <c r="I352" t="str">
        <f>IFERROR(VLOOKUP(TIM!E349,ASSETs!$AA$6:$AB$7,2,FALSE),"")</f>
        <v/>
      </c>
      <c r="J352" s="2">
        <f>(IF(TIM!B349=TIM!B349,TIM!B349,""))</f>
        <v>0</v>
      </c>
      <c r="L352">
        <f>IF(TIM!C349=TIM!C349,TIM!C349,"")</f>
        <v>0</v>
      </c>
      <c r="M352">
        <f>ASSETs!W349</f>
        <v>0</v>
      </c>
      <c r="O352">
        <f>IF(TIM!G349=TIM!G349,TIM!G349,"")</f>
        <v>0</v>
      </c>
      <c r="Q352" t="str">
        <f>ASSETs!$AD$2</f>
        <v>Phang-nga</v>
      </c>
      <c r="R352">
        <f>ASSETs!$AE$2</f>
        <v>99</v>
      </c>
      <c r="S352" s="11">
        <v>146</v>
      </c>
      <c r="T352" s="3">
        <f>IF(TIM!F349=TIM!F349,TIM!F349,"")</f>
        <v>0</v>
      </c>
      <c r="U352" s="18">
        <f>ASSETs!X349</f>
        <v>0</v>
      </c>
      <c r="V352" t="str">
        <f>ASSETs!$AA$2</f>
        <v>Phuket</v>
      </c>
      <c r="W352" s="3">
        <f>ASSETs!$AB$2</f>
        <v>99</v>
      </c>
      <c r="X352" s="6">
        <f>ASSETs!AN349</f>
        <v>0</v>
      </c>
      <c r="Y352" t="str">
        <f>ASSETs!$AF$2</f>
        <v>12.00</v>
      </c>
      <c r="Z352" s="18">
        <v>1</v>
      </c>
    </row>
    <row r="353" spans="1:26" ht="15">
      <c r="A353" s="16">
        <f>ROWS($A$5:B353:C353)</f>
        <v>349</v>
      </c>
      <c r="B353" s="16">
        <f>ASSETs!AU350</f>
        <v>0</v>
      </c>
      <c r="C353" s="26" t="s">
        <v>309</v>
      </c>
      <c r="D353">
        <f>IF(TIM!Q350=TIM!Q350,TIM!Q350,"")</f>
        <v>0</v>
      </c>
      <c r="I353" t="str">
        <f>IFERROR(VLOOKUP(TIM!E350,ASSETs!$AA$6:$AB$7,2,FALSE),"")</f>
        <v/>
      </c>
      <c r="J353" s="2">
        <f>(IF(TIM!B350=TIM!B350,TIM!B350,""))</f>
        <v>0</v>
      </c>
      <c r="L353">
        <f>IF(TIM!C350=TIM!C350,TIM!C350,"")</f>
        <v>0</v>
      </c>
      <c r="M353">
        <f>ASSETs!W350</f>
        <v>0</v>
      </c>
      <c r="O353">
        <f>IF(TIM!G350=TIM!G350,TIM!G350,"")</f>
        <v>0</v>
      </c>
      <c r="Q353" t="str">
        <f>ASSETs!$AD$2</f>
        <v>Phang-nga</v>
      </c>
      <c r="R353">
        <f>ASSETs!$AE$2</f>
        <v>99</v>
      </c>
      <c r="S353" s="11">
        <v>146</v>
      </c>
      <c r="T353" s="3">
        <f>IF(TIM!F350=TIM!F350,TIM!F350,"")</f>
        <v>0</v>
      </c>
      <c r="U353" s="18">
        <f>ASSETs!X350</f>
        <v>0</v>
      </c>
      <c r="V353" t="str">
        <f>ASSETs!$AA$2</f>
        <v>Phuket</v>
      </c>
      <c r="W353" s="3">
        <f>ASSETs!$AB$2</f>
        <v>99</v>
      </c>
      <c r="X353" s="6">
        <f>ASSETs!AN350</f>
        <v>0</v>
      </c>
      <c r="Y353" t="str">
        <f>ASSETs!$AF$2</f>
        <v>12.00</v>
      </c>
      <c r="Z353" s="18">
        <v>1</v>
      </c>
    </row>
    <row r="354" spans="1:26" ht="15">
      <c r="A354" s="16">
        <f>ROWS($A$5:B354:C354)</f>
        <v>350</v>
      </c>
      <c r="B354" s="16">
        <f>ASSETs!AU351</f>
        <v>0</v>
      </c>
      <c r="C354" s="26" t="s">
        <v>309</v>
      </c>
      <c r="D354">
        <f>IF(TIM!Q351=TIM!Q351,TIM!Q351,"")</f>
        <v>0</v>
      </c>
      <c r="I354" t="str">
        <f>IFERROR(VLOOKUP(TIM!E351,ASSETs!$AA$6:$AB$7,2,FALSE),"")</f>
        <v/>
      </c>
      <c r="J354" s="2">
        <f>(IF(TIM!B351=TIM!B351,TIM!B351,""))</f>
        <v>0</v>
      </c>
      <c r="L354">
        <f>IF(TIM!C351=TIM!C351,TIM!C351,"")</f>
        <v>0</v>
      </c>
      <c r="M354">
        <f>ASSETs!W351</f>
        <v>0</v>
      </c>
      <c r="O354">
        <f>IF(TIM!G351=TIM!G351,TIM!G351,"")</f>
        <v>0</v>
      </c>
      <c r="Q354" t="str">
        <f>ASSETs!$AD$2</f>
        <v>Phang-nga</v>
      </c>
      <c r="R354">
        <f>ASSETs!$AE$2</f>
        <v>99</v>
      </c>
      <c r="S354" s="11">
        <v>146</v>
      </c>
      <c r="T354" s="3">
        <f>IF(TIM!F351=TIM!F351,TIM!F351,"")</f>
        <v>0</v>
      </c>
      <c r="U354" s="18">
        <f>ASSETs!X351</f>
        <v>0</v>
      </c>
      <c r="V354" t="str">
        <f>ASSETs!$AA$2</f>
        <v>Phuket</v>
      </c>
      <c r="W354" s="3">
        <f>ASSETs!$AB$2</f>
        <v>99</v>
      </c>
      <c r="X354" s="6">
        <f>ASSETs!AN351</f>
        <v>0</v>
      </c>
      <c r="Y354" t="str">
        <f>ASSETs!$AF$2</f>
        <v>12.00</v>
      </c>
      <c r="Z354" s="18">
        <v>1</v>
      </c>
    </row>
    <row r="355" spans="1:26" ht="15">
      <c r="A355" s="16">
        <f>ROWS($A$5:B355:C355)</f>
        <v>351</v>
      </c>
      <c r="B355" s="16">
        <f>ASSETs!AU352</f>
        <v>0</v>
      </c>
      <c r="C355" s="26" t="s">
        <v>309</v>
      </c>
      <c r="D355">
        <f>IF(TIM!Q352=TIM!Q352,TIM!Q352,"")</f>
        <v>0</v>
      </c>
      <c r="I355" t="str">
        <f>IFERROR(VLOOKUP(TIM!E352,ASSETs!$AA$6:$AB$7,2,FALSE),"")</f>
        <v/>
      </c>
      <c r="J355" s="2">
        <f>(IF(TIM!B352=TIM!B352,TIM!B352,""))</f>
        <v>0</v>
      </c>
      <c r="L355">
        <f>IF(TIM!C352=TIM!C352,TIM!C352,"")</f>
        <v>0</v>
      </c>
      <c r="M355">
        <f>ASSETs!W352</f>
        <v>0</v>
      </c>
      <c r="O355">
        <f>IF(TIM!G352=TIM!G352,TIM!G352,"")</f>
        <v>0</v>
      </c>
      <c r="Q355" t="str">
        <f>ASSETs!$AD$2</f>
        <v>Phang-nga</v>
      </c>
      <c r="R355">
        <f>ASSETs!$AE$2</f>
        <v>99</v>
      </c>
      <c r="S355" s="11">
        <v>146</v>
      </c>
      <c r="T355" s="3">
        <f>IF(TIM!F352=TIM!F352,TIM!F352,"")</f>
        <v>0</v>
      </c>
      <c r="U355" s="18">
        <f>ASSETs!X352</f>
        <v>0</v>
      </c>
      <c r="V355" t="str">
        <f>ASSETs!$AA$2</f>
        <v>Phuket</v>
      </c>
      <c r="W355" s="3">
        <f>ASSETs!$AB$2</f>
        <v>99</v>
      </c>
      <c r="X355" s="6">
        <f>ASSETs!AN352</f>
        <v>0</v>
      </c>
      <c r="Y355" t="str">
        <f>ASSETs!$AF$2</f>
        <v>12.00</v>
      </c>
      <c r="Z355" s="18">
        <v>1</v>
      </c>
    </row>
    <row r="356" spans="1:26" ht="15">
      <c r="A356" s="16">
        <f>ROWS($A$5:B356:C356)</f>
        <v>352</v>
      </c>
      <c r="B356" s="16">
        <f>ASSETs!AU353</f>
        <v>0</v>
      </c>
      <c r="C356" s="26" t="s">
        <v>309</v>
      </c>
      <c r="D356">
        <f>IF(TIM!Q353=TIM!Q353,TIM!Q353,"")</f>
        <v>0</v>
      </c>
      <c r="I356" t="str">
        <f>IFERROR(VLOOKUP(TIM!E353,ASSETs!$AA$6:$AB$7,2,FALSE),"")</f>
        <v/>
      </c>
      <c r="J356" s="2">
        <f>(IF(TIM!B353=TIM!B353,TIM!B353,""))</f>
        <v>0</v>
      </c>
      <c r="L356">
        <f>IF(TIM!C353=TIM!C353,TIM!C353,"")</f>
        <v>0</v>
      </c>
      <c r="M356">
        <f>ASSETs!W353</f>
        <v>0</v>
      </c>
      <c r="O356">
        <f>IF(TIM!G353=TIM!G353,TIM!G353,"")</f>
        <v>0</v>
      </c>
      <c r="Q356" t="str">
        <f>ASSETs!$AD$2</f>
        <v>Phang-nga</v>
      </c>
      <c r="R356">
        <f>ASSETs!$AE$2</f>
        <v>99</v>
      </c>
      <c r="S356" s="11">
        <v>146</v>
      </c>
      <c r="T356" s="3">
        <f>IF(TIM!F353=TIM!F353,TIM!F353,"")</f>
        <v>0</v>
      </c>
      <c r="U356" s="18">
        <f>ASSETs!X353</f>
        <v>0</v>
      </c>
      <c r="V356" t="str">
        <f>ASSETs!$AA$2</f>
        <v>Phuket</v>
      </c>
      <c r="W356" s="3">
        <f>ASSETs!$AB$2</f>
        <v>99</v>
      </c>
      <c r="X356" s="6">
        <f>ASSETs!AN353</f>
        <v>0</v>
      </c>
      <c r="Y356" t="str">
        <f>ASSETs!$AF$2</f>
        <v>12.00</v>
      </c>
      <c r="Z356" s="18">
        <v>1</v>
      </c>
    </row>
    <row r="357" spans="1:26" ht="15">
      <c r="A357" s="16">
        <f>ROWS($A$5:B357:C357)</f>
        <v>353</v>
      </c>
      <c r="B357" s="16">
        <f>ASSETs!AU354</f>
        <v>0</v>
      </c>
      <c r="C357" s="26" t="s">
        <v>309</v>
      </c>
      <c r="D357">
        <f>IF(TIM!Q354=TIM!Q354,TIM!Q354,"")</f>
        <v>0</v>
      </c>
      <c r="I357" t="str">
        <f>IFERROR(VLOOKUP(TIM!E354,ASSETs!$AA$6:$AB$7,2,FALSE),"")</f>
        <v/>
      </c>
      <c r="J357" s="2">
        <f>(IF(TIM!B354=TIM!B354,TIM!B354,""))</f>
        <v>0</v>
      </c>
      <c r="L357">
        <f>IF(TIM!C354=TIM!C354,TIM!C354,"")</f>
        <v>0</v>
      </c>
      <c r="M357">
        <f>ASSETs!W354</f>
        <v>0</v>
      </c>
      <c r="O357">
        <f>IF(TIM!G354=TIM!G354,TIM!G354,"")</f>
        <v>0</v>
      </c>
      <c r="Q357" t="str">
        <f>ASSETs!$AD$2</f>
        <v>Phang-nga</v>
      </c>
      <c r="R357">
        <f>ASSETs!$AE$2</f>
        <v>99</v>
      </c>
      <c r="S357" s="11">
        <v>146</v>
      </c>
      <c r="T357" s="3">
        <f>IF(TIM!F354=TIM!F354,TIM!F354,"")</f>
        <v>0</v>
      </c>
      <c r="U357" s="18">
        <f>ASSETs!X354</f>
        <v>0</v>
      </c>
      <c r="V357" t="str">
        <f>ASSETs!$AA$2</f>
        <v>Phuket</v>
      </c>
      <c r="W357" s="3">
        <f>ASSETs!$AB$2</f>
        <v>99</v>
      </c>
      <c r="X357" s="6">
        <f>ASSETs!AN354</f>
        <v>0</v>
      </c>
      <c r="Y357" t="str">
        <f>ASSETs!$AF$2</f>
        <v>12.00</v>
      </c>
      <c r="Z357" s="18">
        <v>1</v>
      </c>
    </row>
    <row r="358" spans="1:26" ht="15">
      <c r="A358" s="16">
        <f>ROWS($A$5:B358:C358)</f>
        <v>354</v>
      </c>
      <c r="B358" s="16">
        <f>ASSETs!AU355</f>
        <v>0</v>
      </c>
      <c r="C358" s="26" t="s">
        <v>309</v>
      </c>
      <c r="D358">
        <f>IF(TIM!Q355=TIM!Q355,TIM!Q355,"")</f>
        <v>0</v>
      </c>
      <c r="I358" t="str">
        <f>IFERROR(VLOOKUP(TIM!E355,ASSETs!$AA$6:$AB$7,2,FALSE),"")</f>
        <v/>
      </c>
      <c r="J358" s="2">
        <f>(IF(TIM!B355=TIM!B355,TIM!B355,""))</f>
        <v>0</v>
      </c>
      <c r="L358">
        <f>IF(TIM!C355=TIM!C355,TIM!C355,"")</f>
        <v>0</v>
      </c>
      <c r="M358">
        <f>ASSETs!W355</f>
        <v>0</v>
      </c>
      <c r="O358">
        <f>IF(TIM!G355=TIM!G355,TIM!G355,"")</f>
        <v>0</v>
      </c>
      <c r="Q358" t="str">
        <f>ASSETs!$AD$2</f>
        <v>Phang-nga</v>
      </c>
      <c r="R358">
        <f>ASSETs!$AE$2</f>
        <v>99</v>
      </c>
      <c r="S358" s="11">
        <v>146</v>
      </c>
      <c r="T358" s="3">
        <f>IF(TIM!F355=TIM!F355,TIM!F355,"")</f>
        <v>0</v>
      </c>
      <c r="U358" s="18">
        <f>ASSETs!X355</f>
        <v>0</v>
      </c>
      <c r="V358" t="str">
        <f>ASSETs!$AA$2</f>
        <v>Phuket</v>
      </c>
      <c r="W358" s="3">
        <f>ASSETs!$AB$2</f>
        <v>99</v>
      </c>
      <c r="X358" s="6">
        <f>ASSETs!AN355</f>
        <v>0</v>
      </c>
      <c r="Y358" t="str">
        <f>ASSETs!$AF$2</f>
        <v>12.00</v>
      </c>
      <c r="Z358" s="18">
        <v>1</v>
      </c>
    </row>
    <row r="359" spans="1:26" ht="15">
      <c r="A359" s="16">
        <f>ROWS($A$5:B359:C359)</f>
        <v>355</v>
      </c>
      <c r="B359" s="16">
        <f>ASSETs!AU356</f>
        <v>0</v>
      </c>
      <c r="C359" s="26" t="s">
        <v>309</v>
      </c>
      <c r="D359">
        <f>IF(TIM!Q356=TIM!Q356,TIM!Q356,"")</f>
        <v>0</v>
      </c>
      <c r="I359" t="str">
        <f>IFERROR(VLOOKUP(TIM!E356,ASSETs!$AA$6:$AB$7,2,FALSE),"")</f>
        <v/>
      </c>
      <c r="J359" s="2">
        <f>(IF(TIM!B356=TIM!B356,TIM!B356,""))</f>
        <v>0</v>
      </c>
      <c r="L359">
        <f>IF(TIM!C356=TIM!C356,TIM!C356,"")</f>
        <v>0</v>
      </c>
      <c r="M359">
        <f>ASSETs!W356</f>
        <v>0</v>
      </c>
      <c r="O359">
        <f>IF(TIM!G356=TIM!G356,TIM!G356,"")</f>
        <v>0</v>
      </c>
      <c r="Q359" t="str">
        <f>ASSETs!$AD$2</f>
        <v>Phang-nga</v>
      </c>
      <c r="R359">
        <f>ASSETs!$AE$2</f>
        <v>99</v>
      </c>
      <c r="S359" s="11">
        <v>146</v>
      </c>
      <c r="T359" s="3">
        <f>IF(TIM!F356=TIM!F356,TIM!F356,"")</f>
        <v>0</v>
      </c>
      <c r="U359" s="18">
        <f>ASSETs!X356</f>
        <v>0</v>
      </c>
      <c r="V359" t="str">
        <f>ASSETs!$AA$2</f>
        <v>Phuket</v>
      </c>
      <c r="W359" s="3">
        <f>ASSETs!$AB$2</f>
        <v>99</v>
      </c>
      <c r="X359" s="6">
        <f>ASSETs!AN356</f>
        <v>0</v>
      </c>
      <c r="Y359" t="str">
        <f>ASSETs!$AF$2</f>
        <v>12.00</v>
      </c>
      <c r="Z359" s="18">
        <v>1</v>
      </c>
    </row>
    <row r="360" spans="1:26" ht="15">
      <c r="A360" s="16">
        <f>ROWS($A$5:B360:C360)</f>
        <v>356</v>
      </c>
      <c r="B360" s="16">
        <f>ASSETs!AU357</f>
        <v>0</v>
      </c>
      <c r="C360" s="26" t="s">
        <v>309</v>
      </c>
      <c r="D360">
        <f>IF(TIM!Q357=TIM!Q357,TIM!Q357,"")</f>
        <v>0</v>
      </c>
      <c r="I360" t="str">
        <f>IFERROR(VLOOKUP(TIM!E357,ASSETs!$AA$6:$AB$7,2,FALSE),"")</f>
        <v/>
      </c>
      <c r="J360" s="2">
        <f>(IF(TIM!B357=TIM!B357,TIM!B357,""))</f>
        <v>0</v>
      </c>
      <c r="L360">
        <f>IF(TIM!C357=TIM!C357,TIM!C357,"")</f>
        <v>0</v>
      </c>
      <c r="M360">
        <f>ASSETs!W357</f>
        <v>0</v>
      </c>
      <c r="O360">
        <f>IF(TIM!G357=TIM!G357,TIM!G357,"")</f>
        <v>0</v>
      </c>
      <c r="Q360" t="str">
        <f>ASSETs!$AD$2</f>
        <v>Phang-nga</v>
      </c>
      <c r="R360">
        <f>ASSETs!$AE$2</f>
        <v>99</v>
      </c>
      <c r="S360" s="11">
        <v>146</v>
      </c>
      <c r="T360" s="3">
        <f>IF(TIM!F357=TIM!F357,TIM!F357,"")</f>
        <v>0</v>
      </c>
      <c r="U360" s="18">
        <f>ASSETs!X357</f>
        <v>0</v>
      </c>
      <c r="V360" t="str">
        <f>ASSETs!$AA$2</f>
        <v>Phuket</v>
      </c>
      <c r="W360" s="3">
        <f>ASSETs!$AB$2</f>
        <v>99</v>
      </c>
      <c r="X360" s="6">
        <f>ASSETs!AN357</f>
        <v>0</v>
      </c>
      <c r="Y360" t="str">
        <f>ASSETs!$AF$2</f>
        <v>12.00</v>
      </c>
      <c r="Z360" s="18">
        <v>1</v>
      </c>
    </row>
    <row r="361" spans="1:26" ht="15">
      <c r="A361" s="16">
        <f>ROWS($A$5:B361:C361)</f>
        <v>357</v>
      </c>
      <c r="B361" s="16">
        <f>ASSETs!AU358</f>
        <v>0</v>
      </c>
      <c r="C361" s="26" t="s">
        <v>309</v>
      </c>
      <c r="D361">
        <f>IF(TIM!Q358=TIM!Q358,TIM!Q358,"")</f>
        <v>0</v>
      </c>
      <c r="I361" t="str">
        <f>IFERROR(VLOOKUP(TIM!E358,ASSETs!$AA$6:$AB$7,2,FALSE),"")</f>
        <v/>
      </c>
      <c r="J361" s="2">
        <f>(IF(TIM!B358=TIM!B358,TIM!B358,""))</f>
        <v>0</v>
      </c>
      <c r="L361">
        <f>IF(TIM!C358=TIM!C358,TIM!C358,"")</f>
        <v>0</v>
      </c>
      <c r="M361">
        <f>ASSETs!W358</f>
        <v>0</v>
      </c>
      <c r="O361">
        <f>IF(TIM!G358=TIM!G358,TIM!G358,"")</f>
        <v>0</v>
      </c>
      <c r="Q361" t="str">
        <f>ASSETs!$AD$2</f>
        <v>Phang-nga</v>
      </c>
      <c r="R361">
        <f>ASSETs!$AE$2</f>
        <v>99</v>
      </c>
      <c r="S361" s="11">
        <v>146</v>
      </c>
      <c r="T361" s="3">
        <f>IF(TIM!F358=TIM!F358,TIM!F358,"")</f>
        <v>0</v>
      </c>
      <c r="U361" s="18">
        <f>ASSETs!X358</f>
        <v>0</v>
      </c>
      <c r="V361" t="str">
        <f>ASSETs!$AA$2</f>
        <v>Phuket</v>
      </c>
      <c r="W361" s="3">
        <f>ASSETs!$AB$2</f>
        <v>99</v>
      </c>
      <c r="X361" s="6">
        <f>ASSETs!AN358</f>
        <v>0</v>
      </c>
      <c r="Y361" t="str">
        <f>ASSETs!$AF$2</f>
        <v>12.00</v>
      </c>
      <c r="Z361" s="18">
        <v>1</v>
      </c>
    </row>
    <row r="362" spans="1:26" ht="15">
      <c r="A362" s="16">
        <f>ROWS($A$5:B362:C362)</f>
        <v>358</v>
      </c>
      <c r="B362" s="16">
        <f>ASSETs!AU359</f>
        <v>0</v>
      </c>
      <c r="C362" s="26" t="s">
        <v>309</v>
      </c>
      <c r="D362">
        <f>IF(TIM!Q359=TIM!Q359,TIM!Q359,"")</f>
        <v>0</v>
      </c>
      <c r="I362" t="str">
        <f>IFERROR(VLOOKUP(TIM!E359,ASSETs!$AA$6:$AB$7,2,FALSE),"")</f>
        <v/>
      </c>
      <c r="J362" s="2">
        <f>(IF(TIM!B359=TIM!B359,TIM!B359,""))</f>
        <v>0</v>
      </c>
      <c r="L362">
        <f>IF(TIM!C359=TIM!C359,TIM!C359,"")</f>
        <v>0</v>
      </c>
      <c r="M362">
        <f>ASSETs!W359</f>
        <v>0</v>
      </c>
      <c r="O362">
        <f>IF(TIM!G359=TIM!G359,TIM!G359,"")</f>
        <v>0</v>
      </c>
      <c r="Q362" t="str">
        <f>ASSETs!$AD$2</f>
        <v>Phang-nga</v>
      </c>
      <c r="R362">
        <f>ASSETs!$AE$2</f>
        <v>99</v>
      </c>
      <c r="S362" s="11">
        <v>146</v>
      </c>
      <c r="T362" s="3">
        <f>IF(TIM!F359=TIM!F359,TIM!F359,"")</f>
        <v>0</v>
      </c>
      <c r="U362" s="18">
        <f>ASSETs!X359</f>
        <v>0</v>
      </c>
      <c r="V362" t="str">
        <f>ASSETs!$AA$2</f>
        <v>Phuket</v>
      </c>
      <c r="W362" s="3">
        <f>ASSETs!$AB$2</f>
        <v>99</v>
      </c>
      <c r="X362" s="6">
        <f>ASSETs!AN359</f>
        <v>0</v>
      </c>
      <c r="Y362" t="str">
        <f>ASSETs!$AF$2</f>
        <v>12.00</v>
      </c>
      <c r="Z362" s="18">
        <v>1</v>
      </c>
    </row>
    <row r="363" spans="1:26" ht="15">
      <c r="A363" s="16">
        <f>ROWS($A$5:B363:C363)</f>
        <v>359</v>
      </c>
      <c r="B363" s="16">
        <f>ASSETs!AU360</f>
        <v>0</v>
      </c>
      <c r="C363" s="26" t="s">
        <v>309</v>
      </c>
      <c r="D363">
        <f>IF(TIM!Q360=TIM!Q360,TIM!Q360,"")</f>
        <v>0</v>
      </c>
      <c r="I363" t="str">
        <f>IFERROR(VLOOKUP(TIM!E360,ASSETs!$AA$6:$AB$7,2,FALSE),"")</f>
        <v/>
      </c>
      <c r="J363" s="2">
        <f>(IF(TIM!B360=TIM!B360,TIM!B360,""))</f>
        <v>0</v>
      </c>
      <c r="L363">
        <f>IF(TIM!C360=TIM!C360,TIM!C360,"")</f>
        <v>0</v>
      </c>
      <c r="M363">
        <f>ASSETs!W360</f>
        <v>0</v>
      </c>
      <c r="O363">
        <f>IF(TIM!G360=TIM!G360,TIM!G360,"")</f>
        <v>0</v>
      </c>
      <c r="Q363" t="str">
        <f>ASSETs!$AD$2</f>
        <v>Phang-nga</v>
      </c>
      <c r="R363">
        <f>ASSETs!$AE$2</f>
        <v>99</v>
      </c>
      <c r="S363" s="11">
        <v>146</v>
      </c>
      <c r="T363" s="3">
        <f>IF(TIM!F360=TIM!F360,TIM!F360,"")</f>
        <v>0</v>
      </c>
      <c r="U363" s="18">
        <f>ASSETs!X360</f>
        <v>0</v>
      </c>
      <c r="V363" t="str">
        <f>ASSETs!$AA$2</f>
        <v>Phuket</v>
      </c>
      <c r="W363" s="3">
        <f>ASSETs!$AB$2</f>
        <v>99</v>
      </c>
      <c r="X363" s="6">
        <f>ASSETs!AN360</f>
        <v>0</v>
      </c>
      <c r="Y363" t="str">
        <f>ASSETs!$AF$2</f>
        <v>12.00</v>
      </c>
      <c r="Z363" s="18">
        <v>1</v>
      </c>
    </row>
    <row r="364" spans="1:26" ht="15">
      <c r="A364" s="16">
        <f>ROWS($A$5:B364:C364)</f>
        <v>360</v>
      </c>
      <c r="B364" s="16">
        <f>ASSETs!AU361</f>
        <v>0</v>
      </c>
      <c r="C364" s="26" t="s">
        <v>309</v>
      </c>
      <c r="D364">
        <f>IF(TIM!Q361=TIM!Q361,TIM!Q361,"")</f>
        <v>0</v>
      </c>
      <c r="I364" t="str">
        <f>IFERROR(VLOOKUP(TIM!E361,ASSETs!$AA$6:$AB$7,2,FALSE),"")</f>
        <v/>
      </c>
      <c r="J364" s="2">
        <f>(IF(TIM!B361=TIM!B361,TIM!B361,""))</f>
        <v>0</v>
      </c>
      <c r="L364">
        <f>IF(TIM!C361=TIM!C361,TIM!C361,"")</f>
        <v>0</v>
      </c>
      <c r="M364">
        <f>ASSETs!W361</f>
        <v>0</v>
      </c>
      <c r="O364">
        <f>IF(TIM!G361=TIM!G361,TIM!G361,"")</f>
        <v>0</v>
      </c>
      <c r="Q364" t="str">
        <f>ASSETs!$AD$2</f>
        <v>Phang-nga</v>
      </c>
      <c r="R364">
        <f>ASSETs!$AE$2</f>
        <v>99</v>
      </c>
      <c r="S364" s="11">
        <v>146</v>
      </c>
      <c r="T364" s="3">
        <f>IF(TIM!F361=TIM!F361,TIM!F361,"")</f>
        <v>0</v>
      </c>
      <c r="U364" s="18">
        <f>ASSETs!X361</f>
        <v>0</v>
      </c>
      <c r="V364" t="str">
        <f>ASSETs!$AA$2</f>
        <v>Phuket</v>
      </c>
      <c r="W364" s="3">
        <f>ASSETs!$AB$2</f>
        <v>99</v>
      </c>
      <c r="X364" s="6">
        <f>ASSETs!AN361</f>
        <v>0</v>
      </c>
      <c r="Y364" t="str">
        <f>ASSETs!$AF$2</f>
        <v>12.00</v>
      </c>
      <c r="Z364" s="18">
        <v>1</v>
      </c>
    </row>
    <row r="365" spans="1:26" ht="15">
      <c r="A365" s="16">
        <f>ROWS($A$5:B365:C365)</f>
        <v>361</v>
      </c>
      <c r="B365" s="16">
        <f>ASSETs!AU362</f>
        <v>0</v>
      </c>
      <c r="C365" s="26" t="s">
        <v>309</v>
      </c>
      <c r="D365">
        <f>IF(TIM!Q362=TIM!Q362,TIM!Q362,"")</f>
        <v>0</v>
      </c>
      <c r="I365" t="str">
        <f>IFERROR(VLOOKUP(TIM!E362,ASSETs!$AA$6:$AB$7,2,FALSE),"")</f>
        <v/>
      </c>
      <c r="J365" s="2">
        <f>(IF(TIM!B362=TIM!B362,TIM!B362,""))</f>
        <v>0</v>
      </c>
      <c r="L365">
        <f>IF(TIM!C362=TIM!C362,TIM!C362,"")</f>
        <v>0</v>
      </c>
      <c r="M365">
        <f>ASSETs!W362</f>
        <v>0</v>
      </c>
      <c r="O365">
        <f>IF(TIM!G362=TIM!G362,TIM!G362,"")</f>
        <v>0</v>
      </c>
      <c r="Q365" t="str">
        <f>ASSETs!$AD$2</f>
        <v>Phang-nga</v>
      </c>
      <c r="R365">
        <f>ASSETs!$AE$2</f>
        <v>99</v>
      </c>
      <c r="S365" s="11">
        <v>146</v>
      </c>
      <c r="T365" s="3">
        <f>IF(TIM!F362=TIM!F362,TIM!F362,"")</f>
        <v>0</v>
      </c>
      <c r="U365" s="18">
        <f>ASSETs!X362</f>
        <v>0</v>
      </c>
      <c r="V365" t="str">
        <f>ASSETs!$AA$2</f>
        <v>Phuket</v>
      </c>
      <c r="W365" s="3">
        <f>ASSETs!$AB$2</f>
        <v>99</v>
      </c>
      <c r="X365" s="6">
        <f>ASSETs!AN362</f>
        <v>0</v>
      </c>
      <c r="Y365" t="str">
        <f>ASSETs!$AF$2</f>
        <v>12.00</v>
      </c>
      <c r="Z365" s="18">
        <v>1</v>
      </c>
    </row>
    <row r="366" spans="1:26" ht="15">
      <c r="A366" s="16">
        <f>ROWS($A$5:B366:C366)</f>
        <v>362</v>
      </c>
      <c r="B366" s="16">
        <f>ASSETs!AU363</f>
        <v>0</v>
      </c>
      <c r="C366" s="26" t="s">
        <v>309</v>
      </c>
      <c r="D366">
        <f>IF(TIM!Q363=TIM!Q363,TIM!Q363,"")</f>
        <v>0</v>
      </c>
      <c r="I366" t="str">
        <f>IFERROR(VLOOKUP(TIM!E363,ASSETs!$AA$6:$AB$7,2,FALSE),"")</f>
        <v/>
      </c>
      <c r="J366" s="2">
        <f>(IF(TIM!B363=TIM!B363,TIM!B363,""))</f>
        <v>0</v>
      </c>
      <c r="L366">
        <f>IF(TIM!C363=TIM!C363,TIM!C363,"")</f>
        <v>0</v>
      </c>
      <c r="M366">
        <f>ASSETs!W363</f>
        <v>0</v>
      </c>
      <c r="O366">
        <f>IF(TIM!G363=TIM!G363,TIM!G363,"")</f>
        <v>0</v>
      </c>
      <c r="Q366" t="str">
        <f>ASSETs!$AD$2</f>
        <v>Phang-nga</v>
      </c>
      <c r="R366">
        <f>ASSETs!$AE$2</f>
        <v>99</v>
      </c>
      <c r="S366" s="11">
        <v>146</v>
      </c>
      <c r="T366" s="3">
        <f>IF(TIM!F363=TIM!F363,TIM!F363,"")</f>
        <v>0</v>
      </c>
      <c r="U366" s="18">
        <f>ASSETs!X363</f>
        <v>0</v>
      </c>
      <c r="V366" t="str">
        <f>ASSETs!$AA$2</f>
        <v>Phuket</v>
      </c>
      <c r="W366" s="3">
        <f>ASSETs!$AB$2</f>
        <v>99</v>
      </c>
      <c r="X366" s="6">
        <f>ASSETs!AN363</f>
        <v>0</v>
      </c>
      <c r="Y366" t="str">
        <f>ASSETs!$AF$2</f>
        <v>12.00</v>
      </c>
      <c r="Z366" s="18">
        <v>1</v>
      </c>
    </row>
    <row r="367" spans="1:26" ht="15">
      <c r="A367" s="16">
        <f>ROWS($A$5:B367:C367)</f>
        <v>363</v>
      </c>
      <c r="B367" s="16">
        <f>ASSETs!AU364</f>
        <v>0</v>
      </c>
      <c r="C367" s="26" t="s">
        <v>309</v>
      </c>
      <c r="D367">
        <f>IF(TIM!Q364=TIM!Q364,TIM!Q364,"")</f>
        <v>0</v>
      </c>
      <c r="I367" t="str">
        <f>IFERROR(VLOOKUP(TIM!E364,ASSETs!$AA$6:$AB$7,2,FALSE),"")</f>
        <v/>
      </c>
      <c r="J367" s="2">
        <f>(IF(TIM!B364=TIM!B364,TIM!B364,""))</f>
        <v>0</v>
      </c>
      <c r="L367">
        <f>IF(TIM!C364=TIM!C364,TIM!C364,"")</f>
        <v>0</v>
      </c>
      <c r="M367">
        <f>ASSETs!W364</f>
        <v>0</v>
      </c>
      <c r="O367">
        <f>IF(TIM!G364=TIM!G364,TIM!G364,"")</f>
        <v>0</v>
      </c>
      <c r="Q367" t="str">
        <f>ASSETs!$AD$2</f>
        <v>Phang-nga</v>
      </c>
      <c r="R367">
        <f>ASSETs!$AE$2</f>
        <v>99</v>
      </c>
      <c r="S367" s="11">
        <v>146</v>
      </c>
      <c r="T367" s="3">
        <f>IF(TIM!F364=TIM!F364,TIM!F364,"")</f>
        <v>0</v>
      </c>
      <c r="U367" s="18">
        <f>ASSETs!X364</f>
        <v>0</v>
      </c>
      <c r="V367" t="str">
        <f>ASSETs!$AA$2</f>
        <v>Phuket</v>
      </c>
      <c r="W367" s="3">
        <f>ASSETs!$AB$2</f>
        <v>99</v>
      </c>
      <c r="X367" s="6">
        <f>ASSETs!AN364</f>
        <v>0</v>
      </c>
      <c r="Y367" t="str">
        <f>ASSETs!$AF$2</f>
        <v>12.00</v>
      </c>
      <c r="Z367" s="18">
        <v>1</v>
      </c>
    </row>
    <row r="368" spans="1:26" ht="15">
      <c r="A368" s="16">
        <f>ROWS($A$5:B368:C368)</f>
        <v>364</v>
      </c>
      <c r="B368" s="16">
        <f>ASSETs!AU365</f>
        <v>0</v>
      </c>
      <c r="C368" s="26" t="s">
        <v>309</v>
      </c>
      <c r="D368">
        <f>IF(TIM!Q365=TIM!Q365,TIM!Q365,"")</f>
        <v>0</v>
      </c>
      <c r="I368" t="str">
        <f>IFERROR(VLOOKUP(TIM!E365,ASSETs!$AA$6:$AB$7,2,FALSE),"")</f>
        <v/>
      </c>
      <c r="J368" s="2">
        <f>(IF(TIM!B365=TIM!B365,TIM!B365,""))</f>
        <v>0</v>
      </c>
      <c r="L368">
        <f>IF(TIM!C365=TIM!C365,TIM!C365,"")</f>
        <v>0</v>
      </c>
      <c r="M368">
        <f>ASSETs!W365</f>
        <v>0</v>
      </c>
      <c r="O368">
        <f>IF(TIM!G365=TIM!G365,TIM!G365,"")</f>
        <v>0</v>
      </c>
      <c r="Q368" t="str">
        <f>ASSETs!$AD$2</f>
        <v>Phang-nga</v>
      </c>
      <c r="R368">
        <f>ASSETs!$AE$2</f>
        <v>99</v>
      </c>
      <c r="S368" s="11">
        <v>146</v>
      </c>
      <c r="T368" s="3">
        <f>IF(TIM!F365=TIM!F365,TIM!F365,"")</f>
        <v>0</v>
      </c>
      <c r="U368" s="18">
        <f>ASSETs!X365</f>
        <v>0</v>
      </c>
      <c r="V368" t="str">
        <f>ASSETs!$AA$2</f>
        <v>Phuket</v>
      </c>
      <c r="W368" s="3">
        <f>ASSETs!$AB$2</f>
        <v>99</v>
      </c>
      <c r="X368" s="6">
        <f>ASSETs!AN365</f>
        <v>0</v>
      </c>
      <c r="Y368" t="str">
        <f>ASSETs!$AF$2</f>
        <v>12.00</v>
      </c>
      <c r="Z368" s="18">
        <v>1</v>
      </c>
    </row>
    <row r="369" spans="1:26" ht="15">
      <c r="A369" s="16">
        <f>ROWS($A$5:B369:C369)</f>
        <v>365</v>
      </c>
      <c r="B369" s="16">
        <f>ASSETs!AU366</f>
        <v>0</v>
      </c>
      <c r="C369" s="26" t="s">
        <v>309</v>
      </c>
      <c r="D369">
        <f>IF(TIM!Q366=TIM!Q366,TIM!Q366,"")</f>
        <v>0</v>
      </c>
      <c r="I369" t="str">
        <f>IFERROR(VLOOKUP(TIM!E366,ASSETs!$AA$6:$AB$7,2,FALSE),"")</f>
        <v/>
      </c>
      <c r="J369" s="2">
        <f>(IF(TIM!B366=TIM!B366,TIM!B366,""))</f>
        <v>0</v>
      </c>
      <c r="L369">
        <f>IF(TIM!C366=TIM!C366,TIM!C366,"")</f>
        <v>0</v>
      </c>
      <c r="M369">
        <f>ASSETs!W366</f>
        <v>0</v>
      </c>
      <c r="O369">
        <f>IF(TIM!G366=TIM!G366,TIM!G366,"")</f>
        <v>0</v>
      </c>
      <c r="Q369" t="str">
        <f>ASSETs!$AD$2</f>
        <v>Phang-nga</v>
      </c>
      <c r="R369">
        <f>ASSETs!$AE$2</f>
        <v>99</v>
      </c>
      <c r="S369" s="11">
        <v>146</v>
      </c>
      <c r="T369" s="3">
        <f>IF(TIM!F366=TIM!F366,TIM!F366,"")</f>
        <v>0</v>
      </c>
      <c r="U369" s="18">
        <f>ASSETs!X366</f>
        <v>0</v>
      </c>
      <c r="V369" t="str">
        <f>ASSETs!$AA$2</f>
        <v>Phuket</v>
      </c>
      <c r="W369" s="3">
        <f>ASSETs!$AB$2</f>
        <v>99</v>
      </c>
      <c r="X369" s="6">
        <f>ASSETs!AN366</f>
        <v>0</v>
      </c>
      <c r="Y369" t="str">
        <f>ASSETs!$AF$2</f>
        <v>12.00</v>
      </c>
      <c r="Z369" s="18">
        <v>1</v>
      </c>
    </row>
    <row r="370" spans="1:26" ht="15">
      <c r="A370" s="16">
        <f>ROWS($A$5:B370:C370)</f>
        <v>366</v>
      </c>
      <c r="B370" s="16">
        <f>ASSETs!AU367</f>
        <v>0</v>
      </c>
      <c r="C370" s="26" t="s">
        <v>309</v>
      </c>
      <c r="D370">
        <f>IF(TIM!Q367=TIM!Q367,TIM!Q367,"")</f>
        <v>0</v>
      </c>
      <c r="I370" t="str">
        <f>IFERROR(VLOOKUP(TIM!E367,ASSETs!$AA$6:$AB$7,2,FALSE),"")</f>
        <v/>
      </c>
      <c r="J370" s="2">
        <f>(IF(TIM!B367=TIM!B367,TIM!B367,""))</f>
        <v>0</v>
      </c>
      <c r="L370">
        <f>IF(TIM!C367=TIM!C367,TIM!C367,"")</f>
        <v>0</v>
      </c>
      <c r="M370">
        <f>ASSETs!W367</f>
        <v>0</v>
      </c>
      <c r="O370">
        <f>IF(TIM!G367=TIM!G367,TIM!G367,"")</f>
        <v>0</v>
      </c>
      <c r="Q370" t="str">
        <f>ASSETs!$AD$2</f>
        <v>Phang-nga</v>
      </c>
      <c r="R370">
        <f>ASSETs!$AE$2</f>
        <v>99</v>
      </c>
      <c r="S370" s="11">
        <v>146</v>
      </c>
      <c r="T370" s="3">
        <f>IF(TIM!F367=TIM!F367,TIM!F367,"")</f>
        <v>0</v>
      </c>
      <c r="U370" s="18">
        <f>ASSETs!X367</f>
        <v>0</v>
      </c>
      <c r="V370" t="str">
        <f>ASSETs!$AA$2</f>
        <v>Phuket</v>
      </c>
      <c r="W370" s="3">
        <f>ASSETs!$AB$2</f>
        <v>99</v>
      </c>
      <c r="X370" s="6">
        <f>ASSETs!AN367</f>
        <v>0</v>
      </c>
      <c r="Y370" t="str">
        <f>ASSETs!$AF$2</f>
        <v>12.00</v>
      </c>
      <c r="Z370" s="18">
        <v>1</v>
      </c>
    </row>
    <row r="371" spans="1:26" ht="15">
      <c r="A371" s="16">
        <f>ROWS($A$5:B371:C371)</f>
        <v>367</v>
      </c>
      <c r="B371" s="16">
        <f>ASSETs!AU368</f>
        <v>0</v>
      </c>
      <c r="C371" s="26" t="s">
        <v>309</v>
      </c>
      <c r="D371">
        <f>IF(TIM!Q368=TIM!Q368,TIM!Q368,"")</f>
        <v>0</v>
      </c>
      <c r="I371" t="str">
        <f>IFERROR(VLOOKUP(TIM!E368,ASSETs!$AA$6:$AB$7,2,FALSE),"")</f>
        <v/>
      </c>
      <c r="J371" s="2">
        <f>(IF(TIM!B368=TIM!B368,TIM!B368,""))</f>
        <v>0</v>
      </c>
      <c r="L371">
        <f>IF(TIM!C368=TIM!C368,TIM!C368,"")</f>
        <v>0</v>
      </c>
      <c r="M371">
        <f>ASSETs!W368</f>
        <v>0</v>
      </c>
      <c r="O371">
        <f>IF(TIM!G368=TIM!G368,TIM!G368,"")</f>
        <v>0</v>
      </c>
      <c r="Q371" t="str">
        <f>ASSETs!$AD$2</f>
        <v>Phang-nga</v>
      </c>
      <c r="R371">
        <f>ASSETs!$AE$2</f>
        <v>99</v>
      </c>
      <c r="S371" s="11">
        <v>146</v>
      </c>
      <c r="T371" s="3">
        <f>IF(TIM!F368=TIM!F368,TIM!F368,"")</f>
        <v>0</v>
      </c>
      <c r="U371" s="18">
        <f>ASSETs!X368</f>
        <v>0</v>
      </c>
      <c r="V371" t="str">
        <f>ASSETs!$AA$2</f>
        <v>Phuket</v>
      </c>
      <c r="W371" s="3">
        <f>ASSETs!$AB$2</f>
        <v>99</v>
      </c>
      <c r="X371" s="6">
        <f>ASSETs!AN368</f>
        <v>0</v>
      </c>
      <c r="Y371" t="str">
        <f>ASSETs!$AF$2</f>
        <v>12.00</v>
      </c>
      <c r="Z371" s="18">
        <v>1</v>
      </c>
    </row>
    <row r="372" spans="1:26" ht="15">
      <c r="A372" s="16">
        <f>ROWS($A$5:B372:C372)</f>
        <v>368</v>
      </c>
      <c r="B372" s="16">
        <f>ASSETs!AU369</f>
        <v>0</v>
      </c>
      <c r="C372" s="26" t="s">
        <v>309</v>
      </c>
      <c r="D372">
        <f>IF(TIM!Q369=TIM!Q369,TIM!Q369,"")</f>
        <v>0</v>
      </c>
      <c r="I372" t="str">
        <f>IFERROR(VLOOKUP(TIM!E369,ASSETs!$AA$6:$AB$7,2,FALSE),"")</f>
        <v/>
      </c>
      <c r="J372" s="2">
        <f>(IF(TIM!B369=TIM!B369,TIM!B369,""))</f>
        <v>0</v>
      </c>
      <c r="L372">
        <f>IF(TIM!C369=TIM!C369,TIM!C369,"")</f>
        <v>0</v>
      </c>
      <c r="M372">
        <f>ASSETs!W369</f>
        <v>0</v>
      </c>
      <c r="O372">
        <f>IF(TIM!G369=TIM!G369,TIM!G369,"")</f>
        <v>0</v>
      </c>
      <c r="Q372" t="str">
        <f>ASSETs!$AD$2</f>
        <v>Phang-nga</v>
      </c>
      <c r="R372">
        <f>ASSETs!$AE$2</f>
        <v>99</v>
      </c>
      <c r="S372" s="11">
        <v>146</v>
      </c>
      <c r="T372" s="3">
        <f>IF(TIM!F369=TIM!F369,TIM!F369,"")</f>
        <v>0</v>
      </c>
      <c r="U372" s="18">
        <f>ASSETs!X369</f>
        <v>0</v>
      </c>
      <c r="V372" t="str">
        <f>ASSETs!$AA$2</f>
        <v>Phuket</v>
      </c>
      <c r="W372" s="3">
        <f>ASSETs!$AB$2</f>
        <v>99</v>
      </c>
      <c r="X372" s="6">
        <f>ASSETs!AN369</f>
        <v>0</v>
      </c>
      <c r="Y372" t="str">
        <f>ASSETs!$AF$2</f>
        <v>12.00</v>
      </c>
      <c r="Z372" s="18">
        <v>1</v>
      </c>
    </row>
    <row r="373" spans="1:26" ht="15">
      <c r="A373" s="16">
        <f>ROWS($A$5:B373:C373)</f>
        <v>369</v>
      </c>
      <c r="B373" s="16">
        <f>ASSETs!AU370</f>
        <v>0</v>
      </c>
      <c r="C373" s="26" t="s">
        <v>309</v>
      </c>
      <c r="D373">
        <f>IF(TIM!Q370=TIM!Q370,TIM!Q370,"")</f>
        <v>0</v>
      </c>
      <c r="I373" t="str">
        <f>IFERROR(VLOOKUP(TIM!E370,ASSETs!$AA$6:$AB$7,2,FALSE),"")</f>
        <v/>
      </c>
      <c r="J373" s="2">
        <f>(IF(TIM!B370=TIM!B370,TIM!B370,""))</f>
        <v>0</v>
      </c>
      <c r="L373">
        <f>IF(TIM!C370=TIM!C370,TIM!C370,"")</f>
        <v>0</v>
      </c>
      <c r="M373">
        <f>ASSETs!W370</f>
        <v>0</v>
      </c>
      <c r="O373">
        <f>IF(TIM!G370=TIM!G370,TIM!G370,"")</f>
        <v>0</v>
      </c>
      <c r="Q373" t="str">
        <f>ASSETs!$AD$2</f>
        <v>Phang-nga</v>
      </c>
      <c r="R373">
        <f>ASSETs!$AE$2</f>
        <v>99</v>
      </c>
      <c r="S373" s="11">
        <v>146</v>
      </c>
      <c r="T373" s="3">
        <f>IF(TIM!F370=TIM!F370,TIM!F370,"")</f>
        <v>0</v>
      </c>
      <c r="U373" s="18">
        <f>ASSETs!X370</f>
        <v>0</v>
      </c>
      <c r="V373" t="str">
        <f>ASSETs!$AA$2</f>
        <v>Phuket</v>
      </c>
      <c r="W373" s="3">
        <f>ASSETs!$AB$2</f>
        <v>99</v>
      </c>
      <c r="X373" s="6">
        <f>ASSETs!AN370</f>
        <v>0</v>
      </c>
      <c r="Y373" t="str">
        <f>ASSETs!$AF$2</f>
        <v>12.00</v>
      </c>
      <c r="Z373" s="18">
        <v>1</v>
      </c>
    </row>
    <row r="374" spans="1:26" ht="15">
      <c r="A374" s="16">
        <f>ROWS($A$5:B374:C374)</f>
        <v>370</v>
      </c>
      <c r="B374" s="16">
        <f>ASSETs!AU371</f>
        <v>0</v>
      </c>
      <c r="C374" s="26" t="s">
        <v>309</v>
      </c>
      <c r="D374">
        <f>IF(TIM!Q371=TIM!Q371,TIM!Q371,"")</f>
        <v>0</v>
      </c>
      <c r="I374" t="str">
        <f>IFERROR(VLOOKUP(TIM!E371,ASSETs!$AA$6:$AB$7,2,FALSE),"")</f>
        <v/>
      </c>
      <c r="J374" s="2">
        <f>(IF(TIM!B371=TIM!B371,TIM!B371,""))</f>
        <v>0</v>
      </c>
      <c r="L374">
        <f>IF(TIM!C371=TIM!C371,TIM!C371,"")</f>
        <v>0</v>
      </c>
      <c r="M374">
        <f>ASSETs!W371</f>
        <v>0</v>
      </c>
      <c r="O374">
        <f>IF(TIM!G371=TIM!G371,TIM!G371,"")</f>
        <v>0</v>
      </c>
      <c r="Q374" t="str">
        <f>ASSETs!$AD$2</f>
        <v>Phang-nga</v>
      </c>
      <c r="R374">
        <f>ASSETs!$AE$2</f>
        <v>99</v>
      </c>
      <c r="S374" s="11">
        <v>146</v>
      </c>
      <c r="T374" s="3">
        <f>IF(TIM!F371=TIM!F371,TIM!F371,"")</f>
        <v>0</v>
      </c>
      <c r="U374" s="18">
        <f>ASSETs!X371</f>
        <v>0</v>
      </c>
      <c r="V374" t="str">
        <f>ASSETs!$AA$2</f>
        <v>Phuket</v>
      </c>
      <c r="W374" s="3">
        <f>ASSETs!$AB$2</f>
        <v>99</v>
      </c>
      <c r="X374" s="6">
        <f>ASSETs!AN371</f>
        <v>0</v>
      </c>
      <c r="Y374" t="str">
        <f>ASSETs!$AF$2</f>
        <v>12.00</v>
      </c>
      <c r="Z374" s="18">
        <v>1</v>
      </c>
    </row>
    <row r="375" spans="1:26" ht="15">
      <c r="A375" s="16">
        <f>ROWS($A$5:B375:C375)</f>
        <v>371</v>
      </c>
      <c r="B375" s="16">
        <f>ASSETs!AU372</f>
        <v>0</v>
      </c>
      <c r="C375" s="26" t="s">
        <v>309</v>
      </c>
      <c r="D375">
        <f>IF(TIM!Q372=TIM!Q372,TIM!Q372,"")</f>
        <v>0</v>
      </c>
      <c r="I375" t="str">
        <f>IFERROR(VLOOKUP(TIM!E372,ASSETs!$AA$6:$AB$7,2,FALSE),"")</f>
        <v/>
      </c>
      <c r="J375" s="2">
        <f>(IF(TIM!B372=TIM!B372,TIM!B372,""))</f>
        <v>0</v>
      </c>
      <c r="L375">
        <f>IF(TIM!C372=TIM!C372,TIM!C372,"")</f>
        <v>0</v>
      </c>
      <c r="M375">
        <f>ASSETs!W372</f>
        <v>0</v>
      </c>
      <c r="O375">
        <f>IF(TIM!G372=TIM!G372,TIM!G372,"")</f>
        <v>0</v>
      </c>
      <c r="Q375" t="str">
        <f>ASSETs!$AD$2</f>
        <v>Phang-nga</v>
      </c>
      <c r="R375">
        <f>ASSETs!$AE$2</f>
        <v>99</v>
      </c>
      <c r="S375" s="11">
        <v>146</v>
      </c>
      <c r="T375" s="3">
        <f>IF(TIM!F372=TIM!F372,TIM!F372,"")</f>
        <v>0</v>
      </c>
      <c r="U375" s="18">
        <f>ASSETs!X372</f>
        <v>0</v>
      </c>
      <c r="V375" t="str">
        <f>ASSETs!$AA$2</f>
        <v>Phuket</v>
      </c>
      <c r="W375" s="3">
        <f>ASSETs!$AB$2</f>
        <v>99</v>
      </c>
      <c r="X375" s="6">
        <f>ASSETs!AN372</f>
        <v>0</v>
      </c>
      <c r="Y375" t="str">
        <f>ASSETs!$AF$2</f>
        <v>12.00</v>
      </c>
      <c r="Z375" s="18">
        <v>1</v>
      </c>
    </row>
    <row r="376" spans="1:26" ht="15">
      <c r="A376" s="16">
        <f>ROWS($A$5:B376:C376)</f>
        <v>372</v>
      </c>
      <c r="B376" s="16">
        <f>ASSETs!AU373</f>
        <v>0</v>
      </c>
      <c r="C376" s="26" t="s">
        <v>309</v>
      </c>
      <c r="D376">
        <f>IF(TIM!Q373=TIM!Q373,TIM!Q373,"")</f>
        <v>0</v>
      </c>
      <c r="I376" t="str">
        <f>IFERROR(VLOOKUP(TIM!E373,ASSETs!$AA$6:$AB$7,2,FALSE),"")</f>
        <v/>
      </c>
      <c r="J376" s="2">
        <f>(IF(TIM!B373=TIM!B373,TIM!B373,""))</f>
        <v>0</v>
      </c>
      <c r="L376">
        <f>IF(TIM!C373=TIM!C373,TIM!C373,"")</f>
        <v>0</v>
      </c>
      <c r="M376">
        <f>ASSETs!W373</f>
        <v>0</v>
      </c>
      <c r="O376">
        <f>IF(TIM!G373=TIM!G373,TIM!G373,"")</f>
        <v>0</v>
      </c>
      <c r="Q376" t="str">
        <f>ASSETs!$AD$2</f>
        <v>Phang-nga</v>
      </c>
      <c r="R376">
        <f>ASSETs!$AE$2</f>
        <v>99</v>
      </c>
      <c r="S376" s="11">
        <v>146</v>
      </c>
      <c r="T376" s="3">
        <f>IF(TIM!F373=TIM!F373,TIM!F373,"")</f>
        <v>0</v>
      </c>
      <c r="U376" s="18">
        <f>ASSETs!X373</f>
        <v>0</v>
      </c>
      <c r="V376" t="str">
        <f>ASSETs!$AA$2</f>
        <v>Phuket</v>
      </c>
      <c r="W376" s="3">
        <f>ASSETs!$AB$2</f>
        <v>99</v>
      </c>
      <c r="X376" s="6">
        <f>ASSETs!AN373</f>
        <v>0</v>
      </c>
      <c r="Y376" t="str">
        <f>ASSETs!$AF$2</f>
        <v>12.00</v>
      </c>
      <c r="Z376" s="18">
        <v>1</v>
      </c>
    </row>
    <row r="377" spans="1:26" ht="15">
      <c r="A377" s="16">
        <f>ROWS($A$5:B377:C377)</f>
        <v>373</v>
      </c>
      <c r="B377" s="16">
        <f>ASSETs!AU374</f>
        <v>0</v>
      </c>
      <c r="C377" s="26" t="s">
        <v>309</v>
      </c>
      <c r="D377">
        <f>IF(TIM!Q374=TIM!Q374,TIM!Q374,"")</f>
        <v>0</v>
      </c>
      <c r="I377" t="str">
        <f>IFERROR(VLOOKUP(TIM!E374,ASSETs!$AA$6:$AB$7,2,FALSE),"")</f>
        <v/>
      </c>
      <c r="J377" s="2">
        <f>(IF(TIM!B374=TIM!B374,TIM!B374,""))</f>
        <v>0</v>
      </c>
      <c r="L377">
        <f>IF(TIM!C374=TIM!C374,TIM!C374,"")</f>
        <v>0</v>
      </c>
      <c r="M377">
        <f>ASSETs!W374</f>
        <v>0</v>
      </c>
      <c r="O377">
        <f>IF(TIM!G374=TIM!G374,TIM!G374,"")</f>
        <v>0</v>
      </c>
      <c r="Q377" t="str">
        <f>ASSETs!$AD$2</f>
        <v>Phang-nga</v>
      </c>
      <c r="R377">
        <f>ASSETs!$AE$2</f>
        <v>99</v>
      </c>
      <c r="S377" s="11">
        <v>146</v>
      </c>
      <c r="T377" s="3">
        <f>IF(TIM!F374=TIM!F374,TIM!F374,"")</f>
        <v>0</v>
      </c>
      <c r="U377" s="18">
        <f>ASSETs!X374</f>
        <v>0</v>
      </c>
      <c r="V377" t="str">
        <f>ASSETs!$AA$2</f>
        <v>Phuket</v>
      </c>
      <c r="W377" s="3">
        <f>ASSETs!$AB$2</f>
        <v>99</v>
      </c>
      <c r="X377" s="6">
        <f>ASSETs!AN374</f>
        <v>0</v>
      </c>
      <c r="Y377" t="str">
        <f>ASSETs!$AF$2</f>
        <v>12.00</v>
      </c>
      <c r="Z377" s="18">
        <v>1</v>
      </c>
    </row>
    <row r="378" spans="1:26" ht="15">
      <c r="A378" s="16">
        <f>ROWS($A$5:B378:C378)</f>
        <v>374</v>
      </c>
      <c r="B378" s="16">
        <f>ASSETs!AU375</f>
        <v>0</v>
      </c>
      <c r="C378" s="26" t="s">
        <v>309</v>
      </c>
      <c r="D378">
        <f>IF(TIM!Q375=TIM!Q375,TIM!Q375,"")</f>
        <v>0</v>
      </c>
      <c r="I378" t="str">
        <f>IFERROR(VLOOKUP(TIM!E375,ASSETs!$AA$6:$AB$7,2,FALSE),"")</f>
        <v/>
      </c>
      <c r="J378" s="2">
        <f>(IF(TIM!B375=TIM!B375,TIM!B375,""))</f>
        <v>0</v>
      </c>
      <c r="L378">
        <f>IF(TIM!C375=TIM!C375,TIM!C375,"")</f>
        <v>0</v>
      </c>
      <c r="M378">
        <f>ASSETs!W375</f>
        <v>0</v>
      </c>
      <c r="O378">
        <f>IF(TIM!G375=TIM!G375,TIM!G375,"")</f>
        <v>0</v>
      </c>
      <c r="Q378" t="str">
        <f>ASSETs!$AD$2</f>
        <v>Phang-nga</v>
      </c>
      <c r="R378">
        <f>ASSETs!$AE$2</f>
        <v>99</v>
      </c>
      <c r="S378" s="11">
        <v>146</v>
      </c>
      <c r="T378" s="3">
        <f>IF(TIM!F375=TIM!F375,TIM!F375,"")</f>
        <v>0</v>
      </c>
      <c r="U378" s="18">
        <f>ASSETs!X375</f>
        <v>0</v>
      </c>
      <c r="V378" t="str">
        <f>ASSETs!$AA$2</f>
        <v>Phuket</v>
      </c>
      <c r="W378" s="3">
        <f>ASSETs!$AB$2</f>
        <v>99</v>
      </c>
      <c r="X378" s="6">
        <f>ASSETs!AN375</f>
        <v>0</v>
      </c>
      <c r="Y378" t="str">
        <f>ASSETs!$AF$2</f>
        <v>12.00</v>
      </c>
      <c r="Z378" s="18">
        <v>1</v>
      </c>
    </row>
    <row r="379" spans="1:26" ht="15">
      <c r="A379" s="16">
        <f>ROWS($A$5:B379:C379)</f>
        <v>375</v>
      </c>
      <c r="B379" s="16">
        <f>ASSETs!AU376</f>
        <v>0</v>
      </c>
      <c r="C379" s="26" t="s">
        <v>309</v>
      </c>
      <c r="D379">
        <f>IF(TIM!Q376=TIM!Q376,TIM!Q376,"")</f>
        <v>0</v>
      </c>
      <c r="I379" t="str">
        <f>IFERROR(VLOOKUP(TIM!E376,ASSETs!$AA$6:$AB$7,2,FALSE),"")</f>
        <v/>
      </c>
      <c r="J379" s="2">
        <f>(IF(TIM!B376=TIM!B376,TIM!B376,""))</f>
        <v>0</v>
      </c>
      <c r="L379">
        <f>IF(TIM!C376=TIM!C376,TIM!C376,"")</f>
        <v>0</v>
      </c>
      <c r="M379">
        <f>ASSETs!W376</f>
        <v>0</v>
      </c>
      <c r="O379">
        <f>IF(TIM!G376=TIM!G376,TIM!G376,"")</f>
        <v>0</v>
      </c>
      <c r="Q379" t="str">
        <f>ASSETs!$AD$2</f>
        <v>Phang-nga</v>
      </c>
      <c r="R379">
        <f>ASSETs!$AE$2</f>
        <v>99</v>
      </c>
      <c r="S379" s="11">
        <v>146</v>
      </c>
      <c r="T379" s="3">
        <f>IF(TIM!F376=TIM!F376,TIM!F376,"")</f>
        <v>0</v>
      </c>
      <c r="U379" s="18">
        <f>ASSETs!X376</f>
        <v>0</v>
      </c>
      <c r="V379" t="str">
        <f>ASSETs!$AA$2</f>
        <v>Phuket</v>
      </c>
      <c r="W379" s="3">
        <f>ASSETs!$AB$2</f>
        <v>99</v>
      </c>
      <c r="X379" s="6">
        <f>ASSETs!AN376</f>
        <v>0</v>
      </c>
      <c r="Y379" t="str">
        <f>ASSETs!$AF$2</f>
        <v>12.00</v>
      </c>
      <c r="Z379" s="18">
        <v>1</v>
      </c>
    </row>
    <row r="380" spans="1:26" ht="15">
      <c r="A380" s="16">
        <f>ROWS($A$5:B380:C380)</f>
        <v>376</v>
      </c>
      <c r="B380" s="16">
        <f>ASSETs!AU377</f>
        <v>0</v>
      </c>
      <c r="C380" s="26" t="s">
        <v>309</v>
      </c>
      <c r="D380">
        <f>IF(TIM!Q377=TIM!Q377,TIM!Q377,"")</f>
        <v>0</v>
      </c>
      <c r="I380" t="str">
        <f>IFERROR(VLOOKUP(TIM!E377,ASSETs!$AA$6:$AB$7,2,FALSE),"")</f>
        <v/>
      </c>
      <c r="J380" s="2">
        <f>(IF(TIM!B377=TIM!B377,TIM!B377,""))</f>
        <v>0</v>
      </c>
      <c r="L380">
        <f>IF(TIM!C377=TIM!C377,TIM!C377,"")</f>
        <v>0</v>
      </c>
      <c r="M380">
        <f>ASSETs!W377</f>
        <v>0</v>
      </c>
      <c r="O380">
        <f>IF(TIM!G377=TIM!G377,TIM!G377,"")</f>
        <v>0</v>
      </c>
      <c r="Q380" t="str">
        <f>ASSETs!$AD$2</f>
        <v>Phang-nga</v>
      </c>
      <c r="R380">
        <f>ASSETs!$AE$2</f>
        <v>99</v>
      </c>
      <c r="S380" s="11">
        <v>146</v>
      </c>
      <c r="T380" s="3">
        <f>IF(TIM!F377=TIM!F377,TIM!F377,"")</f>
        <v>0</v>
      </c>
      <c r="U380" s="18">
        <f>ASSETs!X377</f>
        <v>0</v>
      </c>
      <c r="V380" t="str">
        <f>ASSETs!$AA$2</f>
        <v>Phuket</v>
      </c>
      <c r="W380" s="3">
        <f>ASSETs!$AB$2</f>
        <v>99</v>
      </c>
      <c r="X380" s="6">
        <f>ASSETs!AN377</f>
        <v>0</v>
      </c>
      <c r="Y380" t="str">
        <f>ASSETs!$AF$2</f>
        <v>12.00</v>
      </c>
      <c r="Z380" s="18">
        <v>1</v>
      </c>
    </row>
    <row r="381" spans="1:26" ht="15">
      <c r="A381" s="16">
        <f>ROWS($A$5:B381:C381)</f>
        <v>377</v>
      </c>
      <c r="B381" s="16">
        <f>ASSETs!AU378</f>
        <v>0</v>
      </c>
      <c r="C381" s="26" t="s">
        <v>309</v>
      </c>
      <c r="D381">
        <f>IF(TIM!Q378=TIM!Q378,TIM!Q378,"")</f>
        <v>0</v>
      </c>
      <c r="I381" t="str">
        <f>IFERROR(VLOOKUP(TIM!E378,ASSETs!$AA$6:$AB$7,2,FALSE),"")</f>
        <v/>
      </c>
      <c r="J381" s="2">
        <f>(IF(TIM!B378=TIM!B378,TIM!B378,""))</f>
        <v>0</v>
      </c>
      <c r="L381">
        <f>IF(TIM!C378=TIM!C378,TIM!C378,"")</f>
        <v>0</v>
      </c>
      <c r="M381">
        <f>ASSETs!W378</f>
        <v>0</v>
      </c>
      <c r="O381">
        <f>IF(TIM!G378=TIM!G378,TIM!G378,"")</f>
        <v>0</v>
      </c>
      <c r="Q381" t="str">
        <f>ASSETs!$AD$2</f>
        <v>Phang-nga</v>
      </c>
      <c r="R381">
        <f>ASSETs!$AE$2</f>
        <v>99</v>
      </c>
      <c r="S381" s="11">
        <v>146</v>
      </c>
      <c r="T381" s="3">
        <f>IF(TIM!F378=TIM!F378,TIM!F378,"")</f>
        <v>0</v>
      </c>
      <c r="U381" s="18">
        <f>ASSETs!X378</f>
        <v>0</v>
      </c>
      <c r="V381" t="str">
        <f>ASSETs!$AA$2</f>
        <v>Phuket</v>
      </c>
      <c r="W381" s="3">
        <f>ASSETs!$AB$2</f>
        <v>99</v>
      </c>
      <c r="X381" s="6">
        <f>ASSETs!AN378</f>
        <v>0</v>
      </c>
      <c r="Y381" t="str">
        <f>ASSETs!$AF$2</f>
        <v>12.00</v>
      </c>
      <c r="Z381" s="18">
        <v>1</v>
      </c>
    </row>
    <row r="382" spans="1:26" ht="15">
      <c r="A382" s="16">
        <f>ROWS($A$5:B382:C382)</f>
        <v>378</v>
      </c>
      <c r="B382" s="16">
        <f>ASSETs!AU379</f>
        <v>0</v>
      </c>
      <c r="C382" s="26" t="s">
        <v>309</v>
      </c>
      <c r="D382">
        <f>IF(TIM!Q379=TIM!Q379,TIM!Q379,"")</f>
        <v>0</v>
      </c>
      <c r="I382" t="str">
        <f>IFERROR(VLOOKUP(TIM!E379,ASSETs!$AA$6:$AB$7,2,FALSE),"")</f>
        <v/>
      </c>
      <c r="J382" s="2">
        <f>(IF(TIM!B379=TIM!B379,TIM!B379,""))</f>
        <v>0</v>
      </c>
      <c r="L382">
        <f>IF(TIM!C379=TIM!C379,TIM!C379,"")</f>
        <v>0</v>
      </c>
      <c r="M382">
        <f>ASSETs!W379</f>
        <v>0</v>
      </c>
      <c r="O382">
        <f>IF(TIM!G379=TIM!G379,TIM!G379,"")</f>
        <v>0</v>
      </c>
      <c r="Q382" t="str">
        <f>ASSETs!$AD$2</f>
        <v>Phang-nga</v>
      </c>
      <c r="R382">
        <f>ASSETs!$AE$2</f>
        <v>99</v>
      </c>
      <c r="S382" s="11">
        <v>146</v>
      </c>
      <c r="T382" s="3">
        <f>IF(TIM!F379=TIM!F379,TIM!F379,"")</f>
        <v>0</v>
      </c>
      <c r="U382" s="18">
        <f>ASSETs!X379</f>
        <v>0</v>
      </c>
      <c r="V382" t="str">
        <f>ASSETs!$AA$2</f>
        <v>Phuket</v>
      </c>
      <c r="W382" s="3">
        <f>ASSETs!$AB$2</f>
        <v>99</v>
      </c>
      <c r="X382" s="6">
        <f>ASSETs!AN379</f>
        <v>0</v>
      </c>
      <c r="Y382" t="str">
        <f>ASSETs!$AF$2</f>
        <v>12.00</v>
      </c>
      <c r="Z382" s="18">
        <v>1</v>
      </c>
    </row>
    <row r="383" spans="1:26" ht="15">
      <c r="A383" s="16">
        <f>ROWS($A$5:B383:C383)</f>
        <v>379</v>
      </c>
      <c r="B383" s="16">
        <f>ASSETs!AU380</f>
        <v>0</v>
      </c>
      <c r="C383" s="26" t="s">
        <v>309</v>
      </c>
      <c r="D383">
        <f>IF(TIM!Q380=TIM!Q380,TIM!Q380,"")</f>
        <v>0</v>
      </c>
      <c r="I383" t="str">
        <f>IFERROR(VLOOKUP(TIM!E380,ASSETs!$AA$6:$AB$7,2,FALSE),"")</f>
        <v/>
      </c>
      <c r="J383" s="2">
        <f>(IF(TIM!B380=TIM!B380,TIM!B380,""))</f>
        <v>0</v>
      </c>
      <c r="L383">
        <f>IF(TIM!C380=TIM!C380,TIM!C380,"")</f>
        <v>0</v>
      </c>
      <c r="M383">
        <f>ASSETs!W380</f>
        <v>0</v>
      </c>
      <c r="O383">
        <f>IF(TIM!G380=TIM!G380,TIM!G380,"")</f>
        <v>0</v>
      </c>
      <c r="Q383" t="str">
        <f>ASSETs!$AD$2</f>
        <v>Phang-nga</v>
      </c>
      <c r="R383">
        <f>ASSETs!$AE$2</f>
        <v>99</v>
      </c>
      <c r="S383" s="11">
        <v>146</v>
      </c>
      <c r="T383" s="3">
        <f>IF(TIM!F380=TIM!F380,TIM!F380,"")</f>
        <v>0</v>
      </c>
      <c r="U383" s="18">
        <f>ASSETs!X380</f>
        <v>0</v>
      </c>
      <c r="V383" t="str">
        <f>ASSETs!$AA$2</f>
        <v>Phuket</v>
      </c>
      <c r="W383" s="3">
        <f>ASSETs!$AB$2</f>
        <v>99</v>
      </c>
      <c r="X383" s="6">
        <f>ASSETs!AN380</f>
        <v>0</v>
      </c>
      <c r="Y383" t="str">
        <f>ASSETs!$AF$2</f>
        <v>12.00</v>
      </c>
      <c r="Z383" s="18">
        <v>1</v>
      </c>
    </row>
    <row r="384" spans="1:26" ht="15">
      <c r="A384" s="16">
        <f>ROWS($A$5:B384:C384)</f>
        <v>380</v>
      </c>
      <c r="B384" s="16">
        <f>ASSETs!AU381</f>
        <v>0</v>
      </c>
      <c r="C384" s="26" t="s">
        <v>309</v>
      </c>
      <c r="D384">
        <f>IF(TIM!Q381=TIM!Q381,TIM!Q381,"")</f>
        <v>0</v>
      </c>
      <c r="I384" t="str">
        <f>IFERROR(VLOOKUP(TIM!E381,ASSETs!$AA$6:$AB$7,2,FALSE),"")</f>
        <v/>
      </c>
      <c r="J384" s="2">
        <f>(IF(TIM!B381=TIM!B381,TIM!B381,""))</f>
        <v>0</v>
      </c>
      <c r="L384">
        <f>IF(TIM!C381=TIM!C381,TIM!C381,"")</f>
        <v>0</v>
      </c>
      <c r="M384">
        <f>ASSETs!W381</f>
        <v>0</v>
      </c>
      <c r="O384">
        <f>IF(TIM!G381=TIM!G381,TIM!G381,"")</f>
        <v>0</v>
      </c>
      <c r="Q384" t="str">
        <f>ASSETs!$AD$2</f>
        <v>Phang-nga</v>
      </c>
      <c r="R384">
        <f>ASSETs!$AE$2</f>
        <v>99</v>
      </c>
      <c r="S384" s="11">
        <v>146</v>
      </c>
      <c r="T384" s="3">
        <f>IF(TIM!F381=TIM!F381,TIM!F381,"")</f>
        <v>0</v>
      </c>
      <c r="U384" s="18">
        <f>ASSETs!X381</f>
        <v>0</v>
      </c>
      <c r="V384" t="str">
        <f>ASSETs!$AA$2</f>
        <v>Phuket</v>
      </c>
      <c r="W384" s="3">
        <f>ASSETs!$AB$2</f>
        <v>99</v>
      </c>
      <c r="X384" s="6">
        <f>ASSETs!AN381</f>
        <v>0</v>
      </c>
      <c r="Y384" t="str">
        <f>ASSETs!$AF$2</f>
        <v>12.00</v>
      </c>
      <c r="Z384" s="18">
        <v>1</v>
      </c>
    </row>
    <row r="385" spans="1:26" ht="15">
      <c r="A385" s="16">
        <f>ROWS($A$5:B385:C385)</f>
        <v>381</v>
      </c>
      <c r="B385" s="16">
        <f>ASSETs!AU382</f>
        <v>0</v>
      </c>
      <c r="C385" s="26" t="s">
        <v>309</v>
      </c>
      <c r="D385">
        <f>IF(TIM!Q382=TIM!Q382,TIM!Q382,"")</f>
        <v>0</v>
      </c>
      <c r="I385" t="str">
        <f>IFERROR(VLOOKUP(TIM!E382,ASSETs!$AA$6:$AB$7,2,FALSE),"")</f>
        <v/>
      </c>
      <c r="J385" s="2">
        <f>(IF(TIM!B382=TIM!B382,TIM!B382,""))</f>
        <v>0</v>
      </c>
      <c r="L385">
        <f>IF(TIM!C382=TIM!C382,TIM!C382,"")</f>
        <v>0</v>
      </c>
      <c r="M385">
        <f>ASSETs!W382</f>
        <v>0</v>
      </c>
      <c r="O385">
        <f>IF(TIM!G382=TIM!G382,TIM!G382,"")</f>
        <v>0</v>
      </c>
      <c r="Q385" t="str">
        <f>ASSETs!$AD$2</f>
        <v>Phang-nga</v>
      </c>
      <c r="R385">
        <f>ASSETs!$AE$2</f>
        <v>99</v>
      </c>
      <c r="S385" s="11">
        <v>146</v>
      </c>
      <c r="T385" s="3">
        <f>IF(TIM!F382=TIM!F382,TIM!F382,"")</f>
        <v>0</v>
      </c>
      <c r="U385" s="18">
        <f>ASSETs!X382</f>
        <v>0</v>
      </c>
      <c r="V385" t="str">
        <f>ASSETs!$AA$2</f>
        <v>Phuket</v>
      </c>
      <c r="W385" s="3">
        <f>ASSETs!$AB$2</f>
        <v>99</v>
      </c>
      <c r="X385" s="6">
        <f>ASSETs!AN382</f>
        <v>0</v>
      </c>
      <c r="Y385" t="str">
        <f>ASSETs!$AF$2</f>
        <v>12.00</v>
      </c>
      <c r="Z385" s="18">
        <v>1</v>
      </c>
    </row>
    <row r="386" spans="1:26" ht="15">
      <c r="A386" s="16">
        <f>ROWS($A$5:B386:C386)</f>
        <v>382</v>
      </c>
      <c r="B386" s="16">
        <f>ASSETs!AU383</f>
        <v>0</v>
      </c>
      <c r="C386" s="26" t="s">
        <v>309</v>
      </c>
      <c r="D386">
        <f>IF(TIM!Q383=TIM!Q383,TIM!Q383,"")</f>
        <v>0</v>
      </c>
      <c r="I386" t="str">
        <f>IFERROR(VLOOKUP(TIM!E383,ASSETs!$AA$6:$AB$7,2,FALSE),"")</f>
        <v/>
      </c>
      <c r="J386" s="2">
        <f>(IF(TIM!B383=TIM!B383,TIM!B383,""))</f>
        <v>0</v>
      </c>
      <c r="L386">
        <f>IF(TIM!C383=TIM!C383,TIM!C383,"")</f>
        <v>0</v>
      </c>
      <c r="M386">
        <f>ASSETs!W383</f>
        <v>0</v>
      </c>
      <c r="O386">
        <f>IF(TIM!G383=TIM!G383,TIM!G383,"")</f>
        <v>0</v>
      </c>
      <c r="Q386" t="str">
        <f>ASSETs!$AD$2</f>
        <v>Phang-nga</v>
      </c>
      <c r="R386">
        <f>ASSETs!$AE$2</f>
        <v>99</v>
      </c>
      <c r="S386" s="11">
        <v>146</v>
      </c>
      <c r="T386" s="3">
        <f>IF(TIM!F383=TIM!F383,TIM!F383,"")</f>
        <v>0</v>
      </c>
      <c r="U386" s="18">
        <f>ASSETs!X383</f>
        <v>0</v>
      </c>
      <c r="V386" t="str">
        <f>ASSETs!$AA$2</f>
        <v>Phuket</v>
      </c>
      <c r="W386" s="3">
        <f>ASSETs!$AB$2</f>
        <v>99</v>
      </c>
      <c r="X386" s="6">
        <f>ASSETs!AN383</f>
        <v>0</v>
      </c>
      <c r="Y386" t="str">
        <f>ASSETs!$AF$2</f>
        <v>12.00</v>
      </c>
      <c r="Z386" s="18">
        <v>1</v>
      </c>
    </row>
    <row r="387" spans="1:26" ht="15">
      <c r="A387" s="16">
        <f>ROWS($A$5:B387:C387)</f>
        <v>383</v>
      </c>
      <c r="B387" s="16">
        <f>ASSETs!AU384</f>
        <v>0</v>
      </c>
      <c r="C387" s="26" t="s">
        <v>309</v>
      </c>
      <c r="D387">
        <f>IF(TIM!Q384=TIM!Q384,TIM!Q384,"")</f>
        <v>0</v>
      </c>
      <c r="I387" t="str">
        <f>IFERROR(VLOOKUP(TIM!E384,ASSETs!$AA$6:$AB$7,2,FALSE),"")</f>
        <v/>
      </c>
      <c r="J387" s="2">
        <f>(IF(TIM!B384=TIM!B384,TIM!B384,""))</f>
        <v>0</v>
      </c>
      <c r="L387">
        <f>IF(TIM!C384=TIM!C384,TIM!C384,"")</f>
        <v>0</v>
      </c>
      <c r="M387">
        <f>ASSETs!W384</f>
        <v>0</v>
      </c>
      <c r="O387">
        <f>IF(TIM!G384=TIM!G384,TIM!G384,"")</f>
        <v>0</v>
      </c>
      <c r="Q387" t="str">
        <f>ASSETs!$AD$2</f>
        <v>Phang-nga</v>
      </c>
      <c r="R387">
        <f>ASSETs!$AE$2</f>
        <v>99</v>
      </c>
      <c r="S387" s="11">
        <v>146</v>
      </c>
      <c r="T387" s="3">
        <f>IF(TIM!F384=TIM!F384,TIM!F384,"")</f>
        <v>0</v>
      </c>
      <c r="U387" s="18">
        <f>ASSETs!X384</f>
        <v>0</v>
      </c>
      <c r="V387" t="str">
        <f>ASSETs!$AA$2</f>
        <v>Phuket</v>
      </c>
      <c r="W387" s="3">
        <f>ASSETs!$AB$2</f>
        <v>99</v>
      </c>
      <c r="X387" s="6">
        <f>ASSETs!AN384</f>
        <v>0</v>
      </c>
      <c r="Y387" t="str">
        <f>ASSETs!$AF$2</f>
        <v>12.00</v>
      </c>
      <c r="Z387" s="18">
        <v>1</v>
      </c>
    </row>
  </sheetData>
  <mergeCells count="5">
    <mergeCell ref="A1:K1"/>
    <mergeCell ref="L1:M1"/>
    <mergeCell ref="Z1:AA1"/>
    <mergeCell ref="A2:K2"/>
    <mergeCell ref="L2:M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23C9-8312-45C2-8B86-12CB3222DF07}">
  <sheetPr codeName="Sheet5"/>
  <dimension ref="A1:AC387"/>
  <sheetViews>
    <sheetView zoomScale="70" zoomScaleNormal="70" workbookViewId="0">
      <selection activeCell="A2" sqref="A2"/>
    </sheetView>
  </sheetViews>
  <sheetFormatPr defaultColWidth="9.140625" defaultRowHeight="12.75"/>
  <cols>
    <col min="1" max="1" width="10.85546875" style="19" customWidth="1"/>
    <col min="2" max="2" width="16.28515625" style="19" customWidth="1"/>
    <col min="3" max="3" width="15.85546875" style="19" customWidth="1"/>
    <col min="4" max="4" width="13.28515625" style="19" customWidth="1"/>
    <col min="5" max="5" width="14.5703125" style="19" customWidth="1"/>
    <col min="6" max="6" width="12.5703125" style="19" customWidth="1"/>
    <col min="7" max="7" width="17.7109375" style="19" customWidth="1"/>
    <col min="8" max="8" width="15.140625" style="19" customWidth="1"/>
    <col min="9" max="9" width="15.7109375" style="19" customWidth="1"/>
    <col min="10" max="10" width="19" style="19" customWidth="1"/>
    <col min="11" max="11" width="19.140625" style="19" customWidth="1"/>
    <col min="12" max="12" width="23.7109375" style="19" customWidth="1"/>
    <col min="13" max="13" width="12.85546875" style="19" customWidth="1"/>
    <col min="14" max="15" width="29" style="19" customWidth="1"/>
    <col min="16" max="16" width="23.28515625" style="19" customWidth="1"/>
    <col min="17" max="17" width="24.85546875" style="19" customWidth="1"/>
    <col min="18" max="18" width="18.5703125" style="19" customWidth="1"/>
    <col min="19" max="19" width="15.28515625" style="19" customWidth="1"/>
    <col min="20" max="21" width="22.140625" style="19" customWidth="1"/>
    <col min="22" max="22" width="18.42578125" style="19" customWidth="1"/>
    <col min="23" max="23" width="17" style="19" customWidth="1"/>
    <col min="24" max="24" width="18.42578125" style="19" customWidth="1"/>
    <col min="25" max="25" width="18.85546875" style="19" customWidth="1"/>
    <col min="26" max="26" width="15.28515625" style="19" customWidth="1"/>
    <col min="27" max="27" width="12.28515625" style="19" customWidth="1"/>
    <col min="28" max="16384" width="9.140625" style="19"/>
  </cols>
  <sheetData>
    <row r="1" spans="1:29" ht="51" customHeight="1">
      <c r="A1" s="21" t="s">
        <v>280</v>
      </c>
      <c r="B1" s="21" t="s">
        <v>0</v>
      </c>
      <c r="C1" s="21" t="s">
        <v>1</v>
      </c>
      <c r="D1" s="22" t="s">
        <v>2</v>
      </c>
      <c r="E1" s="22" t="s">
        <v>3</v>
      </c>
      <c r="F1" s="22" t="s">
        <v>4</v>
      </c>
      <c r="G1" s="22" t="s">
        <v>5</v>
      </c>
      <c r="H1" s="22" t="s">
        <v>6</v>
      </c>
      <c r="I1" s="21" t="s">
        <v>7</v>
      </c>
      <c r="J1" s="21" t="s">
        <v>8</v>
      </c>
      <c r="K1" s="21" t="s">
        <v>9</v>
      </c>
      <c r="L1" s="21" t="s">
        <v>10</v>
      </c>
      <c r="M1" s="22" t="s">
        <v>11</v>
      </c>
      <c r="N1" s="21" t="s">
        <v>12</v>
      </c>
      <c r="O1" s="21" t="s">
        <v>13</v>
      </c>
      <c r="P1" s="21" t="s">
        <v>281</v>
      </c>
      <c r="Q1" s="21" t="s">
        <v>14</v>
      </c>
      <c r="R1" s="21" t="s">
        <v>15</v>
      </c>
      <c r="S1" s="22" t="s">
        <v>16</v>
      </c>
      <c r="T1" s="21" t="s">
        <v>17</v>
      </c>
      <c r="U1" s="21" t="s">
        <v>18</v>
      </c>
      <c r="V1" s="21" t="s">
        <v>19</v>
      </c>
      <c r="W1" s="21" t="s">
        <v>20</v>
      </c>
      <c r="X1" s="21" t="s">
        <v>21</v>
      </c>
      <c r="Y1" s="21" t="s">
        <v>22</v>
      </c>
      <c r="Z1" s="21" t="s">
        <v>23</v>
      </c>
      <c r="AA1" s="22" t="s">
        <v>24</v>
      </c>
      <c r="AB1" s="23"/>
      <c r="AC1" s="23"/>
    </row>
    <row r="2" spans="1:29" s="18" customFormat="1" ht="15">
      <c r="A2" s="16"/>
      <c r="B2" s="16"/>
      <c r="C2" s="26"/>
      <c r="D2"/>
      <c r="E2" s="19"/>
      <c r="F2" s="19"/>
      <c r="H2" s="19"/>
      <c r="I2"/>
      <c r="J2" s="2"/>
      <c r="L2"/>
      <c r="M2"/>
      <c r="O2"/>
      <c r="P2" s="27"/>
      <c r="Q2"/>
      <c r="R2"/>
      <c r="S2" s="11"/>
      <c r="T2" s="3"/>
      <c r="V2"/>
      <c r="W2" s="3"/>
      <c r="X2" s="30"/>
      <c r="Y2" s="3"/>
    </row>
    <row r="3" spans="1:29" s="18" customFormat="1" ht="15">
      <c r="A3" s="16"/>
      <c r="B3" s="16"/>
      <c r="C3" s="26"/>
      <c r="D3"/>
      <c r="E3" s="19"/>
      <c r="F3" s="19"/>
      <c r="G3" s="19"/>
      <c r="H3" s="19"/>
      <c r="I3"/>
      <c r="J3" s="2"/>
      <c r="K3" s="19"/>
      <c r="L3"/>
      <c r="M3"/>
      <c r="O3"/>
      <c r="Q3"/>
      <c r="R3"/>
      <c r="S3" s="11"/>
      <c r="T3" s="3"/>
      <c r="V3"/>
      <c r="W3" s="3"/>
      <c r="X3" s="30"/>
      <c r="Y3" s="3"/>
      <c r="AA3" s="19"/>
    </row>
    <row r="4" spans="1:29" s="18" customFormat="1" ht="15">
      <c r="A4" s="16"/>
      <c r="B4" s="16"/>
      <c r="C4" s="26"/>
      <c r="D4"/>
      <c r="E4" s="19"/>
      <c r="F4" s="19"/>
      <c r="H4" s="19"/>
      <c r="I4"/>
      <c r="J4" s="2"/>
      <c r="L4"/>
      <c r="M4"/>
      <c r="O4"/>
      <c r="Q4"/>
      <c r="R4"/>
      <c r="S4" s="11"/>
      <c r="T4" s="3"/>
      <c r="V4"/>
      <c r="W4" s="3"/>
      <c r="X4" s="30"/>
      <c r="Y4" s="3"/>
    </row>
    <row r="5" spans="1:29" s="18" customFormat="1" ht="15">
      <c r="A5" s="16"/>
      <c r="B5" s="16"/>
      <c r="C5" s="26"/>
      <c r="D5"/>
      <c r="F5" s="19"/>
      <c r="H5" s="19"/>
      <c r="I5"/>
      <c r="J5" s="2"/>
      <c r="L5"/>
      <c r="M5"/>
      <c r="N5" s="27"/>
      <c r="O5"/>
      <c r="Q5"/>
      <c r="R5"/>
      <c r="S5" s="11"/>
      <c r="T5" s="3"/>
      <c r="V5"/>
      <c r="W5" s="3"/>
      <c r="X5" s="30"/>
      <c r="Y5" s="3"/>
      <c r="AA5" s="19"/>
    </row>
    <row r="6" spans="1:29" s="18" customFormat="1" ht="15">
      <c r="A6" s="16"/>
      <c r="B6" s="16"/>
      <c r="C6" s="26"/>
      <c r="D6"/>
      <c r="F6" s="19"/>
      <c r="H6" s="19"/>
      <c r="I6"/>
      <c r="J6" s="2"/>
      <c r="L6"/>
      <c r="M6"/>
      <c r="N6" s="27"/>
      <c r="O6"/>
      <c r="Q6"/>
      <c r="R6"/>
      <c r="S6" s="11"/>
      <c r="T6" s="3"/>
      <c r="V6"/>
      <c r="W6" s="3"/>
      <c r="X6" s="30"/>
      <c r="Y6" s="3"/>
      <c r="AA6" s="19"/>
    </row>
    <row r="7" spans="1:29" s="18" customFormat="1" ht="15">
      <c r="A7" s="16"/>
      <c r="B7" s="16"/>
      <c r="C7" s="26"/>
      <c r="D7"/>
      <c r="I7"/>
      <c r="J7" s="2"/>
      <c r="L7"/>
      <c r="M7"/>
      <c r="N7" s="27"/>
      <c r="O7"/>
      <c r="Q7"/>
      <c r="R7"/>
      <c r="S7" s="11"/>
      <c r="T7" s="3"/>
      <c r="V7"/>
      <c r="W7" s="3"/>
      <c r="X7" s="30"/>
      <c r="Y7" s="3"/>
      <c r="AA7" s="19"/>
    </row>
    <row r="8" spans="1:29" s="18" customFormat="1" ht="15">
      <c r="A8" s="16"/>
      <c r="B8" s="16"/>
      <c r="C8" s="26"/>
      <c r="D8"/>
      <c r="I8"/>
      <c r="J8" s="2"/>
      <c r="L8"/>
      <c r="M8"/>
      <c r="N8" s="27"/>
      <c r="O8"/>
      <c r="Q8"/>
      <c r="R8"/>
      <c r="S8" s="11"/>
      <c r="T8" s="3"/>
      <c r="V8"/>
      <c r="W8" s="3"/>
      <c r="X8" s="30"/>
      <c r="Y8" s="3"/>
      <c r="AA8" s="19"/>
    </row>
    <row r="9" spans="1:29" s="18" customFormat="1" ht="15">
      <c r="A9" s="16"/>
      <c r="B9" s="16"/>
      <c r="C9" s="26"/>
      <c r="D9"/>
      <c r="E9" s="19"/>
      <c r="F9" s="19"/>
      <c r="G9" s="19"/>
      <c r="H9" s="19"/>
      <c r="I9"/>
      <c r="J9" s="2"/>
      <c r="K9" s="19"/>
      <c r="L9"/>
      <c r="M9"/>
      <c r="O9"/>
      <c r="Q9"/>
      <c r="R9"/>
      <c r="S9" s="11"/>
      <c r="T9" s="3"/>
      <c r="V9"/>
      <c r="W9" s="3"/>
      <c r="X9" s="30"/>
      <c r="Y9" s="3"/>
      <c r="AA9" s="19"/>
    </row>
    <row r="10" spans="1:29" s="18" customFormat="1" ht="15">
      <c r="A10" s="16"/>
      <c r="B10" s="16"/>
      <c r="C10" s="26"/>
      <c r="D10"/>
      <c r="E10" s="19"/>
      <c r="F10" s="19"/>
      <c r="G10" s="19"/>
      <c r="H10" s="19"/>
      <c r="I10"/>
      <c r="J10" s="2"/>
      <c r="K10" s="19"/>
      <c r="L10"/>
      <c r="M10"/>
      <c r="O10"/>
      <c r="Q10"/>
      <c r="R10"/>
      <c r="S10" s="11"/>
      <c r="T10" s="3"/>
      <c r="V10"/>
      <c r="W10" s="3"/>
      <c r="X10" s="30"/>
      <c r="Y10" s="3"/>
      <c r="AA10" s="19"/>
    </row>
    <row r="11" spans="1:29" s="18" customFormat="1" ht="15">
      <c r="A11" s="16"/>
      <c r="B11" s="16"/>
      <c r="C11" s="26"/>
      <c r="D11"/>
      <c r="I11"/>
      <c r="J11" s="2"/>
      <c r="L11"/>
      <c r="M11"/>
      <c r="N11" s="27"/>
      <c r="O11"/>
      <c r="Q11"/>
      <c r="R11"/>
      <c r="S11" s="11"/>
      <c r="T11" s="3"/>
      <c r="V11"/>
      <c r="W11" s="3"/>
      <c r="X11" s="30"/>
      <c r="Y11" s="3"/>
      <c r="AA11" s="19"/>
    </row>
    <row r="12" spans="1:29" s="18" customFormat="1" ht="15">
      <c r="A12" s="16"/>
      <c r="B12" s="16"/>
      <c r="C12" s="26"/>
      <c r="D12"/>
      <c r="I12"/>
      <c r="J12" s="2"/>
      <c r="L12"/>
      <c r="M12"/>
      <c r="N12" s="27"/>
      <c r="O12"/>
      <c r="Q12"/>
      <c r="R12"/>
      <c r="S12" s="11"/>
      <c r="T12" s="3"/>
      <c r="V12"/>
      <c r="W12" s="3"/>
      <c r="X12" s="30"/>
      <c r="Y12" s="3"/>
      <c r="AA12" s="19"/>
    </row>
    <row r="13" spans="1:29" s="18" customFormat="1" ht="15">
      <c r="A13" s="16"/>
      <c r="B13" s="16"/>
      <c r="C13" s="26"/>
      <c r="D13"/>
      <c r="F13" s="19"/>
      <c r="H13" s="19"/>
      <c r="I13"/>
      <c r="J13" s="2"/>
      <c r="L13"/>
      <c r="M13"/>
      <c r="N13" s="27"/>
      <c r="O13"/>
      <c r="Q13"/>
      <c r="R13"/>
      <c r="S13" s="11"/>
      <c r="T13" s="3"/>
      <c r="V13"/>
      <c r="W13" s="3"/>
      <c r="X13" s="30"/>
      <c r="Y13" s="3"/>
      <c r="AA13" s="19"/>
    </row>
    <row r="14" spans="1:29" s="18" customFormat="1" ht="15">
      <c r="A14" s="16"/>
      <c r="B14" s="16"/>
      <c r="C14" s="26"/>
      <c r="D14"/>
      <c r="F14" s="19"/>
      <c r="H14" s="19"/>
      <c r="I14"/>
      <c r="J14" s="2"/>
      <c r="L14"/>
      <c r="M14"/>
      <c r="N14" s="27"/>
      <c r="O14"/>
      <c r="Q14"/>
      <c r="R14"/>
      <c r="S14" s="11"/>
      <c r="T14" s="3"/>
      <c r="V14"/>
      <c r="W14" s="3"/>
      <c r="X14" s="30"/>
      <c r="Y14" s="3"/>
      <c r="AA14" s="19"/>
    </row>
    <row r="15" spans="1:29" s="18" customFormat="1" ht="15">
      <c r="A15" s="16"/>
      <c r="B15" s="16"/>
      <c r="C15" s="26"/>
      <c r="D15"/>
      <c r="I15"/>
      <c r="J15" s="2"/>
      <c r="L15"/>
      <c r="M15"/>
      <c r="N15" s="27"/>
      <c r="O15"/>
      <c r="Q15"/>
      <c r="R15"/>
      <c r="S15" s="11"/>
      <c r="T15" s="3"/>
      <c r="V15"/>
      <c r="W15" s="3"/>
      <c r="X15" s="30"/>
      <c r="Y15" s="3"/>
      <c r="AA15" s="19"/>
    </row>
    <row r="16" spans="1:29" s="18" customFormat="1" ht="15">
      <c r="A16" s="16"/>
      <c r="B16" s="16"/>
      <c r="C16" s="26"/>
      <c r="D16"/>
      <c r="E16" s="19"/>
      <c r="F16" s="19"/>
      <c r="G16" s="19"/>
      <c r="H16" s="19"/>
      <c r="I16"/>
      <c r="J16" s="2"/>
      <c r="K16" s="19"/>
      <c r="L16"/>
      <c r="M16"/>
      <c r="O16"/>
      <c r="Q16"/>
      <c r="R16"/>
      <c r="S16" s="11"/>
      <c r="T16" s="3"/>
      <c r="V16"/>
      <c r="W16" s="3"/>
      <c r="X16" s="30"/>
      <c r="Y16" s="3"/>
      <c r="AA16" s="19"/>
    </row>
    <row r="17" spans="1:27" s="18" customFormat="1" ht="15">
      <c r="A17" s="16"/>
      <c r="B17" s="16"/>
      <c r="C17" s="26"/>
      <c r="D17"/>
      <c r="E17" s="19"/>
      <c r="F17" s="19"/>
      <c r="H17" s="19"/>
      <c r="I17"/>
      <c r="J17" s="2"/>
      <c r="L17"/>
      <c r="M17"/>
      <c r="O17"/>
      <c r="Q17"/>
      <c r="R17"/>
      <c r="S17" s="11"/>
      <c r="T17" s="3"/>
      <c r="V17"/>
      <c r="W17" s="3"/>
      <c r="X17" s="30"/>
      <c r="Y17" s="3"/>
    </row>
    <row r="18" spans="1:27" s="18" customFormat="1" ht="15">
      <c r="A18" s="16"/>
      <c r="B18" s="16"/>
      <c r="C18" s="26"/>
      <c r="D18"/>
      <c r="E18" s="19"/>
      <c r="F18" s="19"/>
      <c r="G18" s="19"/>
      <c r="H18" s="19"/>
      <c r="I18"/>
      <c r="J18" s="2"/>
      <c r="K18" s="19"/>
      <c r="L18"/>
      <c r="M18"/>
      <c r="O18"/>
      <c r="Q18"/>
      <c r="R18"/>
      <c r="S18" s="11"/>
      <c r="T18" s="3"/>
      <c r="V18"/>
      <c r="W18" s="3"/>
      <c r="X18" s="30"/>
      <c r="Y18" s="3"/>
      <c r="AA18" s="19"/>
    </row>
    <row r="19" spans="1:27" s="18" customFormat="1" ht="15">
      <c r="A19" s="16"/>
      <c r="B19" s="16"/>
      <c r="C19" s="26"/>
      <c r="D19"/>
      <c r="E19" s="19"/>
      <c r="F19" s="19"/>
      <c r="G19" s="19"/>
      <c r="H19" s="19"/>
      <c r="I19"/>
      <c r="J19" s="2"/>
      <c r="K19" s="19"/>
      <c r="L19"/>
      <c r="M19"/>
      <c r="O19"/>
      <c r="Q19"/>
      <c r="R19"/>
      <c r="S19" s="11"/>
      <c r="T19" s="3"/>
      <c r="V19"/>
      <c r="W19" s="3"/>
      <c r="X19" s="30"/>
      <c r="Y19" s="3"/>
      <c r="AA19" s="19"/>
    </row>
    <row r="20" spans="1:27" s="18" customFormat="1" ht="15">
      <c r="A20" s="16"/>
      <c r="B20" s="16"/>
      <c r="C20" s="26"/>
      <c r="D20"/>
      <c r="F20" s="19"/>
      <c r="H20" s="19"/>
      <c r="I20"/>
      <c r="J20" s="2"/>
      <c r="L20"/>
      <c r="M20"/>
      <c r="N20" s="27"/>
      <c r="O20"/>
      <c r="Q20"/>
      <c r="R20"/>
      <c r="S20" s="11"/>
      <c r="T20" s="3"/>
      <c r="V20"/>
      <c r="W20" s="3"/>
      <c r="X20" s="30"/>
      <c r="Y20" s="3"/>
      <c r="AA20" s="19"/>
    </row>
    <row r="21" spans="1:27" s="18" customFormat="1" ht="15">
      <c r="A21" s="16"/>
      <c r="B21" s="16"/>
      <c r="C21" s="26"/>
      <c r="D21"/>
      <c r="F21" s="19"/>
      <c r="H21" s="19"/>
      <c r="I21"/>
      <c r="J21" s="2"/>
      <c r="L21"/>
      <c r="M21"/>
      <c r="N21" s="27"/>
      <c r="O21"/>
      <c r="Q21"/>
      <c r="R21"/>
      <c r="S21" s="11"/>
      <c r="T21" s="3"/>
      <c r="V21"/>
      <c r="W21" s="3"/>
      <c r="X21" s="30"/>
      <c r="Y21" s="3"/>
      <c r="AA21" s="19"/>
    </row>
    <row r="22" spans="1:27" s="18" customFormat="1" ht="15">
      <c r="A22" s="16"/>
      <c r="B22" s="16"/>
      <c r="C22" s="26"/>
      <c r="D22"/>
      <c r="F22" s="19"/>
      <c r="H22" s="19"/>
      <c r="I22"/>
      <c r="J22" s="2"/>
      <c r="L22"/>
      <c r="M22"/>
      <c r="N22" s="27"/>
      <c r="O22"/>
      <c r="Q22"/>
      <c r="R22"/>
      <c r="S22" s="11"/>
      <c r="T22" s="3"/>
      <c r="V22"/>
      <c r="W22" s="3"/>
      <c r="X22" s="30"/>
      <c r="Y22" s="3"/>
      <c r="AA22" s="19"/>
    </row>
    <row r="23" spans="1:27" s="18" customFormat="1" ht="15">
      <c r="A23" s="16"/>
      <c r="B23" s="16"/>
      <c r="C23" s="26"/>
      <c r="D23"/>
      <c r="I23"/>
      <c r="J23" s="2"/>
      <c r="L23"/>
      <c r="M23"/>
      <c r="N23" s="27"/>
      <c r="O23"/>
      <c r="Q23"/>
      <c r="R23"/>
      <c r="S23" s="11"/>
      <c r="T23" s="3"/>
      <c r="V23"/>
      <c r="W23" s="3"/>
      <c r="X23" s="30"/>
      <c r="Y23" s="3"/>
      <c r="AA23" s="19"/>
    </row>
    <row r="24" spans="1:27" s="18" customFormat="1" ht="15">
      <c r="A24" s="16"/>
      <c r="B24" s="16"/>
      <c r="C24" s="26"/>
      <c r="D24"/>
      <c r="E24" s="19"/>
      <c r="F24" s="19"/>
      <c r="H24" s="19"/>
      <c r="I24"/>
      <c r="J24" s="2"/>
      <c r="L24"/>
      <c r="M24"/>
      <c r="O24"/>
      <c r="Q24"/>
      <c r="R24"/>
      <c r="S24" s="11"/>
      <c r="T24" s="3"/>
      <c r="V24"/>
      <c r="W24" s="3"/>
      <c r="X24" s="30"/>
      <c r="Y24" s="3"/>
    </row>
    <row r="25" spans="1:27" ht="15">
      <c r="A25" s="16"/>
      <c r="B25" s="16"/>
      <c r="C25" s="26"/>
      <c r="D25"/>
      <c r="I25"/>
      <c r="J25" s="2"/>
      <c r="L25"/>
      <c r="M25"/>
      <c r="N25" s="18"/>
      <c r="O25"/>
      <c r="P25" s="18"/>
      <c r="Q25"/>
      <c r="R25"/>
      <c r="S25" s="11"/>
      <c r="T25" s="3"/>
      <c r="U25" s="18"/>
      <c r="V25"/>
      <c r="W25" s="3"/>
      <c r="X25" s="30"/>
      <c r="Y25" s="3"/>
      <c r="Z25" s="18"/>
    </row>
    <row r="26" spans="1:27" ht="15">
      <c r="A26" s="16"/>
      <c r="B26" s="16"/>
      <c r="C26" s="26"/>
      <c r="D26"/>
      <c r="I26"/>
      <c r="J26" s="2"/>
      <c r="L26"/>
      <c r="M26"/>
      <c r="N26" s="18"/>
      <c r="O26"/>
      <c r="P26" s="18"/>
      <c r="Q26"/>
      <c r="R26"/>
      <c r="S26" s="11"/>
      <c r="T26" s="3"/>
      <c r="U26" s="18"/>
      <c r="V26"/>
      <c r="W26" s="3"/>
      <c r="X26" s="30"/>
      <c r="Y26" s="3"/>
      <c r="Z26" s="18"/>
    </row>
    <row r="27" spans="1:27" ht="15">
      <c r="A27" s="16"/>
      <c r="B27" s="16"/>
      <c r="C27" s="26"/>
      <c r="D27"/>
      <c r="I27"/>
      <c r="J27" s="2"/>
      <c r="L27"/>
      <c r="M27"/>
      <c r="N27" s="18"/>
      <c r="O27"/>
      <c r="P27" s="18"/>
      <c r="Q27"/>
      <c r="R27"/>
      <c r="S27" s="11"/>
      <c r="T27" s="3"/>
      <c r="U27" s="18"/>
      <c r="V27"/>
      <c r="W27" s="3"/>
      <c r="X27" s="30"/>
      <c r="Y27" s="3"/>
      <c r="Z27" s="18"/>
    </row>
    <row r="28" spans="1:27" ht="15">
      <c r="A28" s="16"/>
      <c r="B28" s="16"/>
      <c r="C28" s="26"/>
      <c r="D28"/>
      <c r="I28"/>
      <c r="J28" s="2"/>
      <c r="L28"/>
      <c r="M28"/>
      <c r="N28" s="18"/>
      <c r="O28"/>
      <c r="P28" s="18"/>
      <c r="Q28"/>
      <c r="R28"/>
      <c r="S28" s="11"/>
      <c r="T28" s="3"/>
      <c r="U28" s="18"/>
      <c r="V28"/>
      <c r="W28" s="3"/>
      <c r="X28" s="30"/>
      <c r="Y28" s="3"/>
      <c r="Z28" s="18"/>
    </row>
    <row r="29" spans="1:27" ht="15">
      <c r="A29" s="16"/>
      <c r="B29" s="16"/>
      <c r="C29" s="26"/>
      <c r="D29"/>
      <c r="E29" s="18"/>
      <c r="F29" s="18"/>
      <c r="G29" s="18"/>
      <c r="H29" s="18"/>
      <c r="I29"/>
      <c r="J29" s="2"/>
      <c r="K29" s="18"/>
      <c r="L29"/>
      <c r="M29"/>
      <c r="N29" s="27"/>
      <c r="O29"/>
      <c r="P29" s="18"/>
      <c r="Q29"/>
      <c r="R29"/>
      <c r="S29" s="11"/>
      <c r="T29" s="3"/>
      <c r="U29" s="18"/>
      <c r="V29"/>
      <c r="W29" s="3"/>
      <c r="X29" s="30"/>
      <c r="Y29" s="3"/>
      <c r="Z29" s="18"/>
    </row>
    <row r="30" spans="1:27" ht="15">
      <c r="A30" s="16"/>
      <c r="B30" s="16"/>
      <c r="C30" s="26"/>
      <c r="D30"/>
      <c r="E30" s="18"/>
      <c r="G30" s="18"/>
      <c r="I30"/>
      <c r="J30" s="2"/>
      <c r="K30" s="18"/>
      <c r="L30"/>
      <c r="M30"/>
      <c r="N30" s="27"/>
      <c r="O30"/>
      <c r="P30" s="18"/>
      <c r="Q30"/>
      <c r="R30"/>
      <c r="S30" s="11"/>
      <c r="T30" s="3"/>
      <c r="U30" s="18"/>
      <c r="V30"/>
      <c r="W30" s="3"/>
      <c r="X30" s="30"/>
      <c r="Y30" s="3"/>
      <c r="Z30" s="18"/>
    </row>
    <row r="31" spans="1:27" ht="12" customHeight="1">
      <c r="A31" s="16"/>
      <c r="B31" s="16"/>
      <c r="C31" s="26"/>
      <c r="D31"/>
      <c r="I31"/>
      <c r="J31" s="2"/>
      <c r="L31"/>
      <c r="M31"/>
      <c r="N31" s="18"/>
      <c r="O31"/>
      <c r="P31" s="18"/>
      <c r="Q31"/>
      <c r="R31"/>
      <c r="S31" s="11"/>
      <c r="T31" s="3"/>
      <c r="U31" s="18"/>
      <c r="V31"/>
      <c r="W31" s="3"/>
      <c r="X31" s="30"/>
      <c r="Y31" s="3"/>
      <c r="Z31" s="18"/>
    </row>
    <row r="32" spans="1:27" ht="15">
      <c r="A32" s="16"/>
      <c r="B32" s="16"/>
      <c r="C32" s="26"/>
      <c r="D32"/>
      <c r="I32"/>
      <c r="J32" s="2"/>
      <c r="L32"/>
      <c r="M32"/>
      <c r="N32" s="18"/>
      <c r="O32"/>
      <c r="P32" s="18"/>
      <c r="Q32"/>
      <c r="R32"/>
      <c r="S32" s="11"/>
      <c r="T32" s="3"/>
      <c r="U32" s="18"/>
      <c r="V32"/>
      <c r="W32" s="3"/>
      <c r="X32" s="30"/>
      <c r="Y32" s="3"/>
      <c r="Z32" s="18"/>
    </row>
    <row r="33" spans="1:27" ht="15">
      <c r="A33" s="16"/>
      <c r="B33" s="16"/>
      <c r="C33" s="26"/>
      <c r="D33"/>
      <c r="G33" s="18"/>
      <c r="I33"/>
      <c r="J33" s="2"/>
      <c r="K33" s="18"/>
      <c r="L33"/>
      <c r="M33"/>
      <c r="N33" s="18"/>
      <c r="O33"/>
      <c r="P33" s="18"/>
      <c r="Q33"/>
      <c r="R33"/>
      <c r="S33" s="11"/>
      <c r="T33" s="3"/>
      <c r="U33" s="18"/>
      <c r="V33"/>
      <c r="W33" s="3"/>
      <c r="X33" s="30"/>
      <c r="Y33" s="3"/>
      <c r="Z33" s="18"/>
      <c r="AA33" s="18"/>
    </row>
    <row r="34" spans="1:27" ht="15">
      <c r="A34" s="16"/>
      <c r="B34" s="16"/>
      <c r="C34" s="26"/>
      <c r="D34"/>
      <c r="I34"/>
      <c r="J34" s="2"/>
      <c r="L34"/>
      <c r="M34"/>
      <c r="N34" s="18"/>
      <c r="O34"/>
      <c r="P34" s="18"/>
      <c r="Q34"/>
      <c r="R34"/>
      <c r="S34" s="11"/>
      <c r="T34" s="3"/>
      <c r="U34" s="18"/>
      <c r="V34"/>
      <c r="W34" s="3"/>
      <c r="X34" s="30"/>
      <c r="Y34" s="3"/>
      <c r="Z34" s="18"/>
    </row>
    <row r="35" spans="1:27" ht="15">
      <c r="A35" s="16"/>
      <c r="B35" s="16"/>
      <c r="C35" s="26"/>
      <c r="D35"/>
      <c r="I35"/>
      <c r="J35" s="2"/>
      <c r="L35"/>
      <c r="M35"/>
      <c r="N35" s="18"/>
      <c r="O35"/>
      <c r="P35" s="18"/>
      <c r="Q35"/>
      <c r="R35"/>
      <c r="S35" s="11"/>
      <c r="T35" s="3"/>
      <c r="U35" s="18"/>
      <c r="V35"/>
      <c r="W35" s="3"/>
      <c r="X35" s="30"/>
      <c r="Y35" s="3"/>
      <c r="Z35" s="18"/>
    </row>
    <row r="36" spans="1:27" ht="15">
      <c r="A36" s="16"/>
      <c r="B36" s="16"/>
      <c r="C36" s="26"/>
      <c r="D36"/>
      <c r="I36"/>
      <c r="J36" s="2"/>
      <c r="L36"/>
      <c r="M36"/>
      <c r="N36" s="18"/>
      <c r="O36"/>
      <c r="P36" s="18"/>
      <c r="Q36"/>
      <c r="R36"/>
      <c r="S36" s="11"/>
      <c r="T36" s="3"/>
      <c r="U36" s="18"/>
      <c r="V36"/>
      <c r="W36" s="3"/>
      <c r="X36" s="30"/>
      <c r="Y36" s="3"/>
      <c r="Z36" s="18"/>
    </row>
    <row r="37" spans="1:27" ht="15">
      <c r="A37" s="16"/>
      <c r="B37" s="16"/>
      <c r="C37" s="26"/>
      <c r="D37"/>
      <c r="I37"/>
      <c r="J37" s="2"/>
      <c r="L37"/>
      <c r="M37"/>
      <c r="N37" s="18"/>
      <c r="O37"/>
      <c r="P37" s="18"/>
      <c r="Q37"/>
      <c r="R37"/>
      <c r="S37" s="11"/>
      <c r="T37" s="3"/>
      <c r="U37" s="18"/>
      <c r="V37"/>
      <c r="W37" s="3"/>
      <c r="X37" s="30"/>
      <c r="Y37" s="3"/>
      <c r="Z37" s="18"/>
    </row>
    <row r="38" spans="1:27" ht="15">
      <c r="A38" s="16"/>
      <c r="B38" s="16"/>
      <c r="C38" s="26"/>
      <c r="D38"/>
      <c r="I38"/>
      <c r="J38" s="2"/>
      <c r="L38"/>
      <c r="M38"/>
      <c r="N38" s="18"/>
      <c r="O38"/>
      <c r="P38" s="18"/>
      <c r="Q38"/>
      <c r="R38"/>
      <c r="S38" s="11"/>
      <c r="T38" s="3"/>
      <c r="U38" s="18"/>
      <c r="V38"/>
      <c r="W38" s="3"/>
      <c r="X38" s="30"/>
      <c r="Y38" s="3"/>
      <c r="Z38" s="18"/>
    </row>
    <row r="39" spans="1:27" ht="15">
      <c r="A39" s="16"/>
      <c r="B39" s="16"/>
      <c r="C39" s="26"/>
      <c r="D39"/>
      <c r="G39" s="18"/>
      <c r="I39"/>
      <c r="J39" s="2"/>
      <c r="K39" s="18"/>
      <c r="L39"/>
      <c r="M39"/>
      <c r="N39" s="18"/>
      <c r="O39"/>
      <c r="P39" s="18"/>
      <c r="Q39"/>
      <c r="R39"/>
      <c r="S39" s="11"/>
      <c r="T39" s="3"/>
      <c r="U39" s="18"/>
      <c r="V39"/>
      <c r="W39" s="3"/>
      <c r="X39" s="30"/>
      <c r="Y39" s="3"/>
      <c r="Z39" s="18"/>
      <c r="AA39" s="18"/>
    </row>
    <row r="40" spans="1:27" ht="15">
      <c r="A40" s="16"/>
      <c r="B40" s="16"/>
      <c r="C40" s="26"/>
      <c r="D40"/>
      <c r="I40"/>
      <c r="J40" s="2"/>
      <c r="L40"/>
      <c r="M40"/>
      <c r="N40" s="18"/>
      <c r="O40"/>
      <c r="P40" s="18"/>
      <c r="Q40"/>
      <c r="R40"/>
      <c r="S40" s="11"/>
      <c r="T40" s="3"/>
      <c r="U40" s="18"/>
      <c r="V40"/>
      <c r="W40" s="3"/>
      <c r="X40" s="30"/>
      <c r="Y40" s="3"/>
      <c r="Z40" s="18"/>
    </row>
    <row r="41" spans="1:27" ht="15">
      <c r="A41" s="16"/>
      <c r="B41" s="16"/>
      <c r="C41" s="26"/>
      <c r="D41"/>
      <c r="I41"/>
      <c r="J41" s="2"/>
      <c r="L41"/>
      <c r="M41"/>
      <c r="N41" s="18"/>
      <c r="O41"/>
      <c r="P41" s="18"/>
      <c r="Q41"/>
      <c r="R41"/>
      <c r="S41" s="11"/>
      <c r="T41" s="3"/>
      <c r="U41" s="18"/>
      <c r="V41"/>
      <c r="W41" s="3"/>
      <c r="X41" s="30"/>
      <c r="Y41" s="3"/>
      <c r="Z41" s="18"/>
    </row>
    <row r="42" spans="1:27" ht="15">
      <c r="A42" s="16"/>
      <c r="B42" s="16"/>
      <c r="C42" s="26"/>
      <c r="D42"/>
      <c r="G42" s="18"/>
      <c r="I42"/>
      <c r="J42" s="2"/>
      <c r="K42" s="18"/>
      <c r="L42"/>
      <c r="M42"/>
      <c r="N42" s="18"/>
      <c r="O42"/>
      <c r="P42" s="18"/>
      <c r="Q42"/>
      <c r="R42"/>
      <c r="S42" s="11"/>
      <c r="T42" s="3"/>
      <c r="U42" s="18"/>
      <c r="V42"/>
      <c r="W42" s="3"/>
      <c r="X42" s="30"/>
      <c r="Y42" s="3"/>
      <c r="Z42" s="18"/>
      <c r="AA42" s="18"/>
    </row>
    <row r="43" spans="1:27" ht="15">
      <c r="A43" s="16"/>
      <c r="B43" s="16"/>
      <c r="C43" s="26"/>
      <c r="D43"/>
      <c r="I43"/>
      <c r="J43" s="2"/>
      <c r="L43"/>
      <c r="M43"/>
      <c r="N43" s="18"/>
      <c r="O43"/>
      <c r="P43" s="18"/>
      <c r="Q43"/>
      <c r="R43"/>
      <c r="S43" s="11"/>
      <c r="T43" s="3"/>
      <c r="U43" s="18"/>
      <c r="V43"/>
      <c r="W43" s="3"/>
      <c r="X43" s="30"/>
      <c r="Y43" s="3"/>
      <c r="Z43" s="18"/>
    </row>
    <row r="44" spans="1:27" ht="15">
      <c r="A44" s="16"/>
      <c r="B44" s="16"/>
      <c r="C44" s="26"/>
      <c r="D44"/>
      <c r="I44"/>
      <c r="J44" s="2"/>
      <c r="L44"/>
      <c r="M44"/>
      <c r="N44" s="18"/>
      <c r="O44"/>
      <c r="P44" s="18"/>
      <c r="Q44"/>
      <c r="R44"/>
      <c r="S44" s="11"/>
      <c r="T44" s="3"/>
      <c r="U44" s="18"/>
      <c r="V44"/>
      <c r="W44" s="3"/>
      <c r="X44" s="30"/>
      <c r="Y44" s="3"/>
      <c r="Z44" s="18"/>
    </row>
    <row r="45" spans="1:27" ht="15">
      <c r="A45" s="16"/>
      <c r="B45" s="16"/>
      <c r="C45" s="26"/>
      <c r="D45"/>
      <c r="I45"/>
      <c r="J45" s="2"/>
      <c r="L45"/>
      <c r="M45"/>
      <c r="N45" s="18"/>
      <c r="O45"/>
      <c r="P45" s="18"/>
      <c r="Q45"/>
      <c r="R45"/>
      <c r="S45" s="11"/>
      <c r="T45" s="3"/>
      <c r="U45" s="18"/>
      <c r="V45"/>
      <c r="W45" s="3"/>
      <c r="X45" s="30"/>
      <c r="Y45" s="3"/>
      <c r="Z45" s="18"/>
    </row>
    <row r="46" spans="1:27" ht="15">
      <c r="A46" s="16"/>
      <c r="B46" s="16"/>
      <c r="C46" s="26"/>
      <c r="D46"/>
      <c r="G46" s="18"/>
      <c r="I46"/>
      <c r="J46" s="2"/>
      <c r="K46" s="18"/>
      <c r="L46"/>
      <c r="M46"/>
      <c r="N46" s="18"/>
      <c r="O46"/>
      <c r="P46" s="18"/>
      <c r="Q46"/>
      <c r="R46"/>
      <c r="S46" s="11"/>
      <c r="T46" s="3"/>
      <c r="U46" s="18"/>
      <c r="V46"/>
      <c r="W46" s="3"/>
      <c r="X46" s="30"/>
      <c r="Y46" s="3"/>
      <c r="Z46" s="18"/>
      <c r="AA46" s="18"/>
    </row>
    <row r="47" spans="1:27" ht="15">
      <c r="A47" s="16"/>
      <c r="B47" s="16"/>
      <c r="C47" s="26"/>
      <c r="D47"/>
      <c r="I47"/>
      <c r="J47" s="2"/>
      <c r="L47"/>
      <c r="M47"/>
      <c r="N47" s="18"/>
      <c r="O47"/>
      <c r="P47" s="18"/>
      <c r="Q47"/>
      <c r="R47"/>
      <c r="S47" s="11"/>
      <c r="T47" s="3"/>
      <c r="U47" s="18"/>
      <c r="V47"/>
      <c r="W47" s="3"/>
      <c r="X47" s="30"/>
      <c r="Y47" s="3"/>
      <c r="Z47" s="18"/>
    </row>
    <row r="48" spans="1:27" ht="15">
      <c r="A48" s="16"/>
      <c r="B48" s="16"/>
      <c r="C48" s="26"/>
      <c r="D48"/>
      <c r="I48"/>
      <c r="J48" s="2"/>
      <c r="L48"/>
      <c r="M48"/>
      <c r="N48" s="18"/>
      <c r="O48"/>
      <c r="P48" s="18"/>
      <c r="Q48"/>
      <c r="R48"/>
      <c r="S48" s="11"/>
      <c r="T48" s="3"/>
      <c r="U48" s="18"/>
      <c r="V48"/>
      <c r="W48" s="3"/>
      <c r="X48" s="30"/>
      <c r="Y48" s="3"/>
      <c r="Z48" s="18"/>
    </row>
    <row r="49" spans="1:27" ht="15">
      <c r="A49" s="16"/>
      <c r="B49" s="16"/>
      <c r="C49" s="26"/>
      <c r="D49"/>
      <c r="I49"/>
      <c r="J49" s="2"/>
      <c r="L49"/>
      <c r="M49"/>
      <c r="N49" s="18"/>
      <c r="O49"/>
      <c r="P49" s="18"/>
      <c r="Q49"/>
      <c r="R49"/>
      <c r="S49" s="11"/>
      <c r="T49" s="3"/>
      <c r="U49" s="18"/>
      <c r="V49"/>
      <c r="W49" s="3"/>
      <c r="X49" s="30"/>
      <c r="Y49" s="3"/>
      <c r="Z49" s="18"/>
    </row>
    <row r="50" spans="1:27" ht="15">
      <c r="A50" s="16"/>
      <c r="B50" s="16"/>
      <c r="C50" s="26"/>
      <c r="D50"/>
      <c r="I50"/>
      <c r="J50" s="2"/>
      <c r="L50"/>
      <c r="M50"/>
      <c r="N50" s="18"/>
      <c r="O50"/>
      <c r="P50" s="18"/>
      <c r="Q50"/>
      <c r="R50"/>
      <c r="S50" s="11"/>
      <c r="T50" s="3"/>
      <c r="U50" s="18"/>
      <c r="V50"/>
      <c r="W50" s="3"/>
      <c r="X50" s="30"/>
      <c r="Y50" s="3"/>
      <c r="Z50" s="18"/>
    </row>
    <row r="51" spans="1:27" ht="15">
      <c r="A51" s="16"/>
      <c r="B51" s="16"/>
      <c r="C51" s="26"/>
      <c r="D51"/>
      <c r="I51"/>
      <c r="J51" s="2"/>
      <c r="L51"/>
      <c r="M51"/>
      <c r="N51" s="18"/>
      <c r="O51"/>
      <c r="P51" s="18"/>
      <c r="Q51"/>
      <c r="R51"/>
      <c r="S51" s="11"/>
      <c r="T51" s="3"/>
      <c r="U51" s="18"/>
      <c r="V51"/>
      <c r="W51" s="3"/>
      <c r="X51" s="30"/>
      <c r="Y51" s="3"/>
      <c r="Z51" s="18"/>
    </row>
    <row r="52" spans="1:27" ht="15">
      <c r="A52" s="16"/>
      <c r="B52" s="16"/>
      <c r="C52" s="26"/>
      <c r="D52"/>
      <c r="I52"/>
      <c r="J52" s="2"/>
      <c r="L52"/>
      <c r="M52"/>
      <c r="N52" s="18"/>
      <c r="O52"/>
      <c r="P52" s="18"/>
      <c r="Q52"/>
      <c r="R52"/>
      <c r="S52" s="11"/>
      <c r="T52" s="3"/>
      <c r="U52" s="18"/>
      <c r="V52"/>
      <c r="W52" s="3"/>
      <c r="X52" s="30"/>
      <c r="Y52" s="3"/>
      <c r="Z52" s="18"/>
    </row>
    <row r="53" spans="1:27" ht="15">
      <c r="A53" s="16"/>
      <c r="B53" s="16"/>
      <c r="C53" s="26"/>
      <c r="D53"/>
      <c r="I53"/>
      <c r="J53" s="2"/>
      <c r="L53"/>
      <c r="M53"/>
      <c r="N53" s="18"/>
      <c r="O53"/>
      <c r="P53" s="18"/>
      <c r="Q53"/>
      <c r="R53"/>
      <c r="S53" s="11"/>
      <c r="T53" s="3"/>
      <c r="U53" s="18"/>
      <c r="V53"/>
      <c r="W53" s="3"/>
      <c r="X53" s="30"/>
      <c r="Y53" s="3"/>
      <c r="Z53" s="18"/>
    </row>
    <row r="54" spans="1:27" ht="15">
      <c r="A54" s="16"/>
      <c r="B54" s="16"/>
      <c r="C54" s="26"/>
      <c r="D54"/>
      <c r="I54"/>
      <c r="J54" s="2"/>
      <c r="L54"/>
      <c r="M54"/>
      <c r="N54" s="18"/>
      <c r="O54"/>
      <c r="P54" s="18"/>
      <c r="Q54"/>
      <c r="R54"/>
      <c r="S54" s="11"/>
      <c r="T54" s="3"/>
      <c r="U54" s="18"/>
      <c r="V54"/>
      <c r="W54" s="3"/>
      <c r="X54" s="30"/>
      <c r="Y54" s="3"/>
      <c r="Z54" s="18"/>
    </row>
    <row r="55" spans="1:27" ht="15">
      <c r="A55" s="16"/>
      <c r="B55" s="16"/>
      <c r="C55" s="26"/>
      <c r="D55"/>
      <c r="I55"/>
      <c r="J55" s="2"/>
      <c r="L55"/>
      <c r="M55"/>
      <c r="N55" s="18"/>
      <c r="O55"/>
      <c r="P55" s="18"/>
      <c r="Q55"/>
      <c r="R55"/>
      <c r="S55" s="11"/>
      <c r="T55" s="3"/>
      <c r="U55" s="18"/>
      <c r="V55"/>
      <c r="W55" s="3"/>
      <c r="X55" s="30"/>
      <c r="Y55" s="3"/>
      <c r="Z55" s="18"/>
    </row>
    <row r="56" spans="1:27" ht="15">
      <c r="A56" s="16"/>
      <c r="B56" s="16"/>
      <c r="C56" s="26"/>
      <c r="D56"/>
      <c r="G56" s="18"/>
      <c r="I56"/>
      <c r="J56" s="2"/>
      <c r="K56" s="18"/>
      <c r="L56"/>
      <c r="M56"/>
      <c r="N56" s="18"/>
      <c r="O56"/>
      <c r="P56" s="18"/>
      <c r="Q56"/>
      <c r="R56"/>
      <c r="S56" s="11"/>
      <c r="T56" s="3"/>
      <c r="U56" s="18"/>
      <c r="V56"/>
      <c r="W56" s="3"/>
      <c r="X56" s="30"/>
      <c r="Y56" s="3"/>
      <c r="Z56" s="18"/>
      <c r="AA56" s="18"/>
    </row>
    <row r="57" spans="1:27" ht="15">
      <c r="A57" s="16"/>
      <c r="B57" s="16"/>
      <c r="C57" s="26"/>
      <c r="D57"/>
      <c r="I57"/>
      <c r="J57" s="2"/>
      <c r="L57"/>
      <c r="M57"/>
      <c r="N57" s="18"/>
      <c r="O57"/>
      <c r="P57" s="18"/>
      <c r="Q57"/>
      <c r="R57"/>
      <c r="S57" s="11"/>
      <c r="T57" s="3"/>
      <c r="U57" s="18"/>
      <c r="V57"/>
      <c r="W57" s="3"/>
      <c r="X57" s="30"/>
      <c r="Y57" s="3"/>
      <c r="Z57" s="18"/>
    </row>
    <row r="58" spans="1:27" ht="15">
      <c r="A58" s="16"/>
      <c r="B58" s="16"/>
      <c r="C58" s="26"/>
      <c r="D58"/>
      <c r="I58"/>
      <c r="J58" s="2"/>
      <c r="L58"/>
      <c r="M58"/>
      <c r="N58" s="18"/>
      <c r="O58"/>
      <c r="P58" s="18"/>
      <c r="Q58"/>
      <c r="R58"/>
      <c r="S58" s="11"/>
      <c r="T58" s="3"/>
      <c r="U58" s="18"/>
      <c r="V58"/>
      <c r="W58" s="3"/>
      <c r="X58" s="30"/>
      <c r="Y58" s="3"/>
      <c r="Z58" s="18"/>
    </row>
    <row r="59" spans="1:27" ht="15">
      <c r="A59" s="16"/>
      <c r="B59" s="16"/>
      <c r="C59" s="26"/>
      <c r="D59"/>
      <c r="I59"/>
      <c r="J59" s="2"/>
      <c r="L59"/>
      <c r="M59"/>
      <c r="N59" s="18"/>
      <c r="O59"/>
      <c r="P59" s="18"/>
      <c r="Q59"/>
      <c r="R59"/>
      <c r="S59" s="11"/>
      <c r="T59" s="3"/>
      <c r="U59" s="18"/>
      <c r="V59"/>
      <c r="W59" s="3"/>
      <c r="X59" s="30"/>
      <c r="Y59" s="3"/>
      <c r="Z59" s="18"/>
    </row>
    <row r="60" spans="1:27" ht="15">
      <c r="A60" s="16"/>
      <c r="B60" s="16"/>
      <c r="C60" s="26"/>
      <c r="D60"/>
      <c r="I60"/>
      <c r="J60" s="2"/>
      <c r="L60"/>
      <c r="M60"/>
      <c r="N60" s="18"/>
      <c r="O60"/>
      <c r="P60" s="18"/>
      <c r="Q60"/>
      <c r="R60"/>
      <c r="S60" s="11"/>
      <c r="T60" s="3"/>
      <c r="U60" s="18"/>
      <c r="V60"/>
      <c r="W60" s="3"/>
      <c r="X60" s="30"/>
      <c r="Y60" s="3"/>
      <c r="Z60" s="18"/>
    </row>
    <row r="61" spans="1:27" ht="15">
      <c r="A61" s="16"/>
      <c r="B61" s="16"/>
      <c r="C61" s="26"/>
      <c r="D61"/>
      <c r="I61"/>
      <c r="J61" s="2"/>
      <c r="L61"/>
      <c r="M61"/>
      <c r="N61" s="18"/>
      <c r="O61"/>
      <c r="P61" s="18"/>
      <c r="Q61"/>
      <c r="R61"/>
      <c r="S61" s="11"/>
      <c r="T61" s="3"/>
      <c r="U61" s="18"/>
      <c r="V61"/>
      <c r="W61" s="3"/>
      <c r="X61" s="30"/>
      <c r="Y61" s="3"/>
      <c r="Z61" s="18"/>
    </row>
    <row r="62" spans="1:27" ht="15">
      <c r="A62" s="16"/>
      <c r="B62" s="16"/>
      <c r="C62" s="26"/>
      <c r="D62"/>
      <c r="I62"/>
      <c r="J62" s="2"/>
      <c r="L62"/>
      <c r="M62"/>
      <c r="N62" s="18"/>
      <c r="O62"/>
      <c r="P62" s="18"/>
      <c r="Q62"/>
      <c r="R62"/>
      <c r="S62" s="11"/>
      <c r="T62" s="3"/>
      <c r="U62" s="18"/>
      <c r="V62"/>
      <c r="W62" s="3"/>
      <c r="X62" s="30"/>
      <c r="Y62" s="3"/>
      <c r="Z62" s="18"/>
    </row>
    <row r="63" spans="1:27" ht="15">
      <c r="A63" s="16"/>
      <c r="B63" s="16"/>
      <c r="C63" s="26"/>
      <c r="D63"/>
      <c r="I63"/>
      <c r="J63" s="2"/>
      <c r="L63"/>
      <c r="M63"/>
      <c r="N63" s="18"/>
      <c r="O63"/>
      <c r="P63" s="18"/>
      <c r="Q63"/>
      <c r="R63"/>
      <c r="S63" s="11"/>
      <c r="T63" s="3"/>
      <c r="U63" s="18"/>
      <c r="V63"/>
      <c r="W63" s="3"/>
      <c r="X63" s="30"/>
      <c r="Y63" s="3"/>
      <c r="Z63" s="18"/>
    </row>
    <row r="64" spans="1:27" ht="15">
      <c r="A64" s="16"/>
      <c r="B64" s="16"/>
      <c r="C64" s="26"/>
      <c r="D64"/>
      <c r="G64" s="18"/>
      <c r="I64"/>
      <c r="J64" s="2"/>
      <c r="K64" s="18"/>
      <c r="L64"/>
      <c r="M64"/>
      <c r="N64" s="18"/>
      <c r="O64"/>
      <c r="P64" s="18"/>
      <c r="Q64"/>
      <c r="R64"/>
      <c r="S64" s="11"/>
      <c r="T64" s="3"/>
      <c r="U64" s="18"/>
      <c r="V64"/>
      <c r="W64" s="3"/>
      <c r="X64" s="30"/>
      <c r="Y64" s="3"/>
      <c r="Z64" s="18"/>
      <c r="AA64" s="18"/>
    </row>
    <row r="65" spans="1:27" ht="15">
      <c r="A65" s="16"/>
      <c r="B65" s="16"/>
      <c r="C65" s="26"/>
      <c r="D65"/>
      <c r="I65"/>
      <c r="J65" s="2"/>
      <c r="L65"/>
      <c r="M65"/>
      <c r="N65" s="18"/>
      <c r="O65"/>
      <c r="P65" s="18"/>
      <c r="Q65"/>
      <c r="R65"/>
      <c r="S65" s="11"/>
      <c r="T65" s="3"/>
      <c r="U65" s="18"/>
      <c r="V65"/>
      <c r="W65" s="3"/>
      <c r="X65" s="30"/>
      <c r="Y65" s="3"/>
      <c r="Z65" s="18"/>
    </row>
    <row r="66" spans="1:27" ht="15">
      <c r="A66" s="16"/>
      <c r="B66" s="16"/>
      <c r="C66" s="26"/>
      <c r="D66"/>
      <c r="G66" s="18"/>
      <c r="I66"/>
      <c r="J66" s="2"/>
      <c r="K66" s="18"/>
      <c r="L66"/>
      <c r="M66"/>
      <c r="N66" s="18"/>
      <c r="O66"/>
      <c r="P66" s="18"/>
      <c r="Q66"/>
      <c r="R66"/>
      <c r="S66" s="11"/>
      <c r="T66" s="3"/>
      <c r="U66" s="18"/>
      <c r="V66"/>
      <c r="W66" s="3"/>
      <c r="X66" s="30"/>
      <c r="Y66" s="3"/>
      <c r="Z66" s="18"/>
      <c r="AA66" s="18"/>
    </row>
    <row r="67" spans="1:27" ht="15">
      <c r="A67" s="16"/>
      <c r="B67" s="16"/>
      <c r="C67" s="26"/>
      <c r="D67"/>
      <c r="G67" s="18"/>
      <c r="I67"/>
      <c r="J67" s="2"/>
      <c r="K67" s="18"/>
      <c r="L67"/>
      <c r="M67"/>
      <c r="N67" s="18"/>
      <c r="O67"/>
      <c r="P67" s="18"/>
      <c r="Q67"/>
      <c r="R67"/>
      <c r="S67" s="11"/>
      <c r="T67" s="3"/>
      <c r="U67" s="18"/>
      <c r="V67"/>
      <c r="W67" s="3"/>
      <c r="X67" s="30"/>
      <c r="Y67" s="3"/>
      <c r="Z67" s="18"/>
      <c r="AA67" s="18"/>
    </row>
    <row r="68" spans="1:27" ht="15">
      <c r="A68" s="16"/>
      <c r="B68" s="16"/>
      <c r="C68" s="26"/>
      <c r="D68"/>
      <c r="G68" s="18"/>
      <c r="I68"/>
      <c r="J68" s="2"/>
      <c r="K68" s="18"/>
      <c r="L68"/>
      <c r="M68"/>
      <c r="N68" s="18"/>
      <c r="O68"/>
      <c r="P68" s="18"/>
      <c r="Q68"/>
      <c r="R68"/>
      <c r="S68" s="11"/>
      <c r="T68" s="3"/>
      <c r="U68" s="18"/>
      <c r="V68"/>
      <c r="W68" s="3"/>
      <c r="X68" s="30"/>
      <c r="Y68" s="3"/>
      <c r="Z68" s="18"/>
      <c r="AA68" s="18"/>
    </row>
    <row r="69" spans="1:27" ht="15">
      <c r="A69" s="16"/>
      <c r="B69" s="16"/>
      <c r="C69" s="26"/>
      <c r="D69"/>
      <c r="I69"/>
      <c r="J69" s="2"/>
      <c r="L69"/>
      <c r="M69"/>
      <c r="N69" s="18"/>
      <c r="O69"/>
      <c r="P69" s="18"/>
      <c r="Q69"/>
      <c r="R69"/>
      <c r="S69" s="11"/>
      <c r="T69" s="3"/>
      <c r="U69" s="18"/>
      <c r="V69"/>
      <c r="W69" s="3"/>
      <c r="X69" s="30"/>
      <c r="Y69" s="3"/>
      <c r="Z69" s="18"/>
    </row>
    <row r="70" spans="1:27" ht="15">
      <c r="A70" s="16"/>
      <c r="B70" s="16"/>
      <c r="C70" s="26"/>
      <c r="D70"/>
      <c r="E70" s="18"/>
      <c r="F70" s="18"/>
      <c r="G70" s="18"/>
      <c r="H70" s="18"/>
      <c r="I70"/>
      <c r="J70" s="2"/>
      <c r="K70" s="18"/>
      <c r="L70"/>
      <c r="M70"/>
      <c r="N70" s="27"/>
      <c r="O70"/>
      <c r="P70" s="18"/>
      <c r="Q70"/>
      <c r="R70"/>
      <c r="S70" s="11"/>
      <c r="T70" s="3"/>
      <c r="U70" s="18"/>
      <c r="V70"/>
      <c r="W70" s="3"/>
      <c r="X70" s="30"/>
      <c r="Y70" s="3"/>
      <c r="Z70" s="18"/>
    </row>
    <row r="71" spans="1:27" ht="15">
      <c r="A71" s="16"/>
      <c r="B71" s="16"/>
      <c r="C71" s="26"/>
      <c r="D71"/>
      <c r="G71" s="18"/>
      <c r="I71"/>
      <c r="J71" s="2"/>
      <c r="K71" s="18"/>
      <c r="L71"/>
      <c r="M71"/>
      <c r="N71" s="27"/>
      <c r="O71"/>
      <c r="P71" s="18"/>
      <c r="Q71"/>
      <c r="R71"/>
      <c r="S71" s="11"/>
      <c r="T71" s="3"/>
      <c r="U71" s="18"/>
      <c r="V71"/>
      <c r="W71" s="3"/>
      <c r="X71" s="30"/>
      <c r="Y71" s="3"/>
      <c r="Z71" s="18"/>
    </row>
    <row r="72" spans="1:27" ht="15">
      <c r="A72" s="16"/>
      <c r="B72" s="16"/>
      <c r="C72" s="26"/>
      <c r="D72"/>
      <c r="G72" s="18"/>
      <c r="I72"/>
      <c r="J72" s="2"/>
      <c r="K72" s="18"/>
      <c r="L72"/>
      <c r="M72"/>
      <c r="N72" s="18"/>
      <c r="O72"/>
      <c r="P72" s="18"/>
      <c r="Q72"/>
      <c r="R72"/>
      <c r="S72" s="11"/>
      <c r="T72" s="3"/>
      <c r="U72" s="18"/>
      <c r="V72"/>
      <c r="W72" s="3"/>
      <c r="X72" s="30"/>
      <c r="Y72" s="3"/>
      <c r="Z72" s="18"/>
      <c r="AA72" s="18"/>
    </row>
    <row r="73" spans="1:27" ht="15">
      <c r="A73" s="16"/>
      <c r="B73" s="16"/>
      <c r="C73" s="26"/>
      <c r="D73"/>
      <c r="G73" s="18"/>
      <c r="I73"/>
      <c r="J73" s="2"/>
      <c r="K73" s="18"/>
      <c r="L73"/>
      <c r="M73"/>
      <c r="N73" s="18"/>
      <c r="O73"/>
      <c r="P73" s="18"/>
      <c r="Q73"/>
      <c r="R73"/>
      <c r="S73" s="11"/>
      <c r="T73" s="3"/>
      <c r="U73" s="18"/>
      <c r="V73"/>
      <c r="W73" s="3"/>
      <c r="X73" s="30"/>
      <c r="Y73" s="3"/>
      <c r="Z73" s="18"/>
      <c r="AA73" s="18"/>
    </row>
    <row r="74" spans="1:27" ht="15">
      <c r="A74" s="16"/>
      <c r="B74" s="16"/>
      <c r="C74" s="26"/>
      <c r="D74"/>
      <c r="E74" s="18"/>
      <c r="F74" s="18"/>
      <c r="G74" s="18"/>
      <c r="H74" s="18"/>
      <c r="I74"/>
      <c r="J74" s="2"/>
      <c r="K74" s="18"/>
      <c r="L74"/>
      <c r="M74"/>
      <c r="N74" s="27"/>
      <c r="O74"/>
      <c r="P74" s="18"/>
      <c r="Q74"/>
      <c r="R74"/>
      <c r="S74" s="11"/>
      <c r="T74" s="3"/>
      <c r="U74" s="18"/>
      <c r="V74"/>
      <c r="W74" s="3"/>
      <c r="X74" s="30"/>
      <c r="Y74" s="3"/>
      <c r="Z74" s="18"/>
    </row>
    <row r="75" spans="1:27" ht="15">
      <c r="A75" s="16"/>
      <c r="B75" s="16"/>
      <c r="C75" s="26"/>
      <c r="D75"/>
      <c r="E75" s="18"/>
      <c r="F75" s="18"/>
      <c r="G75" s="18"/>
      <c r="H75" s="18"/>
      <c r="I75"/>
      <c r="J75" s="2"/>
      <c r="K75" s="18"/>
      <c r="L75"/>
      <c r="M75"/>
      <c r="N75" s="27"/>
      <c r="O75"/>
      <c r="P75" s="18"/>
      <c r="Q75"/>
      <c r="R75"/>
      <c r="S75" s="11"/>
      <c r="T75" s="3"/>
      <c r="U75" s="18"/>
      <c r="V75"/>
      <c r="W75" s="3"/>
      <c r="X75" s="30"/>
      <c r="Y75" s="3"/>
      <c r="Z75" s="18"/>
    </row>
    <row r="76" spans="1:27" ht="15">
      <c r="A76" s="16"/>
      <c r="B76" s="16"/>
      <c r="C76" s="26"/>
      <c r="D76"/>
      <c r="I76"/>
      <c r="J76" s="2"/>
      <c r="L76"/>
      <c r="M76"/>
      <c r="N76" s="18"/>
      <c r="O76"/>
      <c r="P76" s="18"/>
      <c r="Q76"/>
      <c r="R76"/>
      <c r="S76" s="11"/>
      <c r="T76" s="3"/>
      <c r="U76" s="18"/>
      <c r="V76"/>
      <c r="W76" s="3"/>
      <c r="X76" s="30"/>
      <c r="Y76" s="3"/>
      <c r="Z76" s="18"/>
    </row>
    <row r="77" spans="1:27" ht="15">
      <c r="A77" s="16"/>
      <c r="B77" s="16"/>
      <c r="C77" s="26"/>
      <c r="D77"/>
      <c r="I77"/>
      <c r="J77" s="2"/>
      <c r="L77"/>
      <c r="M77"/>
      <c r="N77" s="18"/>
      <c r="O77"/>
      <c r="P77" s="18"/>
      <c r="Q77"/>
      <c r="R77"/>
      <c r="S77" s="11"/>
      <c r="T77" s="3"/>
      <c r="U77" s="18"/>
      <c r="V77"/>
      <c r="W77" s="3"/>
      <c r="X77" s="30"/>
      <c r="Y77" s="3"/>
      <c r="Z77" s="18"/>
    </row>
    <row r="78" spans="1:27" ht="15">
      <c r="A78" s="16"/>
      <c r="B78" s="16"/>
      <c r="C78" s="26"/>
      <c r="D78"/>
      <c r="I78"/>
      <c r="J78" s="2"/>
      <c r="L78"/>
      <c r="M78"/>
      <c r="N78" s="18"/>
      <c r="O78"/>
      <c r="P78" s="18"/>
      <c r="Q78"/>
      <c r="R78"/>
      <c r="S78" s="11"/>
      <c r="T78" s="3"/>
      <c r="U78" s="18"/>
      <c r="V78"/>
      <c r="W78" s="3"/>
      <c r="X78" s="30"/>
      <c r="Y78" s="3"/>
      <c r="Z78" s="18"/>
    </row>
    <row r="79" spans="1:27" ht="15">
      <c r="A79" s="16"/>
      <c r="B79" s="16"/>
      <c r="C79" s="26"/>
      <c r="D79"/>
      <c r="I79"/>
      <c r="J79" s="2"/>
      <c r="L79"/>
      <c r="M79"/>
      <c r="N79" s="18"/>
      <c r="O79"/>
      <c r="P79" s="18"/>
      <c r="Q79"/>
      <c r="R79"/>
      <c r="S79" s="11"/>
      <c r="T79" s="3"/>
      <c r="U79" s="18"/>
      <c r="V79"/>
      <c r="W79" s="3"/>
      <c r="X79" s="30"/>
      <c r="Y79" s="3"/>
      <c r="Z79" s="18"/>
    </row>
    <row r="80" spans="1:27" ht="15">
      <c r="A80" s="16"/>
      <c r="B80" s="16"/>
      <c r="C80" s="26"/>
      <c r="D80"/>
      <c r="I80"/>
      <c r="J80" s="2"/>
      <c r="L80"/>
      <c r="M80"/>
      <c r="N80" s="18"/>
      <c r="O80"/>
      <c r="P80" s="18"/>
      <c r="Q80"/>
      <c r="R80"/>
      <c r="S80" s="11"/>
      <c r="T80" s="3"/>
      <c r="U80" s="18"/>
      <c r="V80"/>
      <c r="W80" s="3"/>
      <c r="X80" s="30"/>
      <c r="Y80" s="3"/>
      <c r="Z80" s="18"/>
    </row>
    <row r="81" spans="1:27" ht="15">
      <c r="A81" s="16"/>
      <c r="B81" s="16"/>
      <c r="C81" s="26"/>
      <c r="D81"/>
      <c r="I81"/>
      <c r="J81" s="2"/>
      <c r="L81"/>
      <c r="M81"/>
      <c r="N81" s="18"/>
      <c r="O81"/>
      <c r="P81" s="18"/>
      <c r="Q81"/>
      <c r="R81"/>
      <c r="S81" s="11"/>
      <c r="T81" s="3"/>
      <c r="U81" s="18"/>
      <c r="V81"/>
      <c r="W81" s="3"/>
      <c r="X81" s="30"/>
      <c r="Y81" s="3"/>
      <c r="Z81" s="18"/>
    </row>
    <row r="82" spans="1:27" ht="15">
      <c r="A82" s="16"/>
      <c r="B82" s="16"/>
      <c r="C82" s="26"/>
      <c r="D82"/>
      <c r="G82" s="18"/>
      <c r="I82"/>
      <c r="J82" s="2"/>
      <c r="K82" s="18"/>
      <c r="L82"/>
      <c r="M82"/>
      <c r="N82" s="18"/>
      <c r="O82"/>
      <c r="P82" s="18"/>
      <c r="Q82"/>
      <c r="R82"/>
      <c r="S82" s="11"/>
      <c r="T82" s="3"/>
      <c r="U82" s="18"/>
      <c r="V82"/>
      <c r="W82" s="3"/>
      <c r="X82" s="30"/>
      <c r="Y82" s="3"/>
      <c r="Z82" s="18"/>
      <c r="AA82" s="18"/>
    </row>
    <row r="83" spans="1:27" ht="15">
      <c r="A83" s="16"/>
      <c r="B83" s="16"/>
      <c r="C83" s="26"/>
      <c r="D83"/>
      <c r="I83"/>
      <c r="J83" s="2"/>
      <c r="L83"/>
      <c r="M83"/>
      <c r="N83" s="18"/>
      <c r="O83"/>
      <c r="P83" s="18"/>
      <c r="Q83"/>
      <c r="R83"/>
      <c r="S83" s="11"/>
      <c r="T83" s="3"/>
      <c r="U83" s="18"/>
      <c r="V83"/>
      <c r="W83" s="3"/>
      <c r="X83" s="30"/>
      <c r="Y83" s="3"/>
      <c r="Z83" s="18"/>
    </row>
    <row r="84" spans="1:27" ht="15">
      <c r="A84" s="16"/>
      <c r="B84" s="16"/>
      <c r="C84" s="26"/>
      <c r="D84"/>
      <c r="E84" s="18"/>
      <c r="F84" s="18"/>
      <c r="G84" s="18"/>
      <c r="H84" s="18"/>
      <c r="I84"/>
      <c r="J84" s="2"/>
      <c r="K84" s="18"/>
      <c r="L84"/>
      <c r="M84"/>
      <c r="N84" s="27"/>
      <c r="O84"/>
      <c r="P84" s="18"/>
      <c r="Q84"/>
      <c r="R84"/>
      <c r="S84" s="11"/>
      <c r="T84" s="3"/>
      <c r="U84" s="18"/>
      <c r="V84"/>
      <c r="W84" s="3"/>
      <c r="X84" s="30"/>
      <c r="Y84" s="3"/>
      <c r="Z84" s="18"/>
    </row>
    <row r="85" spans="1:27" ht="15">
      <c r="A85" s="16"/>
      <c r="B85" s="16"/>
      <c r="C85" s="26"/>
      <c r="D85"/>
      <c r="I85"/>
      <c r="J85" s="2"/>
      <c r="L85"/>
      <c r="M85"/>
      <c r="N85" s="18"/>
      <c r="O85"/>
      <c r="P85" s="18"/>
      <c r="Q85"/>
      <c r="R85"/>
      <c r="S85" s="11"/>
      <c r="T85" s="3"/>
      <c r="U85" s="18"/>
      <c r="V85"/>
      <c r="W85" s="3"/>
      <c r="X85" s="30"/>
      <c r="Y85" s="3"/>
      <c r="Z85" s="18"/>
    </row>
    <row r="86" spans="1:27" ht="15">
      <c r="A86" s="16"/>
      <c r="B86" s="16"/>
      <c r="C86" s="26"/>
      <c r="D86"/>
      <c r="E86" s="18"/>
      <c r="F86" s="18"/>
      <c r="G86" s="18"/>
      <c r="H86" s="18"/>
      <c r="I86"/>
      <c r="J86" s="2"/>
      <c r="K86" s="18"/>
      <c r="L86"/>
      <c r="M86"/>
      <c r="N86" s="27"/>
      <c r="O86"/>
      <c r="P86" s="18"/>
      <c r="Q86"/>
      <c r="R86"/>
      <c r="S86" s="11"/>
      <c r="T86" s="3"/>
      <c r="U86" s="18"/>
      <c r="V86"/>
      <c r="W86" s="3"/>
      <c r="X86" s="30"/>
      <c r="Y86" s="3"/>
      <c r="Z86" s="18"/>
    </row>
    <row r="87" spans="1:27" ht="15">
      <c r="A87" s="16"/>
      <c r="B87" s="16"/>
      <c r="C87" s="26"/>
      <c r="D87"/>
      <c r="I87"/>
      <c r="J87" s="2"/>
      <c r="L87"/>
      <c r="M87"/>
      <c r="N87" s="18"/>
      <c r="O87"/>
      <c r="P87" s="18"/>
      <c r="Q87"/>
      <c r="R87"/>
      <c r="S87" s="11"/>
      <c r="T87" s="3"/>
      <c r="U87" s="18"/>
      <c r="V87"/>
      <c r="W87" s="3"/>
      <c r="X87" s="30"/>
      <c r="Y87" s="3"/>
      <c r="Z87" s="18"/>
    </row>
    <row r="88" spans="1:27" ht="15">
      <c r="A88" s="16"/>
      <c r="B88" s="16"/>
      <c r="C88" s="26"/>
      <c r="D88"/>
      <c r="G88" s="18"/>
      <c r="I88"/>
      <c r="J88" s="2"/>
      <c r="K88" s="18"/>
      <c r="L88"/>
      <c r="M88"/>
      <c r="N88" s="18"/>
      <c r="O88"/>
      <c r="P88" s="18"/>
      <c r="Q88"/>
      <c r="R88"/>
      <c r="S88" s="11"/>
      <c r="T88" s="3"/>
      <c r="U88" s="18"/>
      <c r="V88"/>
      <c r="W88" s="3"/>
      <c r="X88" s="30"/>
      <c r="Y88" s="3"/>
      <c r="Z88" s="18"/>
      <c r="AA88" s="18"/>
    </row>
    <row r="89" spans="1:27" ht="15">
      <c r="A89" s="16"/>
      <c r="B89" s="16"/>
      <c r="C89" s="26"/>
      <c r="D89"/>
      <c r="I89"/>
      <c r="J89" s="2"/>
      <c r="L89"/>
      <c r="M89"/>
      <c r="N89" s="18"/>
      <c r="O89"/>
      <c r="P89" s="18"/>
      <c r="Q89"/>
      <c r="R89"/>
      <c r="S89" s="11"/>
      <c r="T89" s="3"/>
      <c r="U89" s="18"/>
      <c r="V89"/>
      <c r="W89" s="3"/>
      <c r="X89" s="30"/>
      <c r="Y89" s="3"/>
      <c r="Z89" s="18"/>
    </row>
    <row r="90" spans="1:27" ht="15">
      <c r="A90" s="16"/>
      <c r="B90" s="16"/>
      <c r="C90" s="26"/>
      <c r="D90"/>
      <c r="I90"/>
      <c r="J90" s="2"/>
      <c r="L90"/>
      <c r="M90"/>
      <c r="N90" s="18"/>
      <c r="O90"/>
      <c r="P90" s="18"/>
      <c r="Q90"/>
      <c r="R90"/>
      <c r="S90" s="11"/>
      <c r="T90" s="3"/>
      <c r="U90" s="18"/>
      <c r="V90"/>
      <c r="W90" s="3"/>
      <c r="X90" s="30"/>
      <c r="Y90" s="3"/>
      <c r="Z90" s="18"/>
    </row>
    <row r="91" spans="1:27" ht="15">
      <c r="A91" s="16"/>
      <c r="B91" s="16"/>
      <c r="C91" s="26"/>
      <c r="D91"/>
      <c r="I91"/>
      <c r="J91" s="2"/>
      <c r="L91"/>
      <c r="M91"/>
      <c r="N91" s="18"/>
      <c r="O91"/>
      <c r="P91" s="18"/>
      <c r="Q91"/>
      <c r="R91"/>
      <c r="S91" s="11"/>
      <c r="T91" s="3"/>
      <c r="U91" s="18"/>
      <c r="V91"/>
      <c r="W91" s="3"/>
      <c r="X91" s="30"/>
      <c r="Y91" s="3"/>
      <c r="Z91" s="18"/>
    </row>
    <row r="92" spans="1:27" ht="15">
      <c r="A92" s="16"/>
      <c r="B92" s="16"/>
      <c r="C92" s="26"/>
      <c r="D92"/>
      <c r="I92"/>
      <c r="J92" s="2"/>
      <c r="L92"/>
      <c r="M92"/>
      <c r="N92" s="18"/>
      <c r="O92"/>
      <c r="P92" s="18"/>
      <c r="Q92"/>
      <c r="R92"/>
      <c r="S92" s="11"/>
      <c r="T92" s="3"/>
      <c r="U92" s="18"/>
      <c r="V92"/>
      <c r="W92" s="3"/>
      <c r="X92" s="30"/>
      <c r="Y92" s="3"/>
      <c r="Z92" s="18"/>
    </row>
    <row r="93" spans="1:27" ht="15">
      <c r="A93" s="16"/>
      <c r="B93" s="16"/>
      <c r="C93" s="26"/>
      <c r="D93"/>
      <c r="I93"/>
      <c r="J93" s="2"/>
      <c r="L93"/>
      <c r="M93"/>
      <c r="N93" s="18"/>
      <c r="O93"/>
      <c r="P93" s="18"/>
      <c r="Q93"/>
      <c r="R93"/>
      <c r="S93" s="11"/>
      <c r="T93" s="3"/>
      <c r="U93" s="18"/>
      <c r="V93"/>
      <c r="W93" s="3"/>
      <c r="X93" s="30"/>
      <c r="Y93" s="3"/>
      <c r="Z93" s="18"/>
    </row>
    <row r="94" spans="1:27" ht="15">
      <c r="A94" s="16"/>
      <c r="B94" s="16"/>
      <c r="C94" s="26"/>
      <c r="D94"/>
      <c r="I94"/>
      <c r="J94" s="2"/>
      <c r="L94"/>
      <c r="M94"/>
      <c r="N94" s="18"/>
      <c r="O94"/>
      <c r="P94" s="18"/>
      <c r="Q94"/>
      <c r="R94"/>
      <c r="S94" s="11"/>
      <c r="T94" s="3"/>
      <c r="U94" s="18"/>
      <c r="V94"/>
      <c r="W94" s="3"/>
      <c r="X94" s="30"/>
      <c r="Y94" s="3"/>
      <c r="Z94" s="18"/>
    </row>
    <row r="95" spans="1:27" ht="15">
      <c r="A95" s="16"/>
      <c r="B95" s="16"/>
      <c r="C95" s="26"/>
      <c r="D95"/>
      <c r="I95"/>
      <c r="J95" s="2"/>
      <c r="L95"/>
      <c r="M95"/>
      <c r="N95" s="18"/>
      <c r="O95"/>
      <c r="P95" s="18"/>
      <c r="Q95"/>
      <c r="R95"/>
      <c r="S95" s="11"/>
      <c r="T95" s="3"/>
      <c r="U95" s="18"/>
      <c r="V95"/>
      <c r="W95" s="3"/>
      <c r="X95" s="30"/>
      <c r="Y95" s="3"/>
      <c r="Z95" s="18"/>
    </row>
    <row r="96" spans="1:27" ht="15">
      <c r="A96" s="16"/>
      <c r="B96" s="16"/>
      <c r="C96" s="26"/>
      <c r="D96"/>
      <c r="I96"/>
      <c r="J96" s="2"/>
      <c r="L96"/>
      <c r="M96"/>
      <c r="N96" s="18"/>
      <c r="O96"/>
      <c r="P96" s="18"/>
      <c r="Q96"/>
      <c r="R96"/>
      <c r="S96" s="11"/>
      <c r="T96" s="3"/>
      <c r="U96" s="18"/>
      <c r="V96"/>
      <c r="W96" s="3"/>
      <c r="X96" s="30"/>
      <c r="Y96" s="3"/>
      <c r="Z96" s="18"/>
    </row>
    <row r="97" spans="1:27" ht="15">
      <c r="A97" s="16"/>
      <c r="B97" s="16"/>
      <c r="C97" s="26"/>
      <c r="D97"/>
      <c r="I97"/>
      <c r="J97" s="2"/>
      <c r="L97"/>
      <c r="M97"/>
      <c r="N97" s="18"/>
      <c r="O97"/>
      <c r="P97" s="18"/>
      <c r="Q97"/>
      <c r="R97"/>
      <c r="S97" s="11"/>
      <c r="T97" s="3"/>
      <c r="U97" s="18"/>
      <c r="V97"/>
      <c r="W97" s="3"/>
      <c r="X97" s="30"/>
      <c r="Y97" s="3"/>
      <c r="Z97" s="18"/>
    </row>
    <row r="98" spans="1:27" ht="15">
      <c r="A98" s="16"/>
      <c r="B98" s="16"/>
      <c r="C98" s="26"/>
      <c r="D98"/>
      <c r="I98"/>
      <c r="J98" s="2"/>
      <c r="L98"/>
      <c r="M98"/>
      <c r="N98" s="18"/>
      <c r="O98"/>
      <c r="P98" s="18"/>
      <c r="Q98"/>
      <c r="R98"/>
      <c r="S98" s="11"/>
      <c r="T98" s="3"/>
      <c r="U98" s="18"/>
      <c r="V98"/>
      <c r="W98" s="3"/>
      <c r="X98" s="30"/>
      <c r="Y98" s="3"/>
      <c r="Z98" s="18"/>
    </row>
    <row r="99" spans="1:27" ht="15">
      <c r="A99" s="16"/>
      <c r="B99" s="16"/>
      <c r="C99" s="26"/>
      <c r="D99"/>
      <c r="I99"/>
      <c r="J99" s="2"/>
      <c r="L99"/>
      <c r="M99"/>
      <c r="N99" s="18"/>
      <c r="O99"/>
      <c r="P99" s="18"/>
      <c r="Q99"/>
      <c r="R99"/>
      <c r="S99" s="11"/>
      <c r="T99" s="3"/>
      <c r="U99" s="18"/>
      <c r="V99"/>
      <c r="W99" s="3"/>
      <c r="X99" s="30"/>
      <c r="Y99" s="3"/>
      <c r="Z99" s="18"/>
    </row>
    <row r="100" spans="1:27" ht="15">
      <c r="A100" s="16"/>
      <c r="B100" s="16"/>
      <c r="C100" s="26"/>
      <c r="D100"/>
      <c r="I100"/>
      <c r="J100" s="2"/>
      <c r="L100"/>
      <c r="M100"/>
      <c r="N100" s="18"/>
      <c r="O100"/>
      <c r="P100" s="18"/>
      <c r="Q100"/>
      <c r="R100"/>
      <c r="S100" s="11"/>
      <c r="T100" s="3"/>
      <c r="U100" s="18"/>
      <c r="V100"/>
      <c r="W100" s="3"/>
      <c r="X100" s="30"/>
      <c r="Y100" s="3"/>
      <c r="Z100" s="18"/>
    </row>
    <row r="101" spans="1:27" ht="15">
      <c r="A101" s="16"/>
      <c r="B101" s="16"/>
      <c r="C101" s="26"/>
      <c r="D101"/>
      <c r="I101"/>
      <c r="J101" s="2"/>
      <c r="L101"/>
      <c r="M101"/>
      <c r="N101" s="18"/>
      <c r="O101"/>
      <c r="P101" s="18"/>
      <c r="Q101"/>
      <c r="R101"/>
      <c r="S101" s="11"/>
      <c r="T101" s="3"/>
      <c r="U101" s="18"/>
      <c r="V101"/>
      <c r="W101" s="3"/>
      <c r="X101" s="30"/>
      <c r="Y101" s="3"/>
      <c r="Z101" s="18"/>
    </row>
    <row r="102" spans="1:27" ht="15">
      <c r="A102" s="16"/>
      <c r="B102" s="16"/>
      <c r="C102" s="26"/>
      <c r="D102"/>
      <c r="I102"/>
      <c r="J102" s="2"/>
      <c r="L102"/>
      <c r="M102"/>
      <c r="N102" s="18"/>
      <c r="O102"/>
      <c r="P102" s="18"/>
      <c r="Q102"/>
      <c r="R102"/>
      <c r="S102" s="11"/>
      <c r="T102" s="3"/>
      <c r="U102" s="18"/>
      <c r="V102"/>
      <c r="W102" s="3"/>
      <c r="X102" s="30"/>
      <c r="Y102" s="3"/>
      <c r="Z102" s="18"/>
    </row>
    <row r="103" spans="1:27" ht="15">
      <c r="A103" s="16"/>
      <c r="B103" s="16"/>
      <c r="C103" s="26"/>
      <c r="D103"/>
      <c r="I103"/>
      <c r="J103" s="2"/>
      <c r="L103"/>
      <c r="M103"/>
      <c r="N103" s="18"/>
      <c r="O103"/>
      <c r="P103" s="18"/>
      <c r="Q103"/>
      <c r="R103"/>
      <c r="S103" s="11"/>
      <c r="T103" s="3"/>
      <c r="U103" s="18"/>
      <c r="V103"/>
      <c r="W103" s="3"/>
      <c r="X103" s="30"/>
      <c r="Y103" s="3"/>
      <c r="Z103" s="18"/>
    </row>
    <row r="104" spans="1:27" ht="15">
      <c r="A104" s="16"/>
      <c r="B104" s="16"/>
      <c r="C104" s="26"/>
      <c r="D104"/>
      <c r="I104"/>
      <c r="J104" s="2"/>
      <c r="L104"/>
      <c r="M104"/>
      <c r="N104" s="18"/>
      <c r="O104"/>
      <c r="P104" s="18"/>
      <c r="Q104"/>
      <c r="R104"/>
      <c r="S104" s="11"/>
      <c r="T104" s="3"/>
      <c r="U104" s="18"/>
      <c r="V104"/>
      <c r="W104" s="3"/>
      <c r="X104" s="30"/>
      <c r="Y104" s="3"/>
      <c r="Z104" s="18"/>
    </row>
    <row r="105" spans="1:27" ht="15">
      <c r="A105" s="16"/>
      <c r="B105" s="16"/>
      <c r="C105" s="26"/>
      <c r="D105"/>
      <c r="I105"/>
      <c r="J105" s="2"/>
      <c r="L105"/>
      <c r="M105"/>
      <c r="N105" s="18"/>
      <c r="O105"/>
      <c r="P105" s="18"/>
      <c r="Q105"/>
      <c r="R105"/>
      <c r="S105" s="11"/>
      <c r="T105" s="3"/>
      <c r="U105" s="18"/>
      <c r="V105"/>
      <c r="W105" s="3"/>
      <c r="X105" s="30"/>
      <c r="Y105" s="3"/>
      <c r="Z105" s="18"/>
    </row>
    <row r="106" spans="1:27" ht="15">
      <c r="A106" s="16"/>
      <c r="B106" s="16"/>
      <c r="C106" s="26"/>
      <c r="D106"/>
      <c r="G106" s="18"/>
      <c r="I106"/>
      <c r="J106" s="2"/>
      <c r="K106" s="18"/>
      <c r="L106"/>
      <c r="M106"/>
      <c r="N106" s="18"/>
      <c r="O106"/>
      <c r="P106" s="18"/>
      <c r="Q106"/>
      <c r="R106"/>
      <c r="S106" s="11"/>
      <c r="T106" s="3"/>
      <c r="U106" s="18"/>
      <c r="V106"/>
      <c r="W106" s="3"/>
      <c r="X106" s="30"/>
      <c r="Y106" s="3"/>
      <c r="Z106" s="18"/>
      <c r="AA106" s="18"/>
    </row>
    <row r="107" spans="1:27" ht="15">
      <c r="A107" s="16"/>
      <c r="B107" s="16"/>
      <c r="C107" s="26"/>
      <c r="D107"/>
      <c r="E107" s="18"/>
      <c r="F107" s="18"/>
      <c r="G107" s="18"/>
      <c r="H107" s="18"/>
      <c r="I107"/>
      <c r="J107" s="2"/>
      <c r="K107" s="18"/>
      <c r="L107"/>
      <c r="M107"/>
      <c r="N107" s="27"/>
      <c r="O107"/>
      <c r="P107" s="18"/>
      <c r="Q107"/>
      <c r="R107"/>
      <c r="S107" s="11"/>
      <c r="T107" s="3"/>
      <c r="U107" s="18"/>
      <c r="V107"/>
      <c r="W107" s="3"/>
      <c r="X107" s="30"/>
      <c r="Y107" s="3"/>
      <c r="Z107" s="18"/>
    </row>
    <row r="108" spans="1:27" ht="15">
      <c r="A108" s="16"/>
      <c r="B108" s="16"/>
      <c r="C108" s="26"/>
      <c r="D108"/>
      <c r="E108" s="18"/>
      <c r="F108" s="18"/>
      <c r="G108" s="18"/>
      <c r="H108" s="18"/>
      <c r="I108"/>
      <c r="J108" s="2"/>
      <c r="K108" s="18"/>
      <c r="L108"/>
      <c r="M108"/>
      <c r="N108" s="27"/>
      <c r="O108"/>
      <c r="P108" s="18"/>
      <c r="Q108"/>
      <c r="R108"/>
      <c r="S108" s="11"/>
      <c r="T108" s="3"/>
      <c r="U108" s="18"/>
      <c r="V108"/>
      <c r="W108" s="3"/>
      <c r="X108" s="30"/>
      <c r="Y108" s="3"/>
      <c r="Z108" s="18"/>
    </row>
    <row r="109" spans="1:27" ht="15">
      <c r="A109" s="16"/>
      <c r="B109" s="16"/>
      <c r="C109" s="26"/>
      <c r="D109"/>
      <c r="I109"/>
      <c r="J109" s="2"/>
      <c r="L109"/>
      <c r="M109"/>
      <c r="N109" s="18"/>
      <c r="O109"/>
      <c r="P109" s="18"/>
      <c r="Q109"/>
      <c r="R109"/>
      <c r="S109" s="11"/>
      <c r="T109" s="3"/>
      <c r="U109" s="18"/>
      <c r="V109"/>
      <c r="W109" s="3"/>
      <c r="X109" s="30"/>
      <c r="Y109" s="3"/>
      <c r="Z109" s="18"/>
    </row>
    <row r="110" spans="1:27" ht="15">
      <c r="A110" s="16"/>
      <c r="B110" s="16"/>
      <c r="C110" s="26"/>
      <c r="D110"/>
      <c r="G110" s="18"/>
      <c r="I110"/>
      <c r="J110" s="2"/>
      <c r="K110" s="18"/>
      <c r="L110"/>
      <c r="M110"/>
      <c r="N110" s="18"/>
      <c r="O110"/>
      <c r="P110" s="18"/>
      <c r="Q110"/>
      <c r="R110"/>
      <c r="S110" s="11"/>
      <c r="T110" s="3"/>
      <c r="U110" s="18"/>
      <c r="V110"/>
      <c r="W110" s="3"/>
      <c r="X110" s="30"/>
      <c r="Y110" s="3"/>
      <c r="Z110" s="18"/>
      <c r="AA110" s="18"/>
    </row>
    <row r="111" spans="1:27" ht="15">
      <c r="A111" s="16"/>
      <c r="B111" s="16"/>
      <c r="C111" s="26"/>
      <c r="D111"/>
      <c r="I111"/>
      <c r="J111" s="2"/>
      <c r="L111"/>
      <c r="M111"/>
      <c r="N111" s="18"/>
      <c r="O111"/>
      <c r="P111" s="18"/>
      <c r="Q111"/>
      <c r="R111"/>
      <c r="S111" s="11"/>
      <c r="T111" s="3"/>
      <c r="U111" s="18"/>
      <c r="V111"/>
      <c r="W111" s="3"/>
      <c r="X111" s="30"/>
      <c r="Y111" s="3"/>
      <c r="Z111" s="18"/>
    </row>
    <row r="112" spans="1:27" ht="15">
      <c r="A112" s="16"/>
      <c r="B112" s="16"/>
      <c r="C112" s="26"/>
      <c r="D112"/>
      <c r="I112"/>
      <c r="J112" s="2"/>
      <c r="L112"/>
      <c r="M112"/>
      <c r="N112" s="18"/>
      <c r="O112"/>
      <c r="P112" s="18"/>
      <c r="Q112"/>
      <c r="R112"/>
      <c r="S112" s="11"/>
      <c r="T112" s="3"/>
      <c r="U112" s="18"/>
      <c r="V112"/>
      <c r="W112" s="3"/>
      <c r="X112" s="30"/>
      <c r="Y112" s="3"/>
      <c r="Z112" s="18"/>
    </row>
    <row r="113" spans="1:27" ht="15">
      <c r="A113" s="16"/>
      <c r="B113" s="16"/>
      <c r="C113" s="26"/>
      <c r="D113"/>
      <c r="I113"/>
      <c r="J113" s="2"/>
      <c r="L113"/>
      <c r="M113"/>
      <c r="N113" s="18"/>
      <c r="O113"/>
      <c r="P113" s="18"/>
      <c r="Q113"/>
      <c r="R113"/>
      <c r="S113" s="11"/>
      <c r="T113" s="3"/>
      <c r="U113" s="18"/>
      <c r="V113"/>
      <c r="W113" s="3"/>
      <c r="X113" s="30"/>
      <c r="Y113" s="3"/>
      <c r="Z113" s="18"/>
    </row>
    <row r="114" spans="1:27" ht="15">
      <c r="A114" s="16"/>
      <c r="B114" s="16"/>
      <c r="C114" s="26"/>
      <c r="D114"/>
      <c r="I114"/>
      <c r="J114" s="2"/>
      <c r="L114"/>
      <c r="M114"/>
      <c r="N114" s="18"/>
      <c r="O114"/>
      <c r="P114" s="18"/>
      <c r="Q114"/>
      <c r="R114"/>
      <c r="S114" s="11"/>
      <c r="T114" s="3"/>
      <c r="U114" s="18"/>
      <c r="V114"/>
      <c r="W114" s="3"/>
      <c r="X114" s="30"/>
      <c r="Y114" s="3"/>
      <c r="Z114" s="18"/>
    </row>
    <row r="115" spans="1:27" ht="15">
      <c r="A115" s="16"/>
      <c r="B115" s="16"/>
      <c r="C115" s="26"/>
      <c r="D115"/>
      <c r="I115"/>
      <c r="J115" s="2"/>
      <c r="L115"/>
      <c r="M115"/>
      <c r="N115" s="18"/>
      <c r="O115"/>
      <c r="P115" s="18"/>
      <c r="Q115"/>
      <c r="R115"/>
      <c r="S115" s="11"/>
      <c r="T115" s="3"/>
      <c r="U115" s="18"/>
      <c r="V115"/>
      <c r="W115" s="3"/>
      <c r="X115" s="30"/>
      <c r="Y115" s="3"/>
      <c r="Z115" s="18"/>
    </row>
    <row r="116" spans="1:27" ht="15">
      <c r="A116" s="16"/>
      <c r="B116" s="16"/>
      <c r="C116" s="26"/>
      <c r="D116"/>
      <c r="I116"/>
      <c r="J116" s="2"/>
      <c r="L116"/>
      <c r="M116"/>
      <c r="N116" s="18"/>
      <c r="O116"/>
      <c r="P116" s="18"/>
      <c r="Q116"/>
      <c r="R116"/>
      <c r="S116" s="11"/>
      <c r="T116" s="3"/>
      <c r="U116" s="18"/>
      <c r="V116"/>
      <c r="W116" s="3"/>
      <c r="X116" s="30"/>
      <c r="Y116" s="3"/>
      <c r="Z116" s="18"/>
    </row>
    <row r="117" spans="1:27" ht="15">
      <c r="A117" s="16"/>
      <c r="B117" s="16"/>
      <c r="C117" s="26"/>
      <c r="D117"/>
      <c r="G117" s="18"/>
      <c r="I117"/>
      <c r="J117" s="2"/>
      <c r="K117" s="18"/>
      <c r="L117"/>
      <c r="M117"/>
      <c r="N117" s="18"/>
      <c r="O117"/>
      <c r="P117" s="18"/>
      <c r="Q117"/>
      <c r="R117"/>
      <c r="S117" s="11"/>
      <c r="T117" s="3"/>
      <c r="U117" s="18"/>
      <c r="V117"/>
      <c r="W117" s="3"/>
      <c r="X117" s="30"/>
      <c r="Y117" s="3"/>
      <c r="Z117" s="18"/>
      <c r="AA117" s="18"/>
    </row>
    <row r="118" spans="1:27" ht="15">
      <c r="A118" s="16"/>
      <c r="B118" s="16"/>
      <c r="C118" s="26"/>
      <c r="D118"/>
      <c r="I118"/>
      <c r="J118" s="2"/>
      <c r="L118"/>
      <c r="M118"/>
      <c r="N118" s="18"/>
      <c r="O118"/>
      <c r="P118" s="18"/>
      <c r="Q118"/>
      <c r="R118"/>
      <c r="S118" s="11"/>
      <c r="T118" s="3"/>
      <c r="U118" s="18"/>
      <c r="V118"/>
      <c r="W118" s="3"/>
      <c r="X118" s="30"/>
      <c r="Y118" s="3"/>
      <c r="Z118" s="18"/>
    </row>
    <row r="119" spans="1:27" ht="15">
      <c r="A119" s="16"/>
      <c r="B119" s="16"/>
      <c r="C119" s="26"/>
      <c r="D119"/>
      <c r="I119"/>
      <c r="J119" s="2"/>
      <c r="L119"/>
      <c r="M119"/>
      <c r="N119" s="18"/>
      <c r="O119"/>
      <c r="P119" s="18"/>
      <c r="Q119"/>
      <c r="R119"/>
      <c r="S119" s="11"/>
      <c r="T119" s="3"/>
      <c r="U119" s="18"/>
      <c r="V119"/>
      <c r="W119" s="3"/>
      <c r="X119" s="30"/>
      <c r="Y119" s="3"/>
      <c r="Z119" s="18"/>
    </row>
    <row r="120" spans="1:27" ht="15">
      <c r="A120" s="16"/>
      <c r="B120" s="16"/>
      <c r="C120" s="26"/>
      <c r="D120"/>
      <c r="I120"/>
      <c r="J120" s="2"/>
      <c r="L120"/>
      <c r="M120"/>
      <c r="N120" s="18"/>
      <c r="O120"/>
      <c r="P120" s="18"/>
      <c r="Q120"/>
      <c r="R120"/>
      <c r="S120" s="11"/>
      <c r="T120" s="3"/>
      <c r="U120" s="18"/>
      <c r="V120"/>
      <c r="W120" s="3"/>
      <c r="X120" s="30"/>
      <c r="Y120" s="3"/>
      <c r="Z120" s="18"/>
    </row>
    <row r="121" spans="1:27" ht="15">
      <c r="A121" s="16"/>
      <c r="B121" s="16"/>
      <c r="C121" s="26"/>
      <c r="D121"/>
      <c r="I121"/>
      <c r="J121" s="2"/>
      <c r="L121"/>
      <c r="M121"/>
      <c r="N121" s="18"/>
      <c r="O121"/>
      <c r="P121" s="18"/>
      <c r="Q121"/>
      <c r="R121"/>
      <c r="S121" s="11"/>
      <c r="T121" s="3"/>
      <c r="U121" s="18"/>
      <c r="V121"/>
      <c r="W121" s="3"/>
      <c r="X121" s="30"/>
      <c r="Y121" s="3"/>
      <c r="Z121" s="18"/>
    </row>
    <row r="122" spans="1:27" ht="15">
      <c r="A122" s="16"/>
      <c r="B122" s="16"/>
      <c r="C122" s="26"/>
      <c r="D122"/>
      <c r="G122" s="18"/>
      <c r="I122"/>
      <c r="J122" s="2"/>
      <c r="K122" s="18"/>
      <c r="L122"/>
      <c r="M122"/>
      <c r="N122" s="18"/>
      <c r="O122"/>
      <c r="P122" s="18"/>
      <c r="Q122"/>
      <c r="R122"/>
      <c r="S122" s="11"/>
      <c r="T122" s="3"/>
      <c r="U122" s="18"/>
      <c r="V122"/>
      <c r="W122" s="3"/>
      <c r="X122" s="30"/>
      <c r="Y122" s="3"/>
      <c r="Z122" s="18"/>
      <c r="AA122" s="18"/>
    </row>
    <row r="123" spans="1:27" ht="15">
      <c r="A123" s="16"/>
      <c r="B123" s="16"/>
      <c r="C123" s="26"/>
      <c r="D123"/>
      <c r="I123"/>
      <c r="J123" s="2"/>
      <c r="L123"/>
      <c r="M123"/>
      <c r="N123" s="18"/>
      <c r="O123"/>
      <c r="P123" s="18"/>
      <c r="Q123"/>
      <c r="R123"/>
      <c r="S123" s="11"/>
      <c r="T123" s="3"/>
      <c r="U123" s="18"/>
      <c r="V123"/>
      <c r="W123" s="3"/>
      <c r="X123" s="30"/>
      <c r="Y123" s="3"/>
      <c r="Z123" s="18"/>
    </row>
    <row r="124" spans="1:27" ht="15">
      <c r="A124" s="16"/>
      <c r="B124" s="16"/>
      <c r="C124" s="26"/>
      <c r="D124"/>
      <c r="G124" s="18"/>
      <c r="I124"/>
      <c r="J124" s="2"/>
      <c r="K124" s="18"/>
      <c r="L124"/>
      <c r="M124"/>
      <c r="N124" s="18"/>
      <c r="O124"/>
      <c r="P124" s="18"/>
      <c r="Q124"/>
      <c r="R124"/>
      <c r="S124" s="11"/>
      <c r="T124" s="3"/>
      <c r="U124" s="18"/>
      <c r="V124"/>
      <c r="W124" s="3"/>
      <c r="X124" s="30"/>
      <c r="Y124" s="3"/>
      <c r="Z124" s="18"/>
      <c r="AA124" s="18"/>
    </row>
    <row r="125" spans="1:27" ht="15">
      <c r="A125" s="16"/>
      <c r="B125" s="16"/>
      <c r="C125" s="26"/>
      <c r="D125"/>
      <c r="G125" s="18"/>
      <c r="I125"/>
      <c r="J125" s="2"/>
      <c r="K125" s="18"/>
      <c r="L125"/>
      <c r="M125"/>
      <c r="N125" s="18"/>
      <c r="O125"/>
      <c r="P125" s="18"/>
      <c r="Q125"/>
      <c r="R125"/>
      <c r="S125" s="11"/>
      <c r="T125" s="3"/>
      <c r="U125" s="18"/>
      <c r="V125"/>
      <c r="W125" s="3"/>
      <c r="X125" s="30"/>
      <c r="Y125" s="3"/>
      <c r="Z125" s="18"/>
      <c r="AA125" s="18"/>
    </row>
    <row r="126" spans="1:27" ht="15">
      <c r="A126" s="16"/>
      <c r="B126" s="16"/>
      <c r="C126" s="26"/>
      <c r="D126"/>
      <c r="G126" s="18"/>
      <c r="I126"/>
      <c r="J126" s="2"/>
      <c r="K126" s="18"/>
      <c r="L126"/>
      <c r="M126"/>
      <c r="N126" s="27"/>
      <c r="O126"/>
      <c r="P126" s="18"/>
      <c r="Q126"/>
      <c r="R126"/>
      <c r="S126" s="11"/>
      <c r="T126" s="3"/>
      <c r="U126" s="18"/>
      <c r="V126"/>
      <c r="W126" s="3"/>
      <c r="X126" s="30"/>
      <c r="Y126" s="3"/>
      <c r="Z126" s="18"/>
    </row>
    <row r="127" spans="1:27" ht="15">
      <c r="A127" s="16"/>
      <c r="B127" s="16"/>
      <c r="C127" s="26"/>
      <c r="D127"/>
      <c r="I127"/>
      <c r="J127" s="2"/>
      <c r="L127"/>
      <c r="M127"/>
      <c r="N127" s="18"/>
      <c r="O127"/>
      <c r="P127" s="18"/>
      <c r="Q127"/>
      <c r="R127"/>
      <c r="S127" s="11"/>
      <c r="T127" s="3"/>
      <c r="U127" s="18"/>
      <c r="V127"/>
      <c r="W127" s="3"/>
      <c r="X127" s="30"/>
      <c r="Y127" s="3"/>
      <c r="Z127" s="18"/>
    </row>
    <row r="128" spans="1:27" ht="15">
      <c r="A128" s="16"/>
      <c r="B128" s="16"/>
      <c r="C128" s="26"/>
      <c r="D128"/>
      <c r="E128" s="18"/>
      <c r="G128" s="18"/>
      <c r="I128"/>
      <c r="J128" s="2"/>
      <c r="K128" s="18"/>
      <c r="L128"/>
      <c r="M128"/>
      <c r="N128" s="27"/>
      <c r="O128"/>
      <c r="P128" s="18"/>
      <c r="Q128"/>
      <c r="R128"/>
      <c r="S128" s="11"/>
      <c r="T128" s="3"/>
      <c r="U128" s="18"/>
      <c r="V128"/>
      <c r="W128" s="3"/>
      <c r="X128" s="30"/>
      <c r="Y128" s="3"/>
      <c r="Z128" s="18"/>
    </row>
    <row r="129" spans="1:26" ht="15">
      <c r="A129" s="16"/>
      <c r="B129" s="16"/>
      <c r="C129" s="26"/>
      <c r="D129"/>
      <c r="I129"/>
      <c r="J129" s="2"/>
      <c r="L129"/>
      <c r="M129"/>
      <c r="N129" s="18"/>
      <c r="O129"/>
      <c r="P129" s="18"/>
      <c r="Q129"/>
      <c r="R129"/>
      <c r="S129" s="11"/>
      <c r="T129" s="3"/>
      <c r="U129" s="18"/>
      <c r="V129"/>
      <c r="W129" s="3"/>
      <c r="X129" s="30"/>
      <c r="Y129" s="3"/>
      <c r="Z129" s="18"/>
    </row>
    <row r="130" spans="1:26" ht="15">
      <c r="A130" s="16"/>
      <c r="B130" s="16"/>
      <c r="C130" s="26"/>
      <c r="D130"/>
      <c r="E130" s="18"/>
      <c r="F130" s="18"/>
      <c r="G130" s="18"/>
      <c r="H130" s="18"/>
      <c r="I130"/>
      <c r="J130" s="2"/>
      <c r="K130" s="18"/>
      <c r="L130"/>
      <c r="M130"/>
      <c r="N130" s="27"/>
      <c r="O130"/>
      <c r="P130" s="18"/>
      <c r="Q130"/>
      <c r="R130"/>
      <c r="S130" s="11"/>
      <c r="T130" s="3"/>
      <c r="U130" s="18"/>
      <c r="V130"/>
      <c r="W130" s="3"/>
      <c r="X130" s="30"/>
      <c r="Y130" s="3"/>
      <c r="Z130" s="18"/>
    </row>
    <row r="131" spans="1:26" ht="15">
      <c r="A131" s="16"/>
      <c r="B131" s="16"/>
      <c r="C131" s="26"/>
      <c r="D131"/>
      <c r="E131" s="18"/>
      <c r="F131" s="18"/>
      <c r="G131" s="18"/>
      <c r="H131" s="18"/>
      <c r="I131"/>
      <c r="J131" s="2"/>
      <c r="K131" s="18"/>
      <c r="L131"/>
      <c r="M131"/>
      <c r="N131" s="27"/>
      <c r="O131"/>
      <c r="P131" s="18"/>
      <c r="Q131"/>
      <c r="R131"/>
      <c r="S131" s="11"/>
      <c r="T131" s="3"/>
      <c r="U131" s="18"/>
      <c r="V131"/>
      <c r="W131" s="3"/>
      <c r="X131" s="30"/>
      <c r="Y131" s="3"/>
      <c r="Z131" s="18"/>
    </row>
    <row r="132" spans="1:26" ht="15">
      <c r="A132" s="16"/>
      <c r="B132" s="16"/>
      <c r="C132" s="26"/>
      <c r="D132"/>
      <c r="E132" s="18"/>
      <c r="F132" s="18"/>
      <c r="G132" s="18"/>
      <c r="H132" s="18"/>
      <c r="I132"/>
      <c r="J132" s="2"/>
      <c r="K132" s="18"/>
      <c r="L132"/>
      <c r="M132"/>
      <c r="N132" s="27"/>
      <c r="O132"/>
      <c r="P132" s="18"/>
      <c r="Q132"/>
      <c r="R132"/>
      <c r="S132" s="11"/>
      <c r="T132" s="3"/>
      <c r="U132" s="18"/>
      <c r="V132"/>
      <c r="W132" s="3"/>
      <c r="X132" s="30"/>
      <c r="Y132" s="3"/>
      <c r="Z132" s="18"/>
    </row>
    <row r="133" spans="1:26" ht="15">
      <c r="A133" s="16"/>
      <c r="B133" s="16"/>
      <c r="C133" s="26"/>
      <c r="D133"/>
      <c r="I133"/>
      <c r="J133" s="2"/>
      <c r="L133"/>
      <c r="M133"/>
      <c r="N133" s="18"/>
      <c r="O133"/>
      <c r="P133" s="18"/>
      <c r="Q133"/>
      <c r="R133"/>
      <c r="S133" s="11"/>
      <c r="T133" s="3"/>
      <c r="U133" s="18"/>
      <c r="V133"/>
      <c r="W133" s="3"/>
      <c r="X133" s="30"/>
      <c r="Y133" s="3"/>
      <c r="Z133" s="18"/>
    </row>
    <row r="134" spans="1:26" ht="15">
      <c r="A134" s="16"/>
      <c r="B134" s="16"/>
      <c r="C134" s="26"/>
      <c r="D134"/>
      <c r="I134"/>
      <c r="J134" s="2"/>
      <c r="L134"/>
      <c r="M134"/>
      <c r="N134" s="18"/>
      <c r="O134"/>
      <c r="P134" s="18"/>
      <c r="Q134"/>
      <c r="R134"/>
      <c r="S134" s="11"/>
      <c r="T134" s="3"/>
      <c r="U134" s="18"/>
      <c r="V134"/>
      <c r="W134" s="3"/>
      <c r="X134" s="30"/>
      <c r="Y134" s="3"/>
      <c r="Z134" s="18"/>
    </row>
    <row r="135" spans="1:26" ht="15">
      <c r="A135" s="16"/>
      <c r="B135" s="16"/>
      <c r="C135" s="26"/>
      <c r="D135"/>
      <c r="I135"/>
      <c r="J135" s="2"/>
      <c r="L135"/>
      <c r="M135"/>
      <c r="N135" s="18"/>
      <c r="O135"/>
      <c r="P135" s="18"/>
      <c r="Q135"/>
      <c r="R135"/>
      <c r="S135" s="11"/>
      <c r="T135" s="3"/>
      <c r="U135" s="18"/>
      <c r="V135"/>
      <c r="W135" s="3"/>
      <c r="X135" s="30"/>
      <c r="Y135" s="3"/>
      <c r="Z135" s="18"/>
    </row>
    <row r="136" spans="1:26" ht="15">
      <c r="A136" s="16"/>
      <c r="B136" s="16"/>
      <c r="C136" s="26"/>
      <c r="D136"/>
      <c r="I136"/>
      <c r="J136" s="2"/>
      <c r="L136"/>
      <c r="M136"/>
      <c r="N136" s="18"/>
      <c r="O136"/>
      <c r="P136" s="18"/>
      <c r="Q136"/>
      <c r="R136"/>
      <c r="S136" s="11"/>
      <c r="T136" s="3"/>
      <c r="U136" s="18"/>
      <c r="V136"/>
      <c r="W136" s="3"/>
      <c r="X136" s="30"/>
      <c r="Y136" s="3"/>
      <c r="Z136" s="18"/>
    </row>
    <row r="137" spans="1:26" ht="15">
      <c r="A137" s="16"/>
      <c r="B137" s="16"/>
      <c r="C137" s="26"/>
      <c r="D137"/>
      <c r="I137"/>
      <c r="J137" s="2"/>
      <c r="L137"/>
      <c r="M137"/>
      <c r="N137" s="18"/>
      <c r="O137"/>
      <c r="P137" s="18"/>
      <c r="Q137"/>
      <c r="R137"/>
      <c r="S137" s="11"/>
      <c r="T137" s="3"/>
      <c r="U137" s="18"/>
      <c r="V137"/>
      <c r="W137" s="3"/>
      <c r="X137" s="30"/>
      <c r="Y137" s="3"/>
      <c r="Z137" s="18"/>
    </row>
    <row r="138" spans="1:26" ht="15">
      <c r="A138" s="16"/>
      <c r="B138" s="16"/>
      <c r="C138" s="26"/>
      <c r="D138"/>
      <c r="I138"/>
      <c r="J138" s="2"/>
      <c r="L138"/>
      <c r="M138"/>
      <c r="N138" s="18"/>
      <c r="O138"/>
      <c r="P138" s="18"/>
      <c r="Q138"/>
      <c r="R138"/>
      <c r="S138" s="11"/>
      <c r="T138" s="3"/>
      <c r="U138" s="18"/>
      <c r="V138"/>
      <c r="W138" s="3"/>
      <c r="X138" s="30"/>
      <c r="Y138" s="3"/>
      <c r="Z138" s="18"/>
    </row>
    <row r="139" spans="1:26" ht="15">
      <c r="A139" s="16"/>
      <c r="B139" s="16"/>
      <c r="C139" s="26"/>
      <c r="D139"/>
      <c r="I139"/>
      <c r="J139" s="2"/>
      <c r="L139"/>
      <c r="M139"/>
      <c r="N139" s="18"/>
      <c r="O139"/>
      <c r="P139" s="18"/>
      <c r="Q139"/>
      <c r="R139"/>
      <c r="S139" s="11"/>
      <c r="T139" s="3"/>
      <c r="U139" s="18"/>
      <c r="V139"/>
      <c r="W139" s="3"/>
      <c r="X139" s="30"/>
      <c r="Y139" s="3"/>
      <c r="Z139" s="18"/>
    </row>
    <row r="140" spans="1:26" ht="15">
      <c r="A140" s="16"/>
      <c r="B140" s="16"/>
      <c r="C140" s="26"/>
      <c r="D140"/>
      <c r="I140"/>
      <c r="J140" s="2"/>
      <c r="L140"/>
      <c r="M140"/>
      <c r="N140" s="18"/>
      <c r="O140"/>
      <c r="P140" s="18"/>
      <c r="Q140"/>
      <c r="R140"/>
      <c r="S140" s="11"/>
      <c r="T140" s="3"/>
      <c r="U140" s="18"/>
      <c r="V140"/>
      <c r="W140" s="3"/>
      <c r="X140" s="30"/>
      <c r="Y140" s="3"/>
      <c r="Z140" s="18"/>
    </row>
    <row r="141" spans="1:26" ht="15">
      <c r="A141" s="16"/>
      <c r="B141" s="16"/>
      <c r="C141" s="26"/>
      <c r="D141"/>
      <c r="I141"/>
      <c r="J141" s="2"/>
      <c r="L141"/>
      <c r="M141"/>
      <c r="N141" s="18"/>
      <c r="O141"/>
      <c r="P141" s="18"/>
      <c r="Q141"/>
      <c r="R141"/>
      <c r="S141" s="11"/>
      <c r="T141" s="3"/>
      <c r="U141" s="18"/>
      <c r="V141"/>
      <c r="W141" s="3"/>
      <c r="X141" s="30"/>
      <c r="Y141" s="3"/>
      <c r="Z141" s="18"/>
    </row>
    <row r="142" spans="1:26" ht="15">
      <c r="A142" s="16"/>
      <c r="B142" s="16"/>
      <c r="C142" s="26"/>
      <c r="D142"/>
      <c r="I142"/>
      <c r="J142" s="2"/>
      <c r="L142"/>
      <c r="M142"/>
      <c r="N142" s="18"/>
      <c r="O142"/>
      <c r="P142" s="18"/>
      <c r="Q142"/>
      <c r="R142"/>
      <c r="S142" s="11"/>
      <c r="T142" s="3"/>
      <c r="U142" s="18"/>
      <c r="V142"/>
      <c r="W142" s="3"/>
      <c r="X142" s="30"/>
      <c r="Y142" s="3"/>
      <c r="Z142" s="18"/>
    </row>
    <row r="143" spans="1:26" ht="15">
      <c r="A143" s="16"/>
      <c r="B143" s="16"/>
      <c r="C143" s="26"/>
      <c r="D143"/>
      <c r="I143"/>
      <c r="J143" s="2"/>
      <c r="L143"/>
      <c r="M143"/>
      <c r="N143" s="18"/>
      <c r="O143"/>
      <c r="P143" s="18"/>
      <c r="Q143"/>
      <c r="R143"/>
      <c r="S143" s="11"/>
      <c r="T143" s="3"/>
      <c r="U143" s="18"/>
      <c r="V143"/>
      <c r="W143" s="3"/>
      <c r="X143" s="30"/>
      <c r="Y143" s="3"/>
      <c r="Z143" s="18"/>
    </row>
    <row r="144" spans="1:26" ht="15">
      <c r="A144" s="16"/>
      <c r="B144" s="16"/>
      <c r="C144" s="26"/>
      <c r="D144"/>
      <c r="I144"/>
      <c r="J144" s="2"/>
      <c r="L144"/>
      <c r="M144"/>
      <c r="N144" s="18"/>
      <c r="O144"/>
      <c r="P144" s="18"/>
      <c r="Q144"/>
      <c r="R144"/>
      <c r="S144" s="11"/>
      <c r="T144" s="3"/>
      <c r="U144" s="18"/>
      <c r="V144"/>
      <c r="W144" s="3"/>
      <c r="X144" s="30"/>
      <c r="Y144" s="3"/>
      <c r="Z144" s="18"/>
    </row>
    <row r="145" spans="1:26" ht="15">
      <c r="A145" s="16"/>
      <c r="B145" s="16"/>
      <c r="C145" s="26"/>
      <c r="D145"/>
      <c r="I145"/>
      <c r="J145" s="2"/>
      <c r="L145"/>
      <c r="M145"/>
      <c r="N145" s="18"/>
      <c r="O145"/>
      <c r="P145" s="18"/>
      <c r="Q145"/>
      <c r="R145"/>
      <c r="S145" s="11"/>
      <c r="T145" s="3"/>
      <c r="U145" s="18"/>
      <c r="V145"/>
      <c r="W145" s="3"/>
      <c r="X145" s="30"/>
      <c r="Y145" s="3"/>
      <c r="Z145" s="18"/>
    </row>
    <row r="146" spans="1:26" ht="15">
      <c r="A146" s="16"/>
      <c r="B146" s="16"/>
      <c r="C146" s="26"/>
      <c r="D146"/>
      <c r="I146"/>
      <c r="J146" s="2"/>
      <c r="L146"/>
      <c r="M146"/>
      <c r="N146" s="18"/>
      <c r="O146"/>
      <c r="P146" s="18"/>
      <c r="Q146"/>
      <c r="R146"/>
      <c r="S146" s="11"/>
      <c r="T146" s="3"/>
      <c r="U146" s="18"/>
      <c r="V146"/>
      <c r="W146" s="3"/>
      <c r="X146" s="30"/>
      <c r="Y146" s="3"/>
      <c r="Z146" s="18"/>
    </row>
    <row r="147" spans="1:26" ht="15">
      <c r="A147" s="16"/>
      <c r="B147" s="16"/>
      <c r="C147" s="26"/>
      <c r="D147"/>
      <c r="I147"/>
      <c r="J147" s="2"/>
      <c r="L147"/>
      <c r="M147"/>
      <c r="N147" s="18"/>
      <c r="O147"/>
      <c r="P147" s="18"/>
      <c r="Q147"/>
      <c r="R147"/>
      <c r="S147" s="11"/>
      <c r="T147" s="3"/>
      <c r="U147" s="18"/>
      <c r="V147"/>
      <c r="W147" s="3"/>
      <c r="X147" s="30"/>
      <c r="Y147" s="3"/>
      <c r="Z147" s="18"/>
    </row>
    <row r="148" spans="1:26" ht="15">
      <c r="A148" s="16"/>
      <c r="B148" s="16"/>
      <c r="C148" s="26"/>
      <c r="D148"/>
      <c r="I148"/>
      <c r="J148" s="2"/>
      <c r="L148"/>
      <c r="M148"/>
      <c r="N148" s="18"/>
      <c r="O148"/>
      <c r="P148" s="18"/>
      <c r="Q148"/>
      <c r="R148"/>
      <c r="S148" s="11"/>
      <c r="T148" s="3"/>
      <c r="U148" s="18"/>
      <c r="V148"/>
      <c r="W148" s="3"/>
      <c r="X148" s="30"/>
      <c r="Y148" s="3"/>
      <c r="Z148" s="18"/>
    </row>
    <row r="149" spans="1:26" ht="15">
      <c r="A149" s="16"/>
      <c r="B149" s="16"/>
      <c r="C149" s="26"/>
      <c r="D149"/>
      <c r="I149"/>
      <c r="J149" s="2"/>
      <c r="L149"/>
      <c r="M149"/>
      <c r="N149" s="18"/>
      <c r="O149"/>
      <c r="P149" s="18"/>
      <c r="Q149"/>
      <c r="R149"/>
      <c r="S149" s="11"/>
      <c r="T149" s="3"/>
      <c r="U149" s="18"/>
      <c r="V149"/>
      <c r="W149" s="3"/>
      <c r="X149" s="30"/>
      <c r="Y149" s="3"/>
      <c r="Z149" s="18"/>
    </row>
    <row r="150" spans="1:26" ht="15">
      <c r="A150" s="16"/>
      <c r="B150" s="16"/>
      <c r="C150" s="26"/>
      <c r="D150"/>
      <c r="I150"/>
      <c r="J150" s="2"/>
      <c r="L150"/>
      <c r="M150"/>
      <c r="N150" s="18"/>
      <c r="O150"/>
      <c r="P150" s="18"/>
      <c r="Q150"/>
      <c r="R150"/>
      <c r="S150" s="11"/>
      <c r="T150" s="3"/>
      <c r="U150" s="18"/>
      <c r="V150"/>
      <c r="W150" s="3"/>
      <c r="X150" s="30"/>
      <c r="Y150" s="3"/>
      <c r="Z150" s="18"/>
    </row>
    <row r="151" spans="1:26" ht="15">
      <c r="A151" s="16"/>
      <c r="B151" s="16"/>
      <c r="C151" s="26"/>
      <c r="D151"/>
      <c r="I151"/>
      <c r="J151" s="2"/>
      <c r="L151"/>
      <c r="M151"/>
      <c r="N151" s="18"/>
      <c r="O151"/>
      <c r="P151" s="18"/>
      <c r="Q151"/>
      <c r="R151"/>
      <c r="S151" s="11"/>
      <c r="T151" s="3"/>
      <c r="U151" s="18"/>
      <c r="V151"/>
      <c r="W151" s="3"/>
      <c r="X151" s="30"/>
      <c r="Y151" s="3"/>
      <c r="Z151" s="18"/>
    </row>
    <row r="152" spans="1:26" ht="15">
      <c r="A152" s="16"/>
      <c r="B152" s="16"/>
      <c r="C152" s="26"/>
      <c r="D152"/>
      <c r="I152"/>
      <c r="J152" s="2"/>
      <c r="L152"/>
      <c r="M152"/>
      <c r="N152" s="18"/>
      <c r="O152"/>
      <c r="P152" s="18"/>
      <c r="Q152"/>
      <c r="R152"/>
      <c r="S152" s="11"/>
      <c r="T152" s="3"/>
      <c r="U152" s="18"/>
      <c r="V152"/>
      <c r="W152" s="3"/>
      <c r="X152" s="30"/>
      <c r="Y152" s="3"/>
      <c r="Z152" s="18"/>
    </row>
    <row r="153" spans="1:26" ht="15">
      <c r="A153" s="16"/>
      <c r="B153" s="16"/>
      <c r="C153" s="26"/>
      <c r="D153"/>
      <c r="I153"/>
      <c r="J153" s="2"/>
      <c r="L153"/>
      <c r="M153"/>
      <c r="N153" s="18"/>
      <c r="O153"/>
      <c r="P153" s="18"/>
      <c r="Q153"/>
      <c r="R153"/>
      <c r="S153" s="11"/>
      <c r="T153" s="3"/>
      <c r="U153" s="18"/>
      <c r="V153"/>
      <c r="W153" s="3"/>
      <c r="X153" s="30"/>
      <c r="Y153" s="3"/>
      <c r="Z153" s="18"/>
    </row>
    <row r="154" spans="1:26" ht="15">
      <c r="A154" s="16"/>
      <c r="B154" s="16"/>
      <c r="C154" s="26"/>
      <c r="D154"/>
      <c r="I154"/>
      <c r="J154" s="2"/>
      <c r="L154"/>
      <c r="M154"/>
      <c r="N154" s="18"/>
      <c r="O154"/>
      <c r="P154" s="18"/>
      <c r="Q154"/>
      <c r="R154"/>
      <c r="S154" s="11"/>
      <c r="T154" s="3"/>
      <c r="U154" s="18"/>
      <c r="V154"/>
      <c r="W154" s="3"/>
      <c r="X154" s="30"/>
      <c r="Y154" s="3"/>
      <c r="Z154" s="18"/>
    </row>
    <row r="155" spans="1:26" ht="15">
      <c r="A155" s="16"/>
      <c r="B155" s="16"/>
      <c r="C155" s="26"/>
      <c r="D155"/>
      <c r="I155"/>
      <c r="J155" s="2"/>
      <c r="L155"/>
      <c r="M155"/>
      <c r="N155" s="18"/>
      <c r="O155"/>
      <c r="P155" s="18"/>
      <c r="Q155"/>
      <c r="R155"/>
      <c r="S155" s="11"/>
      <c r="T155" s="3"/>
      <c r="U155" s="18"/>
      <c r="V155"/>
      <c r="W155" s="3"/>
      <c r="X155" s="30"/>
      <c r="Y155" s="3"/>
      <c r="Z155" s="18"/>
    </row>
    <row r="156" spans="1:26" ht="15">
      <c r="A156" s="16"/>
      <c r="B156" s="16"/>
      <c r="C156" s="26"/>
      <c r="D156"/>
      <c r="I156"/>
      <c r="J156" s="2"/>
      <c r="L156"/>
      <c r="M156"/>
      <c r="N156" s="18"/>
      <c r="O156"/>
      <c r="P156" s="18"/>
      <c r="Q156"/>
      <c r="R156"/>
      <c r="S156" s="11"/>
      <c r="T156" s="3"/>
      <c r="U156" s="18"/>
      <c r="V156"/>
      <c r="W156" s="3"/>
      <c r="X156" s="30"/>
      <c r="Y156" s="3"/>
      <c r="Z156" s="18"/>
    </row>
    <row r="157" spans="1:26" ht="15">
      <c r="A157" s="16"/>
      <c r="B157" s="16"/>
      <c r="C157" s="26"/>
      <c r="D157"/>
      <c r="I157"/>
      <c r="J157" s="2"/>
      <c r="L157"/>
      <c r="M157"/>
      <c r="N157" s="18"/>
      <c r="O157"/>
      <c r="P157" s="18"/>
      <c r="Q157"/>
      <c r="R157"/>
      <c r="S157" s="11"/>
      <c r="T157" s="3"/>
      <c r="U157" s="18"/>
      <c r="V157"/>
      <c r="W157" s="3"/>
      <c r="X157" s="30"/>
      <c r="Y157" s="3"/>
      <c r="Z157" s="18"/>
    </row>
    <row r="158" spans="1:26" ht="15">
      <c r="A158" s="16"/>
      <c r="B158" s="16"/>
      <c r="C158" s="26"/>
      <c r="D158"/>
      <c r="I158"/>
      <c r="J158" s="2"/>
      <c r="L158"/>
      <c r="M158"/>
      <c r="N158" s="18"/>
      <c r="O158"/>
      <c r="P158" s="18"/>
      <c r="Q158"/>
      <c r="R158"/>
      <c r="S158" s="11"/>
      <c r="T158" s="3"/>
      <c r="U158" s="18"/>
      <c r="V158"/>
      <c r="W158" s="3"/>
      <c r="X158" s="30"/>
      <c r="Y158" s="3"/>
      <c r="Z158" s="18"/>
    </row>
    <row r="159" spans="1:26" ht="15">
      <c r="A159" s="16"/>
      <c r="B159" s="16"/>
      <c r="C159" s="26"/>
      <c r="D159"/>
      <c r="I159"/>
      <c r="J159" s="2"/>
      <c r="L159"/>
      <c r="M159"/>
      <c r="N159" s="18"/>
      <c r="O159"/>
      <c r="P159" s="18"/>
      <c r="Q159"/>
      <c r="R159"/>
      <c r="S159" s="11"/>
      <c r="T159" s="3"/>
      <c r="U159" s="18"/>
      <c r="V159"/>
      <c r="W159" s="3"/>
      <c r="X159" s="30"/>
      <c r="Y159" s="3"/>
      <c r="Z159" s="18"/>
    </row>
    <row r="160" spans="1:26" ht="15">
      <c r="A160" s="16"/>
      <c r="B160" s="16"/>
      <c r="C160" s="26"/>
      <c r="D160"/>
      <c r="I160"/>
      <c r="J160" s="2"/>
      <c r="L160"/>
      <c r="M160"/>
      <c r="N160" s="18"/>
      <c r="O160"/>
      <c r="P160" s="18"/>
      <c r="Q160"/>
      <c r="R160"/>
      <c r="S160" s="11"/>
      <c r="T160" s="3"/>
      <c r="U160" s="18"/>
      <c r="V160"/>
      <c r="W160" s="3"/>
      <c r="X160" s="30"/>
      <c r="Y160" s="3"/>
      <c r="Z160" s="18"/>
    </row>
    <row r="161" spans="1:26" ht="15">
      <c r="A161" s="16"/>
      <c r="B161" s="16"/>
      <c r="C161" s="26"/>
      <c r="D161"/>
      <c r="I161"/>
      <c r="J161" s="2"/>
      <c r="L161"/>
      <c r="M161"/>
      <c r="N161" s="18"/>
      <c r="O161"/>
      <c r="P161" s="18"/>
      <c r="Q161"/>
      <c r="R161"/>
      <c r="S161" s="11"/>
      <c r="T161" s="3"/>
      <c r="U161" s="18"/>
      <c r="V161"/>
      <c r="W161" s="3"/>
      <c r="X161" s="30"/>
      <c r="Y161" s="3"/>
      <c r="Z161" s="18"/>
    </row>
    <row r="162" spans="1:26" ht="15">
      <c r="A162" s="16"/>
      <c r="B162" s="16"/>
      <c r="C162" s="26"/>
      <c r="D162"/>
      <c r="I162"/>
      <c r="J162" s="2"/>
      <c r="L162"/>
      <c r="M162"/>
      <c r="N162" s="18"/>
      <c r="O162"/>
      <c r="P162" s="18"/>
      <c r="Q162"/>
      <c r="R162"/>
      <c r="S162" s="11"/>
      <c r="T162" s="3"/>
      <c r="U162" s="18"/>
      <c r="V162"/>
      <c r="W162" s="3"/>
      <c r="X162" s="30"/>
      <c r="Y162" s="3"/>
      <c r="Z162" s="18"/>
    </row>
    <row r="163" spans="1:26" ht="15">
      <c r="A163" s="16"/>
      <c r="B163" s="16"/>
      <c r="C163" s="26"/>
      <c r="D163"/>
      <c r="I163"/>
      <c r="J163" s="2"/>
      <c r="L163"/>
      <c r="M163"/>
      <c r="N163" s="18"/>
      <c r="O163"/>
      <c r="P163" s="18"/>
      <c r="Q163"/>
      <c r="R163"/>
      <c r="S163" s="11"/>
      <c r="T163" s="3"/>
      <c r="U163" s="18"/>
      <c r="V163"/>
      <c r="W163" s="3"/>
      <c r="X163" s="30"/>
      <c r="Y163" s="3"/>
      <c r="Z163" s="18"/>
    </row>
    <row r="164" spans="1:26" ht="15">
      <c r="A164" s="16"/>
      <c r="B164" s="16"/>
      <c r="C164" s="26"/>
      <c r="D164"/>
      <c r="I164"/>
      <c r="J164" s="2"/>
      <c r="L164"/>
      <c r="M164"/>
      <c r="N164" s="18"/>
      <c r="O164"/>
      <c r="P164" s="18"/>
      <c r="Q164"/>
      <c r="R164"/>
      <c r="S164" s="11"/>
      <c r="T164" s="3"/>
      <c r="U164" s="18"/>
      <c r="V164"/>
      <c r="W164" s="3"/>
      <c r="X164" s="30"/>
      <c r="Y164" s="3"/>
      <c r="Z164" s="18"/>
    </row>
    <row r="165" spans="1:26" ht="15">
      <c r="A165" s="16"/>
      <c r="B165" s="16"/>
      <c r="C165" s="26"/>
      <c r="D165"/>
      <c r="E165" s="18"/>
      <c r="G165" s="18"/>
      <c r="I165"/>
      <c r="J165" s="2"/>
      <c r="K165" s="18"/>
      <c r="L165"/>
      <c r="M165"/>
      <c r="N165" s="27"/>
      <c r="O165"/>
      <c r="P165" s="18"/>
      <c r="Q165"/>
      <c r="R165"/>
      <c r="S165" s="11"/>
      <c r="T165" s="3"/>
      <c r="U165" s="18"/>
      <c r="V165"/>
      <c r="W165" s="3"/>
      <c r="X165" s="30"/>
      <c r="Y165" s="3"/>
      <c r="Z165" s="18"/>
    </row>
    <row r="166" spans="1:26" ht="15">
      <c r="A166" s="16"/>
      <c r="B166" s="16"/>
      <c r="C166" s="26"/>
      <c r="D166"/>
      <c r="I166"/>
      <c r="J166" s="2"/>
      <c r="L166"/>
      <c r="M166"/>
      <c r="N166" s="18"/>
      <c r="O166"/>
      <c r="P166" s="18"/>
      <c r="Q166"/>
      <c r="R166"/>
      <c r="S166" s="11"/>
      <c r="T166" s="3"/>
      <c r="U166" s="18"/>
      <c r="V166"/>
      <c r="W166" s="3"/>
      <c r="X166" s="30"/>
      <c r="Y166" s="3"/>
      <c r="Z166" s="18"/>
    </row>
    <row r="167" spans="1:26" ht="15">
      <c r="A167" s="16"/>
      <c r="B167" s="16"/>
      <c r="C167" s="26"/>
      <c r="D167"/>
      <c r="I167"/>
      <c r="J167" s="2"/>
      <c r="L167"/>
      <c r="M167"/>
      <c r="N167" s="18"/>
      <c r="O167"/>
      <c r="P167" s="18"/>
      <c r="Q167"/>
      <c r="R167"/>
      <c r="S167" s="11"/>
      <c r="T167" s="3"/>
      <c r="U167" s="18"/>
      <c r="V167"/>
      <c r="W167" s="3"/>
      <c r="X167" s="30"/>
      <c r="Y167" s="3"/>
      <c r="Z167" s="18"/>
    </row>
    <row r="168" spans="1:26" ht="15">
      <c r="A168" s="16"/>
      <c r="B168" s="16"/>
      <c r="C168" s="26"/>
      <c r="D168"/>
      <c r="E168" s="18"/>
      <c r="F168" s="18"/>
      <c r="G168" s="18"/>
      <c r="H168" s="18"/>
      <c r="I168"/>
      <c r="J168" s="2"/>
      <c r="K168" s="18"/>
      <c r="L168"/>
      <c r="M168"/>
      <c r="N168" s="27"/>
      <c r="O168"/>
      <c r="P168" s="18"/>
      <c r="Q168"/>
      <c r="R168"/>
      <c r="S168" s="11"/>
      <c r="T168" s="3"/>
      <c r="U168" s="18"/>
      <c r="V168"/>
      <c r="W168" s="3"/>
      <c r="X168" s="30"/>
      <c r="Y168" s="3"/>
      <c r="Z168" s="18"/>
    </row>
    <row r="169" spans="1:26" ht="15">
      <c r="A169" s="16"/>
      <c r="B169" s="16"/>
      <c r="C169" s="26"/>
      <c r="D169"/>
      <c r="I169"/>
      <c r="J169" s="2"/>
      <c r="L169"/>
      <c r="M169"/>
      <c r="N169" s="18"/>
      <c r="O169"/>
      <c r="P169" s="18"/>
      <c r="Q169"/>
      <c r="R169"/>
      <c r="S169" s="11"/>
      <c r="T169" s="3"/>
      <c r="U169" s="18"/>
      <c r="V169"/>
      <c r="W169" s="3"/>
      <c r="X169" s="30"/>
      <c r="Y169" s="3"/>
      <c r="Z169" s="18"/>
    </row>
    <row r="170" spans="1:26" ht="15">
      <c r="A170" s="16"/>
      <c r="B170" s="16"/>
      <c r="C170" s="26"/>
      <c r="D170"/>
      <c r="I170"/>
      <c r="J170" s="2"/>
      <c r="L170"/>
      <c r="M170"/>
      <c r="N170" s="18"/>
      <c r="O170"/>
      <c r="P170" s="18"/>
      <c r="Q170"/>
      <c r="R170"/>
      <c r="S170" s="11"/>
      <c r="T170" s="3"/>
      <c r="U170" s="18"/>
      <c r="V170"/>
      <c r="W170" s="3"/>
      <c r="X170" s="30"/>
      <c r="Y170" s="3"/>
      <c r="Z170" s="18"/>
    </row>
    <row r="171" spans="1:26" ht="15">
      <c r="A171" s="16"/>
      <c r="B171" s="16"/>
      <c r="C171" s="26"/>
      <c r="D171"/>
      <c r="I171"/>
      <c r="J171" s="2"/>
      <c r="L171"/>
      <c r="M171"/>
      <c r="N171" s="18"/>
      <c r="O171"/>
      <c r="P171" s="18"/>
      <c r="Q171"/>
      <c r="R171"/>
      <c r="S171" s="11"/>
      <c r="T171" s="3"/>
      <c r="U171" s="18"/>
      <c r="V171"/>
      <c r="W171" s="3"/>
      <c r="X171" s="30"/>
      <c r="Y171" s="3"/>
      <c r="Z171" s="18"/>
    </row>
    <row r="172" spans="1:26" ht="15">
      <c r="A172" s="16"/>
      <c r="B172" s="16"/>
      <c r="C172" s="26"/>
      <c r="D172"/>
      <c r="I172"/>
      <c r="J172" s="2"/>
      <c r="L172"/>
      <c r="M172"/>
      <c r="N172" s="18"/>
      <c r="O172"/>
      <c r="P172" s="18"/>
      <c r="Q172"/>
      <c r="R172"/>
      <c r="S172" s="11"/>
      <c r="T172" s="3"/>
      <c r="U172" s="18"/>
      <c r="V172"/>
      <c r="W172" s="3"/>
      <c r="X172" s="30"/>
      <c r="Y172" s="3"/>
      <c r="Z172" s="18"/>
    </row>
    <row r="173" spans="1:26" ht="15">
      <c r="A173" s="16"/>
      <c r="B173" s="16"/>
      <c r="C173" s="26"/>
      <c r="D173"/>
      <c r="I173"/>
      <c r="J173" s="2"/>
      <c r="L173"/>
      <c r="M173"/>
      <c r="N173" s="18"/>
      <c r="O173"/>
      <c r="P173" s="18"/>
      <c r="Q173"/>
      <c r="R173"/>
      <c r="S173" s="11"/>
      <c r="T173" s="3"/>
      <c r="U173" s="18"/>
      <c r="V173"/>
      <c r="W173" s="3"/>
      <c r="X173" s="30"/>
      <c r="Y173" s="3"/>
      <c r="Z173" s="18"/>
    </row>
    <row r="174" spans="1:26" ht="15">
      <c r="A174" s="16"/>
      <c r="B174" s="16"/>
      <c r="C174" s="26"/>
      <c r="D174"/>
      <c r="I174"/>
      <c r="J174" s="2"/>
      <c r="L174"/>
      <c r="M174"/>
      <c r="N174" s="18"/>
      <c r="O174"/>
      <c r="P174" s="18"/>
      <c r="Q174"/>
      <c r="R174"/>
      <c r="S174" s="11"/>
      <c r="T174" s="3"/>
      <c r="U174" s="18"/>
      <c r="V174"/>
      <c r="W174" s="3"/>
      <c r="X174" s="30"/>
      <c r="Y174" s="3"/>
      <c r="Z174" s="18"/>
    </row>
    <row r="175" spans="1:26" ht="15">
      <c r="A175" s="16"/>
      <c r="B175" s="16"/>
      <c r="C175" s="26"/>
      <c r="D175"/>
      <c r="I175"/>
      <c r="J175" s="2"/>
      <c r="L175"/>
      <c r="M175"/>
      <c r="N175" s="18"/>
      <c r="O175"/>
      <c r="P175" s="18"/>
      <c r="Q175"/>
      <c r="R175"/>
      <c r="S175" s="11"/>
      <c r="T175" s="3"/>
      <c r="U175" s="18"/>
      <c r="V175"/>
      <c r="W175" s="3"/>
      <c r="X175" s="30"/>
      <c r="Y175" s="3"/>
      <c r="Z175" s="18"/>
    </row>
    <row r="176" spans="1:26" ht="15">
      <c r="A176" s="16"/>
      <c r="B176" s="16"/>
      <c r="C176" s="26"/>
      <c r="D176"/>
      <c r="I176"/>
      <c r="J176" s="2"/>
      <c r="L176"/>
      <c r="M176"/>
      <c r="N176" s="18"/>
      <c r="O176"/>
      <c r="P176" s="18"/>
      <c r="Q176"/>
      <c r="R176"/>
      <c r="S176" s="11"/>
      <c r="T176" s="3"/>
      <c r="U176" s="18"/>
      <c r="V176"/>
      <c r="W176" s="3"/>
      <c r="X176" s="30"/>
      <c r="Y176" s="3"/>
      <c r="Z176" s="18"/>
    </row>
    <row r="177" spans="1:26" ht="15">
      <c r="A177" s="16"/>
      <c r="B177" s="16"/>
      <c r="C177" s="26"/>
      <c r="D177"/>
      <c r="I177"/>
      <c r="J177" s="2"/>
      <c r="L177"/>
      <c r="M177"/>
      <c r="N177" s="18"/>
      <c r="O177"/>
      <c r="P177" s="18"/>
      <c r="Q177"/>
      <c r="R177"/>
      <c r="S177" s="11"/>
      <c r="T177" s="3"/>
      <c r="U177" s="18"/>
      <c r="V177"/>
      <c r="W177" s="3"/>
      <c r="X177" s="30"/>
      <c r="Y177" s="3"/>
      <c r="Z177" s="18"/>
    </row>
    <row r="178" spans="1:26" ht="15">
      <c r="A178" s="16"/>
      <c r="B178" s="16"/>
      <c r="C178" s="26"/>
      <c r="D178"/>
      <c r="I178"/>
      <c r="J178" s="2"/>
      <c r="L178"/>
      <c r="M178"/>
      <c r="N178" s="18"/>
      <c r="O178"/>
      <c r="P178" s="18"/>
      <c r="Q178"/>
      <c r="R178"/>
      <c r="S178" s="11"/>
      <c r="T178" s="3"/>
      <c r="U178" s="18"/>
      <c r="V178"/>
      <c r="W178" s="3"/>
      <c r="X178" s="30"/>
      <c r="Y178" s="3"/>
      <c r="Z178" s="18"/>
    </row>
    <row r="179" spans="1:26" ht="15">
      <c r="A179" s="16"/>
      <c r="B179" s="16"/>
      <c r="C179" s="26"/>
      <c r="D179"/>
      <c r="I179"/>
      <c r="J179" s="2"/>
      <c r="L179"/>
      <c r="M179"/>
      <c r="N179" s="18"/>
      <c r="O179"/>
      <c r="P179" s="18"/>
      <c r="Q179"/>
      <c r="R179"/>
      <c r="S179" s="11"/>
      <c r="T179" s="3"/>
      <c r="U179" s="18"/>
      <c r="V179"/>
      <c r="W179" s="3"/>
      <c r="X179" s="30"/>
      <c r="Y179" s="3"/>
      <c r="Z179" s="18"/>
    </row>
    <row r="180" spans="1:26" ht="15">
      <c r="A180" s="16"/>
      <c r="B180" s="16"/>
      <c r="C180" s="26"/>
      <c r="D180"/>
      <c r="E180" s="18"/>
      <c r="F180" s="18"/>
      <c r="G180" s="18"/>
      <c r="H180" s="18"/>
      <c r="I180"/>
      <c r="J180" s="2"/>
      <c r="K180" s="18"/>
      <c r="L180"/>
      <c r="M180"/>
      <c r="N180" s="27"/>
      <c r="O180"/>
      <c r="P180" s="18"/>
      <c r="Q180"/>
      <c r="R180"/>
      <c r="S180" s="11"/>
      <c r="T180" s="3"/>
      <c r="U180" s="18"/>
      <c r="V180"/>
      <c r="W180" s="3"/>
      <c r="X180" s="30"/>
      <c r="Y180" s="3"/>
      <c r="Z180" s="18"/>
    </row>
    <row r="181" spans="1:26" ht="15">
      <c r="A181" s="16"/>
      <c r="B181" s="16"/>
      <c r="C181" s="26"/>
      <c r="D181"/>
      <c r="E181" s="18"/>
      <c r="F181" s="18"/>
      <c r="G181" s="18"/>
      <c r="H181" s="18"/>
      <c r="I181"/>
      <c r="J181" s="2"/>
      <c r="K181" s="18"/>
      <c r="L181"/>
      <c r="M181"/>
      <c r="N181" s="27"/>
      <c r="O181"/>
      <c r="P181" s="18"/>
      <c r="Q181"/>
      <c r="R181"/>
      <c r="S181" s="11"/>
      <c r="T181" s="3"/>
      <c r="U181" s="18"/>
      <c r="V181"/>
      <c r="W181" s="3"/>
      <c r="X181" s="30"/>
      <c r="Y181" s="3"/>
      <c r="Z181" s="18"/>
    </row>
    <row r="182" spans="1:26" ht="15">
      <c r="A182" s="16"/>
      <c r="B182" s="16"/>
      <c r="C182" s="26"/>
      <c r="D182"/>
      <c r="E182" s="18"/>
      <c r="F182" s="18"/>
      <c r="G182" s="18"/>
      <c r="H182" s="18"/>
      <c r="I182"/>
      <c r="J182" s="2"/>
      <c r="K182" s="18"/>
      <c r="L182"/>
      <c r="M182"/>
      <c r="N182" s="27"/>
      <c r="O182"/>
      <c r="P182" s="18"/>
      <c r="Q182"/>
      <c r="R182"/>
      <c r="S182" s="11"/>
      <c r="T182" s="3"/>
      <c r="U182" s="18"/>
      <c r="V182"/>
      <c r="W182" s="3"/>
      <c r="X182" s="30"/>
      <c r="Y182" s="3"/>
      <c r="Z182" s="18"/>
    </row>
    <row r="183" spans="1:26" ht="15">
      <c r="A183" s="16"/>
      <c r="B183" s="16"/>
      <c r="C183" s="26"/>
      <c r="D183"/>
      <c r="E183" s="18"/>
      <c r="F183" s="18"/>
      <c r="G183" s="18"/>
      <c r="H183" s="18"/>
      <c r="I183"/>
      <c r="J183" s="2"/>
      <c r="K183" s="18"/>
      <c r="L183"/>
      <c r="M183"/>
      <c r="N183" s="27"/>
      <c r="O183"/>
      <c r="P183" s="18"/>
      <c r="Q183"/>
      <c r="R183"/>
      <c r="S183" s="11"/>
      <c r="T183" s="3"/>
      <c r="U183" s="18"/>
      <c r="V183"/>
      <c r="W183" s="3"/>
      <c r="X183" s="30"/>
      <c r="Y183" s="3"/>
      <c r="Z183" s="18"/>
    </row>
    <row r="184" spans="1:26" ht="15">
      <c r="A184" s="16"/>
      <c r="B184" s="16"/>
      <c r="C184" s="26"/>
      <c r="D184"/>
      <c r="E184" s="27"/>
      <c r="F184" s="27"/>
      <c r="G184" s="18"/>
      <c r="H184" s="27"/>
      <c r="I184"/>
      <c r="J184" s="2"/>
      <c r="K184" s="18"/>
      <c r="L184"/>
      <c r="M184"/>
      <c r="N184" s="27"/>
      <c r="O184"/>
      <c r="P184" s="27"/>
      <c r="Q184"/>
      <c r="R184"/>
      <c r="S184" s="11"/>
      <c r="T184" s="3"/>
      <c r="U184" s="18"/>
      <c r="V184"/>
      <c r="W184" s="3"/>
      <c r="X184" s="30"/>
      <c r="Y184" s="3"/>
      <c r="Z184" s="18"/>
    </row>
    <row r="185" spans="1:26" ht="15">
      <c r="A185" s="16"/>
      <c r="B185" s="16"/>
      <c r="C185" s="26"/>
      <c r="D185"/>
      <c r="E185" s="27"/>
      <c r="F185" s="27"/>
      <c r="G185" s="18"/>
      <c r="H185" s="27"/>
      <c r="I185"/>
      <c r="J185" s="2"/>
      <c r="K185" s="18"/>
      <c r="L185"/>
      <c r="M185"/>
      <c r="N185" s="27"/>
      <c r="O185"/>
      <c r="P185" s="27"/>
      <c r="Q185"/>
      <c r="R185"/>
      <c r="S185" s="11"/>
      <c r="T185" s="3"/>
      <c r="U185" s="18"/>
      <c r="V185"/>
      <c r="W185" s="3"/>
      <c r="X185" s="30"/>
      <c r="Y185" s="3"/>
      <c r="Z185" s="18"/>
    </row>
    <row r="186" spans="1:26" ht="15">
      <c r="A186" s="16"/>
      <c r="B186" s="16"/>
      <c r="C186" s="26"/>
      <c r="D186"/>
      <c r="E186" s="27"/>
      <c r="F186" s="27"/>
      <c r="G186" s="18"/>
      <c r="H186" s="27"/>
      <c r="I186"/>
      <c r="J186" s="2"/>
      <c r="K186" s="18"/>
      <c r="L186"/>
      <c r="M186"/>
      <c r="N186" s="27"/>
      <c r="O186"/>
      <c r="P186" s="27"/>
      <c r="Q186"/>
      <c r="R186"/>
      <c r="S186" s="11"/>
      <c r="T186" s="3"/>
      <c r="U186" s="18"/>
      <c r="V186"/>
      <c r="W186" s="3"/>
      <c r="X186" s="30"/>
      <c r="Y186" s="3"/>
      <c r="Z186" s="18"/>
    </row>
    <row r="187" spans="1:26" ht="15">
      <c r="A187" s="16"/>
      <c r="B187" s="16"/>
      <c r="C187" s="26"/>
      <c r="D187"/>
      <c r="E187" s="27"/>
      <c r="F187" s="27"/>
      <c r="G187" s="18"/>
      <c r="H187" s="27"/>
      <c r="I187"/>
      <c r="J187" s="2"/>
      <c r="K187" s="18"/>
      <c r="L187"/>
      <c r="M187"/>
      <c r="N187" s="27"/>
      <c r="O187"/>
      <c r="P187" s="27"/>
      <c r="Q187"/>
      <c r="R187"/>
      <c r="S187" s="11"/>
      <c r="T187" s="3"/>
      <c r="U187" s="18"/>
      <c r="V187"/>
      <c r="W187" s="3"/>
      <c r="X187" s="30"/>
      <c r="Y187" s="3"/>
      <c r="Z187" s="18"/>
    </row>
    <row r="188" spans="1:26" ht="15">
      <c r="A188" s="16"/>
      <c r="B188" s="16"/>
      <c r="C188" s="26"/>
      <c r="D188"/>
      <c r="E188" s="27"/>
      <c r="F188" s="27"/>
      <c r="G188" s="18"/>
      <c r="H188" s="27"/>
      <c r="I188"/>
      <c r="J188" s="2"/>
      <c r="K188" s="18"/>
      <c r="L188"/>
      <c r="M188"/>
      <c r="N188" s="27"/>
      <c r="O188"/>
      <c r="P188" s="27"/>
      <c r="Q188"/>
      <c r="R188"/>
      <c r="S188" s="11"/>
      <c r="T188" s="3"/>
      <c r="U188" s="18"/>
      <c r="V188"/>
      <c r="W188" s="3"/>
      <c r="X188" s="30"/>
      <c r="Y188" s="3"/>
      <c r="Z188" s="18"/>
    </row>
    <row r="189" spans="1:26" ht="15">
      <c r="A189" s="16"/>
      <c r="B189" s="16"/>
      <c r="C189" s="26"/>
      <c r="D189"/>
      <c r="E189" s="27"/>
      <c r="F189" s="27"/>
      <c r="G189" s="18"/>
      <c r="H189" s="27"/>
      <c r="I189"/>
      <c r="J189" s="2"/>
      <c r="K189" s="18"/>
      <c r="L189"/>
      <c r="M189"/>
      <c r="N189" s="27"/>
      <c r="O189"/>
      <c r="P189" s="27"/>
      <c r="Q189"/>
      <c r="R189"/>
      <c r="S189" s="11"/>
      <c r="T189" s="3"/>
      <c r="U189" s="18"/>
      <c r="V189"/>
      <c r="W189" s="3"/>
      <c r="X189" s="30"/>
      <c r="Y189" s="3"/>
      <c r="Z189" s="18"/>
    </row>
    <row r="190" spans="1:26" ht="15">
      <c r="A190" s="16"/>
      <c r="B190" s="16"/>
      <c r="C190" s="26"/>
      <c r="D190"/>
      <c r="E190" s="27"/>
      <c r="F190" s="27"/>
      <c r="G190" s="18"/>
      <c r="H190" s="27"/>
      <c r="I190"/>
      <c r="J190" s="2"/>
      <c r="K190" s="18"/>
      <c r="L190"/>
      <c r="M190"/>
      <c r="N190" s="27"/>
      <c r="O190"/>
      <c r="P190" s="27"/>
      <c r="Q190"/>
      <c r="R190"/>
      <c r="S190" s="11"/>
      <c r="T190" s="3"/>
      <c r="U190" s="18"/>
      <c r="V190"/>
      <c r="W190" s="3"/>
      <c r="X190" s="30"/>
      <c r="Y190" s="3"/>
      <c r="Z190" s="18"/>
    </row>
    <row r="191" spans="1:26" ht="15">
      <c r="A191" s="16"/>
      <c r="B191" s="16"/>
      <c r="C191" s="26"/>
      <c r="D191"/>
      <c r="E191" s="27"/>
      <c r="F191" s="27"/>
      <c r="G191" s="18"/>
      <c r="H191" s="27"/>
      <c r="I191"/>
      <c r="J191" s="2"/>
      <c r="K191" s="18"/>
      <c r="L191"/>
      <c r="M191"/>
      <c r="N191" s="27"/>
      <c r="O191"/>
      <c r="P191" s="27"/>
      <c r="Q191"/>
      <c r="R191"/>
      <c r="S191" s="11"/>
      <c r="T191" s="3"/>
      <c r="U191" s="18"/>
      <c r="V191"/>
      <c r="W191" s="3"/>
      <c r="X191" s="30"/>
      <c r="Y191" s="3"/>
      <c r="Z191" s="18"/>
    </row>
    <row r="192" spans="1:26" ht="15">
      <c r="A192" s="16"/>
      <c r="B192" s="16"/>
      <c r="C192" s="26"/>
      <c r="D192"/>
      <c r="E192" s="27"/>
      <c r="F192" s="27"/>
      <c r="G192" s="18"/>
      <c r="H192" s="27"/>
      <c r="I192"/>
      <c r="J192" s="2"/>
      <c r="K192" s="18"/>
      <c r="L192"/>
      <c r="M192"/>
      <c r="N192" s="27"/>
      <c r="O192"/>
      <c r="P192" s="27"/>
      <c r="Q192"/>
      <c r="R192"/>
      <c r="S192" s="11"/>
      <c r="T192" s="3"/>
      <c r="U192" s="18"/>
      <c r="V192"/>
      <c r="W192" s="3"/>
      <c r="X192" s="30"/>
      <c r="Y192" s="3"/>
      <c r="Z192" s="18"/>
    </row>
    <row r="193" spans="1:26" ht="15">
      <c r="A193" s="16"/>
      <c r="B193" s="16"/>
      <c r="C193" s="26"/>
      <c r="D193"/>
      <c r="E193" s="27"/>
      <c r="F193" s="27"/>
      <c r="G193" s="18"/>
      <c r="H193" s="27"/>
      <c r="I193"/>
      <c r="J193" s="2"/>
      <c r="K193" s="18"/>
      <c r="L193"/>
      <c r="M193"/>
      <c r="N193" s="27"/>
      <c r="O193"/>
      <c r="P193" s="27"/>
      <c r="Q193"/>
      <c r="R193"/>
      <c r="S193" s="11"/>
      <c r="T193" s="3"/>
      <c r="U193" s="18"/>
      <c r="V193"/>
      <c r="W193" s="3"/>
      <c r="X193" s="30"/>
      <c r="Y193" s="3"/>
      <c r="Z193" s="18"/>
    </row>
    <row r="194" spans="1:26" ht="15">
      <c r="A194" s="16"/>
      <c r="B194" s="16"/>
      <c r="C194" s="26"/>
      <c r="D194"/>
      <c r="E194" s="27"/>
      <c r="F194" s="27"/>
      <c r="G194" s="18"/>
      <c r="H194" s="27"/>
      <c r="I194"/>
      <c r="J194" s="2"/>
      <c r="K194" s="18"/>
      <c r="L194"/>
      <c r="M194"/>
      <c r="N194" s="27"/>
      <c r="O194"/>
      <c r="P194" s="27"/>
      <c r="Q194"/>
      <c r="R194"/>
      <c r="S194" s="11"/>
      <c r="T194" s="3"/>
      <c r="U194" s="18"/>
      <c r="V194"/>
      <c r="W194" s="3"/>
      <c r="X194" s="30"/>
      <c r="Y194" s="3"/>
      <c r="Z194" s="18"/>
    </row>
    <row r="195" spans="1:26" ht="15">
      <c r="A195" s="16"/>
      <c r="B195" s="16"/>
      <c r="C195" s="26"/>
      <c r="D195"/>
      <c r="F195" s="28"/>
      <c r="H195" s="28"/>
      <c r="I195"/>
      <c r="J195" s="2"/>
      <c r="L195"/>
      <c r="M195"/>
      <c r="N195" s="27"/>
      <c r="O195"/>
      <c r="P195" s="27"/>
      <c r="Q195"/>
      <c r="R195"/>
      <c r="S195" s="11"/>
      <c r="T195" s="3"/>
      <c r="U195" s="18"/>
      <c r="V195"/>
      <c r="W195" s="3"/>
      <c r="X195" s="30"/>
      <c r="Y195" s="3"/>
      <c r="Z195" s="18"/>
    </row>
    <row r="196" spans="1:26" ht="15">
      <c r="A196" s="16"/>
      <c r="B196" s="16"/>
      <c r="C196" s="26"/>
      <c r="D196"/>
      <c r="E196" s="28"/>
      <c r="F196" s="28"/>
      <c r="H196" s="28"/>
      <c r="I196"/>
      <c r="J196" s="2"/>
      <c r="L196"/>
      <c r="M196"/>
      <c r="N196" s="27"/>
      <c r="O196"/>
      <c r="P196" s="27"/>
      <c r="Q196"/>
      <c r="R196"/>
      <c r="S196" s="11"/>
      <c r="T196" s="3"/>
      <c r="U196" s="18"/>
      <c r="V196"/>
      <c r="W196" s="3"/>
      <c r="X196" s="30"/>
      <c r="Y196" s="3"/>
      <c r="Z196" s="18"/>
    </row>
    <row r="197" spans="1:26" ht="15">
      <c r="A197" s="16"/>
      <c r="B197" s="16"/>
      <c r="C197" s="26"/>
      <c r="D197"/>
      <c r="F197" s="28"/>
      <c r="H197" s="28"/>
      <c r="I197"/>
      <c r="J197" s="2"/>
      <c r="L197"/>
      <c r="M197"/>
      <c r="N197" s="27"/>
      <c r="O197"/>
      <c r="P197" s="27"/>
      <c r="Q197"/>
      <c r="R197"/>
      <c r="S197" s="11"/>
      <c r="T197" s="3"/>
      <c r="U197" s="18"/>
      <c r="V197"/>
      <c r="W197" s="3"/>
      <c r="X197" s="30"/>
      <c r="Y197" s="3"/>
      <c r="Z197" s="18"/>
    </row>
    <row r="198" spans="1:26" ht="15">
      <c r="A198" s="16"/>
      <c r="B198" s="16"/>
      <c r="C198" s="26"/>
      <c r="D198"/>
      <c r="F198" s="28"/>
      <c r="H198" s="28"/>
      <c r="I198"/>
      <c r="J198" s="2"/>
      <c r="L198"/>
      <c r="M198"/>
      <c r="N198" s="27"/>
      <c r="O198"/>
      <c r="P198" s="27"/>
      <c r="Q198"/>
      <c r="R198"/>
      <c r="S198" s="11"/>
      <c r="T198" s="3"/>
      <c r="U198" s="18"/>
      <c r="V198"/>
      <c r="W198" s="3"/>
      <c r="X198" s="30"/>
      <c r="Y198" s="3"/>
      <c r="Z198" s="18"/>
    </row>
    <row r="199" spans="1:26" ht="15">
      <c r="A199" s="16"/>
      <c r="B199" s="16"/>
      <c r="C199" s="26"/>
      <c r="D199"/>
      <c r="F199" s="28"/>
      <c r="H199" s="28"/>
      <c r="I199"/>
      <c r="J199" s="2"/>
      <c r="L199"/>
      <c r="M199"/>
      <c r="N199" s="27"/>
      <c r="O199"/>
      <c r="P199" s="27"/>
      <c r="Q199"/>
      <c r="R199"/>
      <c r="S199" s="11"/>
      <c r="T199" s="3"/>
      <c r="U199" s="18"/>
      <c r="V199"/>
      <c r="W199" s="3"/>
      <c r="X199" s="30"/>
      <c r="Y199" s="3"/>
      <c r="Z199" s="18"/>
    </row>
    <row r="200" spans="1:26" ht="15">
      <c r="A200" s="16"/>
      <c r="B200" s="16"/>
      <c r="C200" s="26"/>
      <c r="D200"/>
      <c r="F200" s="28"/>
      <c r="H200" s="28"/>
      <c r="I200"/>
      <c r="J200" s="2"/>
      <c r="L200"/>
      <c r="M200"/>
      <c r="N200" s="27"/>
      <c r="O200"/>
      <c r="P200" s="27"/>
      <c r="Q200"/>
      <c r="R200"/>
      <c r="S200" s="11"/>
      <c r="T200" s="3"/>
      <c r="U200" s="18"/>
      <c r="V200"/>
      <c r="W200" s="3"/>
      <c r="X200" s="30"/>
      <c r="Y200" s="3"/>
      <c r="Z200" s="18"/>
    </row>
    <row r="201" spans="1:26" ht="15">
      <c r="A201" s="16"/>
      <c r="B201" s="16"/>
      <c r="C201" s="26"/>
      <c r="D201"/>
      <c r="F201" s="28"/>
      <c r="H201" s="28"/>
      <c r="I201"/>
      <c r="J201" s="2"/>
      <c r="L201"/>
      <c r="M201"/>
      <c r="N201" s="27"/>
      <c r="O201"/>
      <c r="P201" s="27"/>
      <c r="Q201"/>
      <c r="R201"/>
      <c r="S201" s="11"/>
      <c r="T201" s="3"/>
      <c r="U201" s="18"/>
      <c r="V201"/>
      <c r="W201" s="3"/>
      <c r="X201" s="30"/>
      <c r="Y201" s="3"/>
      <c r="Z201" s="18"/>
    </row>
    <row r="202" spans="1:26" ht="15">
      <c r="A202" s="16"/>
      <c r="B202" s="16"/>
      <c r="C202" s="26"/>
      <c r="D202"/>
      <c r="F202" s="28"/>
      <c r="H202" s="28"/>
      <c r="I202"/>
      <c r="J202" s="2"/>
      <c r="L202"/>
      <c r="M202"/>
      <c r="N202" s="27"/>
      <c r="O202"/>
      <c r="P202" s="27"/>
      <c r="Q202"/>
      <c r="R202"/>
      <c r="S202" s="11"/>
      <c r="T202" s="3"/>
      <c r="U202" s="18"/>
      <c r="V202"/>
      <c r="W202" s="3"/>
      <c r="X202" s="30"/>
      <c r="Y202" s="3"/>
      <c r="Z202" s="18"/>
    </row>
    <row r="203" spans="1:26" ht="15">
      <c r="A203" s="16"/>
      <c r="B203" s="16"/>
      <c r="C203" s="26"/>
      <c r="D203"/>
      <c r="E203" s="28"/>
      <c r="F203" s="28"/>
      <c r="H203" s="28"/>
      <c r="I203"/>
      <c r="J203" s="2"/>
      <c r="L203"/>
      <c r="M203"/>
      <c r="N203" s="27"/>
      <c r="O203"/>
      <c r="P203" s="27"/>
      <c r="Q203"/>
      <c r="R203"/>
      <c r="S203" s="11"/>
      <c r="T203" s="3"/>
      <c r="U203" s="18"/>
      <c r="V203"/>
      <c r="W203" s="3"/>
      <c r="X203" s="30"/>
      <c r="Y203" s="3"/>
      <c r="Z203" s="18"/>
    </row>
    <row r="204" spans="1:26" ht="15">
      <c r="A204" s="16"/>
      <c r="B204" s="16"/>
      <c r="C204" s="26"/>
      <c r="D204"/>
      <c r="F204" s="28"/>
      <c r="H204" s="28"/>
      <c r="I204"/>
      <c r="J204" s="2"/>
      <c r="L204"/>
      <c r="M204"/>
      <c r="N204" s="27"/>
      <c r="O204"/>
      <c r="P204" s="27"/>
      <c r="Q204"/>
      <c r="R204"/>
      <c r="S204" s="11"/>
      <c r="T204" s="3"/>
      <c r="U204" s="18"/>
      <c r="V204"/>
      <c r="W204" s="3"/>
      <c r="X204" s="30"/>
      <c r="Y204" s="3"/>
      <c r="Z204" s="18"/>
    </row>
    <row r="205" spans="1:26" ht="15">
      <c r="A205" s="16"/>
      <c r="B205" s="16"/>
      <c r="C205" s="26"/>
      <c r="D205"/>
      <c r="E205" s="28"/>
      <c r="F205" s="28"/>
      <c r="H205" s="28"/>
      <c r="I205"/>
      <c r="J205" s="2"/>
      <c r="L205"/>
      <c r="M205"/>
      <c r="N205" s="27"/>
      <c r="O205"/>
      <c r="P205" s="27"/>
      <c r="Q205"/>
      <c r="R205"/>
      <c r="S205" s="11"/>
      <c r="T205" s="3"/>
      <c r="U205" s="18"/>
      <c r="V205"/>
      <c r="W205" s="3"/>
      <c r="X205" s="30"/>
      <c r="Y205" s="3"/>
      <c r="Z205" s="18"/>
    </row>
    <row r="206" spans="1:26" ht="15">
      <c r="A206" s="16"/>
      <c r="B206" s="16"/>
      <c r="C206" s="26"/>
      <c r="D206"/>
      <c r="F206" s="28"/>
      <c r="H206" s="28"/>
      <c r="I206"/>
      <c r="J206" s="2"/>
      <c r="L206"/>
      <c r="M206"/>
      <c r="N206" s="27"/>
      <c r="O206"/>
      <c r="P206" s="27"/>
      <c r="Q206"/>
      <c r="R206"/>
      <c r="S206" s="11"/>
      <c r="T206" s="3"/>
      <c r="U206" s="18"/>
      <c r="V206"/>
      <c r="W206" s="3"/>
      <c r="X206" s="30"/>
      <c r="Y206" s="3"/>
      <c r="Z206" s="18"/>
    </row>
    <row r="207" spans="1:26" ht="15">
      <c r="A207" s="16"/>
      <c r="B207" s="16"/>
      <c r="C207" s="26"/>
      <c r="D207"/>
      <c r="E207" s="28"/>
      <c r="F207" s="28"/>
      <c r="H207" s="28"/>
      <c r="I207"/>
      <c r="J207" s="2"/>
      <c r="L207"/>
      <c r="M207"/>
      <c r="N207" s="27"/>
      <c r="O207"/>
      <c r="P207" s="27"/>
      <c r="Q207"/>
      <c r="R207"/>
      <c r="S207" s="11"/>
      <c r="T207" s="3"/>
      <c r="U207" s="18"/>
      <c r="V207"/>
      <c r="W207" s="3"/>
      <c r="X207" s="30"/>
      <c r="Y207" s="3"/>
      <c r="Z207" s="18"/>
    </row>
    <row r="208" spans="1:26" ht="15">
      <c r="A208" s="16"/>
      <c r="B208" s="16"/>
      <c r="C208" s="26"/>
      <c r="D208"/>
      <c r="F208" s="28"/>
      <c r="H208" s="28"/>
      <c r="I208"/>
      <c r="J208" s="2"/>
      <c r="L208"/>
      <c r="M208"/>
      <c r="N208" s="27"/>
      <c r="O208"/>
      <c r="P208" s="27"/>
      <c r="Q208"/>
      <c r="R208"/>
      <c r="S208" s="11"/>
      <c r="T208" s="3"/>
      <c r="U208" s="18"/>
      <c r="V208"/>
      <c r="W208" s="3"/>
      <c r="X208" s="30"/>
      <c r="Y208" s="3"/>
      <c r="Z208" s="18"/>
    </row>
    <row r="209" spans="1:26" ht="15">
      <c r="A209" s="16"/>
      <c r="B209" s="16"/>
      <c r="C209" s="26"/>
      <c r="D209"/>
      <c r="F209" s="28"/>
      <c r="H209" s="28"/>
      <c r="I209"/>
      <c r="J209" s="2"/>
      <c r="L209"/>
      <c r="M209"/>
      <c r="N209" s="27"/>
      <c r="O209"/>
      <c r="P209" s="27"/>
      <c r="Q209"/>
      <c r="R209"/>
      <c r="S209" s="11"/>
      <c r="T209" s="3"/>
      <c r="U209" s="18"/>
      <c r="V209"/>
      <c r="W209" s="3"/>
      <c r="X209" s="30"/>
      <c r="Y209" s="3"/>
      <c r="Z209" s="18"/>
    </row>
    <row r="210" spans="1:26" ht="15">
      <c r="A210" s="16"/>
      <c r="B210" s="16"/>
      <c r="C210" s="26"/>
      <c r="D210"/>
      <c r="F210" s="28"/>
      <c r="H210" s="28"/>
      <c r="I210"/>
      <c r="J210" s="2"/>
      <c r="L210"/>
      <c r="M210"/>
      <c r="N210" s="27"/>
      <c r="O210"/>
      <c r="P210" s="27"/>
      <c r="Q210"/>
      <c r="R210"/>
      <c r="S210" s="11"/>
      <c r="T210" s="3"/>
      <c r="U210" s="18"/>
      <c r="V210"/>
      <c r="W210" s="3"/>
      <c r="X210" s="30"/>
      <c r="Y210" s="3"/>
      <c r="Z210" s="18"/>
    </row>
    <row r="211" spans="1:26" ht="15">
      <c r="A211" s="16"/>
      <c r="B211" s="16"/>
      <c r="C211" s="26"/>
      <c r="D211"/>
      <c r="E211" s="28"/>
      <c r="F211" s="28"/>
      <c r="H211" s="28"/>
      <c r="I211"/>
      <c r="J211" s="2"/>
      <c r="L211"/>
      <c r="M211"/>
      <c r="N211" s="27"/>
      <c r="O211"/>
      <c r="P211" s="27"/>
      <c r="Q211"/>
      <c r="R211"/>
      <c r="S211" s="11"/>
      <c r="T211" s="3"/>
      <c r="U211" s="18"/>
      <c r="V211"/>
      <c r="W211" s="3"/>
      <c r="X211" s="30"/>
      <c r="Y211" s="3"/>
      <c r="Z211" s="18"/>
    </row>
    <row r="212" spans="1:26" ht="15">
      <c r="A212" s="16"/>
      <c r="B212" s="16"/>
      <c r="C212" s="26"/>
      <c r="D212"/>
      <c r="E212" s="28"/>
      <c r="F212" s="28"/>
      <c r="H212" s="28"/>
      <c r="I212"/>
      <c r="J212" s="2"/>
      <c r="L212"/>
      <c r="M212"/>
      <c r="N212" s="27"/>
      <c r="O212"/>
      <c r="P212" s="27"/>
      <c r="Q212"/>
      <c r="R212"/>
      <c r="S212" s="11"/>
      <c r="T212" s="3"/>
      <c r="U212" s="18"/>
      <c r="V212"/>
      <c r="W212" s="3"/>
      <c r="X212" s="30"/>
      <c r="Y212" s="3"/>
      <c r="Z212" s="18"/>
    </row>
    <row r="213" spans="1:26" ht="15">
      <c r="A213" s="16"/>
      <c r="B213" s="16"/>
      <c r="C213" s="26"/>
      <c r="D213"/>
      <c r="F213" s="28"/>
      <c r="H213" s="28"/>
      <c r="I213"/>
      <c r="J213" s="2"/>
      <c r="L213"/>
      <c r="M213"/>
      <c r="N213" s="27"/>
      <c r="O213"/>
      <c r="P213" s="27"/>
      <c r="Q213"/>
      <c r="R213"/>
      <c r="S213" s="11"/>
      <c r="T213" s="3"/>
      <c r="U213" s="18"/>
      <c r="V213"/>
      <c r="W213" s="3"/>
      <c r="X213" s="30"/>
      <c r="Y213" s="3"/>
      <c r="Z213" s="18"/>
    </row>
    <row r="214" spans="1:26" ht="15">
      <c r="A214" s="16"/>
      <c r="B214" s="16"/>
      <c r="C214" s="26"/>
      <c r="D214"/>
      <c r="F214" s="28"/>
      <c r="H214" s="28"/>
      <c r="I214"/>
      <c r="J214" s="2"/>
      <c r="L214"/>
      <c r="M214"/>
      <c r="N214" s="27"/>
      <c r="O214"/>
      <c r="P214" s="27"/>
      <c r="Q214"/>
      <c r="R214"/>
      <c r="S214" s="11"/>
      <c r="T214" s="3"/>
      <c r="U214" s="18"/>
      <c r="V214"/>
      <c r="W214" s="3"/>
      <c r="X214" s="30"/>
      <c r="Y214" s="3"/>
      <c r="Z214" s="18"/>
    </row>
    <row r="215" spans="1:26" ht="15">
      <c r="A215" s="16"/>
      <c r="B215" s="16"/>
      <c r="C215" s="26"/>
      <c r="D215"/>
      <c r="I215"/>
      <c r="J215" s="2"/>
      <c r="L215"/>
      <c r="M215"/>
      <c r="O215"/>
      <c r="Q215"/>
      <c r="R215"/>
      <c r="S215" s="11"/>
      <c r="T215" s="3"/>
      <c r="U215" s="18"/>
      <c r="V215"/>
      <c r="W215" s="3"/>
      <c r="X215" s="30"/>
      <c r="Y215" s="3"/>
      <c r="Z215" s="18"/>
    </row>
    <row r="216" spans="1:26" ht="15">
      <c r="A216" s="16"/>
      <c r="B216" s="16"/>
      <c r="C216" s="26"/>
      <c r="D216"/>
      <c r="I216"/>
      <c r="J216" s="2"/>
      <c r="L216"/>
      <c r="M216"/>
      <c r="O216"/>
      <c r="Q216"/>
      <c r="R216"/>
      <c r="S216" s="11"/>
      <c r="T216" s="3"/>
      <c r="U216" s="18"/>
      <c r="V216"/>
      <c r="W216" s="3"/>
      <c r="X216" s="30"/>
      <c r="Y216" s="3"/>
      <c r="Z216" s="18"/>
    </row>
    <row r="217" spans="1:26" ht="15">
      <c r="A217" s="16"/>
      <c r="B217" s="16"/>
      <c r="C217" s="26"/>
      <c r="D217"/>
      <c r="I217"/>
      <c r="J217" s="2"/>
      <c r="L217"/>
      <c r="M217"/>
      <c r="O217"/>
      <c r="Q217"/>
      <c r="R217"/>
      <c r="S217" s="11"/>
      <c r="T217" s="3"/>
      <c r="U217" s="18"/>
      <c r="V217"/>
      <c r="W217" s="3"/>
      <c r="X217" s="30"/>
      <c r="Y217" s="3"/>
      <c r="Z217" s="18"/>
    </row>
    <row r="218" spans="1:26" ht="15">
      <c r="A218" s="16"/>
      <c r="B218" s="16"/>
      <c r="C218" s="26"/>
      <c r="D218"/>
      <c r="I218"/>
      <c r="J218" s="2"/>
      <c r="L218"/>
      <c r="M218"/>
      <c r="O218"/>
      <c r="Q218"/>
      <c r="R218"/>
      <c r="S218" s="11"/>
      <c r="T218" s="3"/>
      <c r="U218" s="18"/>
      <c r="V218"/>
      <c r="W218" s="3"/>
      <c r="X218" s="30"/>
      <c r="Y218" s="3"/>
      <c r="Z218" s="18"/>
    </row>
    <row r="219" spans="1:26" ht="15">
      <c r="A219" s="16"/>
      <c r="B219" s="16"/>
      <c r="C219" s="26"/>
      <c r="D219"/>
      <c r="I219"/>
      <c r="J219" s="2"/>
      <c r="L219"/>
      <c r="M219"/>
      <c r="O219"/>
      <c r="Q219"/>
      <c r="R219"/>
      <c r="S219" s="11"/>
      <c r="T219" s="3"/>
      <c r="U219" s="18"/>
      <c r="V219"/>
      <c r="W219" s="3"/>
      <c r="X219" s="30"/>
      <c r="Y219" s="3"/>
      <c r="Z219" s="18"/>
    </row>
    <row r="220" spans="1:26" ht="15">
      <c r="A220" s="16"/>
      <c r="B220" s="16"/>
      <c r="C220" s="26"/>
      <c r="D220"/>
      <c r="I220"/>
      <c r="J220" s="2"/>
      <c r="L220"/>
      <c r="M220"/>
      <c r="O220"/>
      <c r="Q220"/>
      <c r="R220"/>
      <c r="S220" s="11"/>
      <c r="T220" s="3"/>
      <c r="U220" s="18"/>
      <c r="V220"/>
      <c r="W220" s="3"/>
      <c r="X220" s="30"/>
      <c r="Y220" s="3"/>
      <c r="Z220" s="18"/>
    </row>
    <row r="221" spans="1:26" ht="15">
      <c r="A221" s="16"/>
      <c r="B221" s="16"/>
      <c r="C221" s="26"/>
      <c r="D221"/>
      <c r="I221"/>
      <c r="J221" s="2"/>
      <c r="L221"/>
      <c r="M221"/>
      <c r="O221"/>
      <c r="Q221"/>
      <c r="R221"/>
      <c r="S221" s="11"/>
      <c r="T221" s="3"/>
      <c r="U221" s="18"/>
      <c r="V221"/>
      <c r="W221" s="3"/>
      <c r="X221" s="30"/>
      <c r="Y221" s="3"/>
      <c r="Z221" s="18"/>
    </row>
    <row r="222" spans="1:26" ht="15">
      <c r="A222" s="16"/>
      <c r="B222" s="16"/>
      <c r="C222" s="26"/>
      <c r="D222"/>
      <c r="I222"/>
      <c r="J222" s="2"/>
      <c r="L222"/>
      <c r="M222"/>
      <c r="O222"/>
      <c r="Q222"/>
      <c r="R222"/>
      <c r="S222" s="11"/>
      <c r="T222" s="3"/>
      <c r="U222" s="18"/>
      <c r="V222"/>
      <c r="W222" s="3"/>
      <c r="X222" s="30"/>
      <c r="Y222" s="3"/>
      <c r="Z222" s="18"/>
    </row>
    <row r="223" spans="1:26" ht="15">
      <c r="A223" s="16"/>
      <c r="B223" s="16"/>
      <c r="C223" s="26"/>
      <c r="D223"/>
      <c r="I223"/>
      <c r="J223" s="2"/>
      <c r="L223"/>
      <c r="M223"/>
      <c r="O223"/>
      <c r="Q223"/>
      <c r="R223"/>
      <c r="S223" s="11"/>
      <c r="T223" s="3"/>
      <c r="U223" s="18"/>
      <c r="V223"/>
      <c r="W223" s="3"/>
      <c r="X223" s="30"/>
      <c r="Y223" s="3"/>
      <c r="Z223" s="18"/>
    </row>
    <row r="224" spans="1:26" ht="15">
      <c r="A224" s="16"/>
      <c r="B224" s="16"/>
      <c r="C224" s="26"/>
      <c r="D224"/>
      <c r="I224"/>
      <c r="J224" s="2"/>
      <c r="L224"/>
      <c r="M224"/>
      <c r="O224"/>
      <c r="Q224"/>
      <c r="R224"/>
      <c r="S224" s="11"/>
      <c r="T224" s="3"/>
      <c r="U224" s="18"/>
      <c r="V224"/>
      <c r="W224" s="3"/>
      <c r="X224" s="30"/>
      <c r="Y224" s="3"/>
      <c r="Z224" s="18"/>
    </row>
    <row r="225" spans="1:26" ht="15">
      <c r="A225" s="16"/>
      <c r="B225" s="16"/>
      <c r="C225" s="26"/>
      <c r="D225"/>
      <c r="I225"/>
      <c r="J225" s="2"/>
      <c r="L225"/>
      <c r="M225"/>
      <c r="O225"/>
      <c r="Q225"/>
      <c r="R225"/>
      <c r="S225" s="11"/>
      <c r="T225" s="3"/>
      <c r="U225" s="18"/>
      <c r="V225"/>
      <c r="W225" s="3"/>
      <c r="X225" s="30"/>
      <c r="Y225" s="3"/>
      <c r="Z225" s="18"/>
    </row>
    <row r="226" spans="1:26" ht="15">
      <c r="A226" s="16"/>
      <c r="B226" s="16"/>
      <c r="C226" s="26"/>
      <c r="D226"/>
      <c r="I226"/>
      <c r="J226" s="2"/>
      <c r="L226"/>
      <c r="M226"/>
      <c r="O226"/>
      <c r="Q226"/>
      <c r="R226"/>
      <c r="S226" s="11"/>
      <c r="T226" s="3"/>
      <c r="U226" s="18"/>
      <c r="V226"/>
      <c r="W226" s="3"/>
      <c r="X226" s="30"/>
      <c r="Y226" s="3"/>
      <c r="Z226" s="18"/>
    </row>
    <row r="227" spans="1:26" ht="15">
      <c r="A227" s="16"/>
      <c r="B227" s="16"/>
      <c r="C227" s="26"/>
      <c r="D227"/>
      <c r="I227"/>
      <c r="J227" s="2"/>
      <c r="L227"/>
      <c r="M227"/>
      <c r="O227"/>
      <c r="Q227"/>
      <c r="R227"/>
      <c r="S227" s="11"/>
      <c r="T227" s="3"/>
      <c r="U227" s="18"/>
      <c r="V227"/>
      <c r="W227" s="3"/>
      <c r="X227" s="30"/>
      <c r="Y227" s="3"/>
      <c r="Z227" s="18"/>
    </row>
    <row r="228" spans="1:26" ht="15">
      <c r="A228" s="16"/>
      <c r="B228" s="16"/>
      <c r="C228" s="26"/>
      <c r="D228"/>
      <c r="I228"/>
      <c r="J228" s="2"/>
      <c r="L228"/>
      <c r="M228"/>
      <c r="O228"/>
      <c r="Q228"/>
      <c r="R228"/>
      <c r="S228" s="11"/>
      <c r="T228" s="3"/>
      <c r="U228" s="18"/>
      <c r="V228"/>
      <c r="W228" s="3"/>
      <c r="X228" s="30"/>
      <c r="Y228" s="3"/>
      <c r="Z228" s="18"/>
    </row>
    <row r="229" spans="1:26" ht="15">
      <c r="A229" s="16"/>
      <c r="B229" s="16"/>
      <c r="C229" s="26"/>
      <c r="D229"/>
      <c r="I229"/>
      <c r="J229" s="2"/>
      <c r="L229"/>
      <c r="M229"/>
      <c r="O229"/>
      <c r="Q229"/>
      <c r="R229"/>
      <c r="S229" s="11"/>
      <c r="T229" s="3"/>
      <c r="U229" s="18"/>
      <c r="V229"/>
      <c r="W229" s="3"/>
      <c r="X229" s="30"/>
      <c r="Y229" s="3"/>
      <c r="Z229" s="18"/>
    </row>
    <row r="230" spans="1:26" ht="15">
      <c r="A230" s="16"/>
      <c r="B230" s="16"/>
      <c r="C230" s="26"/>
      <c r="D230"/>
      <c r="I230"/>
      <c r="J230" s="2"/>
      <c r="L230"/>
      <c r="M230"/>
      <c r="O230"/>
      <c r="Q230"/>
      <c r="R230"/>
      <c r="S230" s="11"/>
      <c r="T230" s="3"/>
      <c r="U230" s="18"/>
      <c r="V230"/>
      <c r="W230" s="3"/>
      <c r="X230" s="30"/>
      <c r="Y230" s="3"/>
      <c r="Z230" s="18"/>
    </row>
    <row r="231" spans="1:26" ht="15">
      <c r="A231" s="16"/>
      <c r="B231" s="16"/>
      <c r="C231" s="26"/>
      <c r="D231"/>
      <c r="I231"/>
      <c r="J231" s="2"/>
      <c r="L231"/>
      <c r="M231"/>
      <c r="O231"/>
      <c r="Q231"/>
      <c r="R231"/>
      <c r="S231" s="11"/>
      <c r="T231" s="3"/>
      <c r="U231" s="18"/>
      <c r="V231"/>
      <c r="W231" s="3"/>
      <c r="X231" s="30"/>
      <c r="Y231" s="3"/>
      <c r="Z231" s="18"/>
    </row>
    <row r="232" spans="1:26" ht="15">
      <c r="A232" s="16"/>
      <c r="B232" s="16"/>
      <c r="C232" s="26"/>
      <c r="D232"/>
      <c r="I232"/>
      <c r="J232" s="2"/>
      <c r="L232"/>
      <c r="M232"/>
      <c r="O232"/>
      <c r="Q232"/>
      <c r="R232"/>
      <c r="S232" s="11"/>
      <c r="T232" s="3"/>
      <c r="U232" s="18"/>
      <c r="V232"/>
      <c r="W232" s="3"/>
      <c r="X232" s="30"/>
      <c r="Y232" s="3"/>
      <c r="Z232" s="18"/>
    </row>
    <row r="233" spans="1:26" ht="15">
      <c r="A233" s="16"/>
      <c r="B233" s="16"/>
      <c r="C233" s="26"/>
      <c r="D233"/>
      <c r="I233"/>
      <c r="J233" s="2"/>
      <c r="L233"/>
      <c r="M233"/>
      <c r="O233"/>
      <c r="Q233"/>
      <c r="R233"/>
      <c r="S233" s="11"/>
      <c r="T233" s="3"/>
      <c r="U233" s="18"/>
      <c r="V233"/>
      <c r="W233" s="3"/>
      <c r="X233" s="30"/>
      <c r="Y233" s="3"/>
      <c r="Z233" s="18"/>
    </row>
    <row r="234" spans="1:26" ht="15">
      <c r="A234" s="16"/>
      <c r="B234" s="16"/>
      <c r="C234" s="26"/>
      <c r="D234"/>
      <c r="I234"/>
      <c r="J234" s="2"/>
      <c r="L234"/>
      <c r="M234"/>
      <c r="O234"/>
      <c r="Q234"/>
      <c r="R234"/>
      <c r="S234" s="11"/>
      <c r="T234" s="3"/>
      <c r="U234" s="18"/>
      <c r="V234"/>
      <c r="W234" s="3"/>
      <c r="X234" s="30"/>
      <c r="Y234" s="3"/>
      <c r="Z234" s="18"/>
    </row>
    <row r="235" spans="1:26" ht="15">
      <c r="A235" s="16"/>
      <c r="B235" s="16"/>
      <c r="C235" s="26"/>
      <c r="D235"/>
      <c r="I235"/>
      <c r="J235" s="2"/>
      <c r="L235"/>
      <c r="M235"/>
      <c r="O235"/>
      <c r="Q235"/>
      <c r="R235"/>
      <c r="S235" s="11"/>
      <c r="T235" s="3"/>
      <c r="U235" s="18"/>
      <c r="V235"/>
      <c r="W235" s="3"/>
      <c r="X235" s="30"/>
      <c r="Y235" s="3"/>
      <c r="Z235" s="18"/>
    </row>
    <row r="236" spans="1:26" ht="15">
      <c r="A236" s="16"/>
      <c r="B236" s="16"/>
      <c r="C236" s="26"/>
      <c r="D236"/>
      <c r="I236"/>
      <c r="J236" s="2"/>
      <c r="L236"/>
      <c r="M236"/>
      <c r="O236"/>
      <c r="Q236"/>
      <c r="R236"/>
      <c r="S236" s="11"/>
      <c r="T236" s="3"/>
      <c r="U236" s="18"/>
      <c r="V236"/>
      <c r="W236" s="3"/>
      <c r="X236" s="30"/>
      <c r="Y236" s="3"/>
      <c r="Z236" s="18"/>
    </row>
    <row r="237" spans="1:26" ht="15">
      <c r="A237" s="16"/>
      <c r="B237" s="16"/>
      <c r="C237" s="26"/>
      <c r="D237"/>
      <c r="I237"/>
      <c r="J237" s="2"/>
      <c r="L237"/>
      <c r="M237"/>
      <c r="O237"/>
      <c r="Q237"/>
      <c r="R237"/>
      <c r="S237" s="11"/>
      <c r="T237" s="3"/>
      <c r="U237" s="18"/>
      <c r="V237"/>
      <c r="W237" s="3"/>
      <c r="X237" s="30"/>
      <c r="Y237" s="3"/>
      <c r="Z237" s="18"/>
    </row>
    <row r="238" spans="1:26" ht="15">
      <c r="A238" s="16"/>
      <c r="B238" s="16"/>
      <c r="C238" s="26"/>
      <c r="D238"/>
      <c r="I238"/>
      <c r="J238" s="2"/>
      <c r="L238"/>
      <c r="M238"/>
      <c r="O238"/>
      <c r="Q238"/>
      <c r="R238"/>
      <c r="S238" s="11"/>
      <c r="T238" s="3"/>
      <c r="U238" s="18"/>
      <c r="V238"/>
      <c r="W238" s="3"/>
      <c r="X238" s="30"/>
      <c r="Y238" s="3"/>
      <c r="Z238" s="18"/>
    </row>
    <row r="239" spans="1:26" ht="15">
      <c r="A239" s="16"/>
      <c r="B239" s="16"/>
      <c r="C239" s="26"/>
      <c r="D239"/>
      <c r="I239"/>
      <c r="J239" s="2"/>
      <c r="L239"/>
      <c r="M239"/>
      <c r="O239"/>
      <c r="Q239"/>
      <c r="R239"/>
      <c r="S239" s="11"/>
      <c r="T239" s="3"/>
      <c r="U239" s="18"/>
      <c r="V239"/>
      <c r="W239" s="3"/>
      <c r="X239" s="30"/>
      <c r="Y239" s="3"/>
      <c r="Z239" s="18"/>
    </row>
    <row r="240" spans="1:26" ht="15">
      <c r="A240" s="16"/>
      <c r="B240" s="16"/>
      <c r="C240" s="26"/>
      <c r="D240"/>
      <c r="I240"/>
      <c r="J240" s="2"/>
      <c r="L240"/>
      <c r="M240"/>
      <c r="O240"/>
      <c r="Q240"/>
      <c r="R240"/>
      <c r="S240" s="11"/>
      <c r="T240" s="3"/>
      <c r="U240" s="18"/>
      <c r="V240"/>
      <c r="W240" s="3"/>
      <c r="X240" s="30"/>
      <c r="Y240" s="3"/>
      <c r="Z240" s="18"/>
    </row>
    <row r="241" spans="1:26" ht="15">
      <c r="A241" s="16"/>
      <c r="B241" s="16"/>
      <c r="C241" s="26"/>
      <c r="D241"/>
      <c r="I241"/>
      <c r="J241" s="2"/>
      <c r="L241"/>
      <c r="M241"/>
      <c r="O241"/>
      <c r="Q241"/>
      <c r="R241"/>
      <c r="S241" s="11"/>
      <c r="T241" s="3"/>
      <c r="U241" s="18"/>
      <c r="V241"/>
      <c r="W241" s="3"/>
      <c r="X241" s="30"/>
      <c r="Y241" s="3"/>
      <c r="Z241" s="18"/>
    </row>
    <row r="242" spans="1:26" ht="15">
      <c r="A242" s="16"/>
      <c r="B242" s="16"/>
      <c r="C242" s="26"/>
      <c r="D242"/>
      <c r="I242"/>
      <c r="J242" s="2"/>
      <c r="L242"/>
      <c r="M242"/>
      <c r="O242"/>
      <c r="Q242"/>
      <c r="R242"/>
      <c r="S242" s="11"/>
      <c r="T242" s="3"/>
      <c r="U242" s="18"/>
      <c r="V242"/>
      <c r="W242" s="3"/>
      <c r="X242" s="30"/>
      <c r="Y242" s="3"/>
      <c r="Z242" s="18"/>
    </row>
    <row r="243" spans="1:26" ht="15">
      <c r="A243" s="16"/>
      <c r="B243" s="16"/>
      <c r="C243" s="26"/>
      <c r="D243"/>
      <c r="I243"/>
      <c r="J243" s="2"/>
      <c r="L243"/>
      <c r="M243"/>
      <c r="O243"/>
      <c r="Q243"/>
      <c r="R243"/>
      <c r="S243" s="11"/>
      <c r="T243" s="3"/>
      <c r="U243" s="18"/>
      <c r="V243"/>
      <c r="W243" s="3"/>
      <c r="X243" s="30"/>
      <c r="Y243" s="3"/>
      <c r="Z243" s="18"/>
    </row>
    <row r="244" spans="1:26" ht="15">
      <c r="A244" s="16"/>
      <c r="B244" s="16"/>
      <c r="C244" s="26"/>
      <c r="D244"/>
      <c r="I244"/>
      <c r="J244" s="2"/>
      <c r="L244"/>
      <c r="M244"/>
      <c r="O244"/>
      <c r="Q244"/>
      <c r="R244"/>
      <c r="S244" s="11"/>
      <c r="T244" s="3"/>
      <c r="U244" s="18"/>
      <c r="V244"/>
      <c r="W244" s="3"/>
      <c r="X244" s="30"/>
      <c r="Y244" s="3"/>
      <c r="Z244" s="18"/>
    </row>
    <row r="245" spans="1:26" ht="15">
      <c r="A245" s="16"/>
      <c r="B245" s="16"/>
      <c r="C245" s="26"/>
      <c r="D245"/>
      <c r="I245"/>
      <c r="J245" s="2"/>
      <c r="L245"/>
      <c r="M245"/>
      <c r="O245"/>
      <c r="Q245"/>
      <c r="R245"/>
      <c r="S245" s="11"/>
      <c r="T245" s="3"/>
      <c r="U245" s="18"/>
      <c r="V245"/>
      <c r="W245" s="3"/>
      <c r="X245" s="30"/>
      <c r="Y245" s="3"/>
      <c r="Z245" s="18"/>
    </row>
    <row r="246" spans="1:26" ht="15">
      <c r="A246" s="16"/>
      <c r="B246" s="16"/>
      <c r="C246" s="26"/>
      <c r="D246"/>
      <c r="I246"/>
      <c r="J246" s="2"/>
      <c r="L246"/>
      <c r="M246"/>
      <c r="O246"/>
      <c r="Q246"/>
      <c r="R246"/>
      <c r="S246" s="11"/>
      <c r="T246" s="3"/>
      <c r="U246" s="18"/>
      <c r="V246"/>
      <c r="W246" s="3"/>
      <c r="X246" s="30"/>
      <c r="Y246" s="3"/>
      <c r="Z246" s="18"/>
    </row>
    <row r="247" spans="1:26" ht="15">
      <c r="A247" s="16"/>
      <c r="B247" s="16"/>
      <c r="C247" s="26"/>
      <c r="D247"/>
      <c r="I247"/>
      <c r="J247" s="2"/>
      <c r="L247"/>
      <c r="M247"/>
      <c r="O247"/>
      <c r="Q247"/>
      <c r="R247"/>
      <c r="S247" s="11"/>
      <c r="T247" s="3"/>
      <c r="U247" s="18"/>
      <c r="V247"/>
      <c r="W247" s="3"/>
      <c r="X247" s="30"/>
      <c r="Y247" s="3"/>
      <c r="Z247" s="18"/>
    </row>
    <row r="248" spans="1:26" ht="15">
      <c r="A248" s="16"/>
      <c r="B248" s="16"/>
      <c r="C248" s="26"/>
      <c r="D248"/>
      <c r="I248"/>
      <c r="J248" s="2"/>
      <c r="L248"/>
      <c r="M248"/>
      <c r="O248"/>
      <c r="Q248"/>
      <c r="R248"/>
      <c r="S248" s="11"/>
      <c r="T248" s="3"/>
      <c r="U248" s="18"/>
      <c r="V248"/>
      <c r="W248" s="3"/>
      <c r="X248" s="30"/>
      <c r="Y248" s="3"/>
      <c r="Z248" s="18"/>
    </row>
    <row r="249" spans="1:26" ht="15">
      <c r="A249" s="16"/>
      <c r="B249" s="16"/>
      <c r="C249" s="26"/>
      <c r="D249"/>
      <c r="I249"/>
      <c r="J249" s="2"/>
      <c r="L249"/>
      <c r="M249"/>
      <c r="O249"/>
      <c r="Q249"/>
      <c r="R249"/>
      <c r="S249" s="11"/>
      <c r="T249" s="3"/>
      <c r="U249" s="18"/>
      <c r="V249"/>
      <c r="W249" s="3"/>
      <c r="X249" s="30"/>
      <c r="Y249" s="3"/>
      <c r="Z249" s="18"/>
    </row>
    <row r="250" spans="1:26" ht="15">
      <c r="A250" s="16"/>
      <c r="B250" s="16"/>
      <c r="C250" s="26"/>
      <c r="D250"/>
      <c r="I250"/>
      <c r="J250" s="2"/>
      <c r="L250"/>
      <c r="M250"/>
      <c r="O250"/>
      <c r="Q250"/>
      <c r="R250"/>
      <c r="S250" s="11"/>
      <c r="T250" s="3"/>
      <c r="U250" s="18"/>
      <c r="V250"/>
      <c r="W250" s="3"/>
      <c r="X250" s="30"/>
      <c r="Y250" s="3"/>
      <c r="Z250" s="18"/>
    </row>
    <row r="251" spans="1:26" ht="15">
      <c r="A251" s="16"/>
      <c r="B251" s="16"/>
      <c r="C251" s="26"/>
      <c r="D251"/>
      <c r="I251"/>
      <c r="J251" s="2"/>
      <c r="L251"/>
      <c r="M251"/>
      <c r="O251"/>
      <c r="Q251"/>
      <c r="R251"/>
      <c r="S251" s="11"/>
      <c r="T251" s="3"/>
      <c r="U251" s="18"/>
      <c r="V251"/>
      <c r="W251" s="3"/>
      <c r="X251" s="30"/>
      <c r="Y251" s="3"/>
      <c r="Z251" s="18"/>
    </row>
    <row r="252" spans="1:26" ht="15">
      <c r="A252" s="16"/>
      <c r="B252" s="16"/>
      <c r="C252" s="26"/>
      <c r="D252"/>
      <c r="I252"/>
      <c r="J252" s="2"/>
      <c r="L252"/>
      <c r="M252"/>
      <c r="O252"/>
      <c r="Q252"/>
      <c r="R252"/>
      <c r="S252" s="11"/>
      <c r="T252" s="3"/>
      <c r="U252" s="18"/>
      <c r="V252"/>
      <c r="W252" s="3"/>
      <c r="X252" s="30"/>
      <c r="Y252" s="3"/>
      <c r="Z252" s="18"/>
    </row>
    <row r="253" spans="1:26" ht="15">
      <c r="A253" s="16"/>
      <c r="B253" s="16"/>
      <c r="C253" s="26"/>
      <c r="D253"/>
      <c r="I253"/>
      <c r="J253" s="2"/>
      <c r="L253"/>
      <c r="M253"/>
      <c r="O253"/>
      <c r="Q253"/>
      <c r="R253"/>
      <c r="S253" s="11"/>
      <c r="T253" s="3"/>
      <c r="U253" s="18"/>
      <c r="V253"/>
      <c r="W253" s="3"/>
      <c r="X253" s="30"/>
      <c r="Y253" s="3"/>
      <c r="Z253" s="18"/>
    </row>
    <row r="254" spans="1:26" ht="15">
      <c r="A254" s="16"/>
      <c r="B254" s="16"/>
      <c r="C254" s="26"/>
      <c r="D254"/>
      <c r="I254"/>
      <c r="J254" s="2"/>
      <c r="L254"/>
      <c r="M254"/>
      <c r="O254"/>
      <c r="Q254"/>
      <c r="R254"/>
      <c r="S254" s="11"/>
      <c r="T254" s="3"/>
      <c r="U254" s="18"/>
      <c r="V254"/>
      <c r="W254" s="3"/>
      <c r="X254" s="30"/>
      <c r="Y254" s="3"/>
      <c r="Z254" s="18"/>
    </row>
    <row r="255" spans="1:26" ht="15">
      <c r="A255" s="16"/>
      <c r="B255" s="16"/>
      <c r="C255" s="26"/>
      <c r="D255"/>
      <c r="I255"/>
      <c r="J255" s="2"/>
      <c r="L255"/>
      <c r="M255"/>
      <c r="O255"/>
      <c r="Q255"/>
      <c r="R255"/>
      <c r="S255" s="11"/>
      <c r="T255" s="3"/>
      <c r="U255" s="18"/>
      <c r="V255"/>
      <c r="W255" s="3"/>
      <c r="X255" s="30"/>
      <c r="Y255" s="3"/>
      <c r="Z255" s="18"/>
    </row>
    <row r="256" spans="1:26" ht="15">
      <c r="A256" s="16"/>
      <c r="B256" s="16"/>
      <c r="C256" s="26"/>
      <c r="D256"/>
      <c r="I256"/>
      <c r="J256" s="2"/>
      <c r="L256"/>
      <c r="M256"/>
      <c r="O256"/>
      <c r="Q256"/>
      <c r="R256"/>
      <c r="S256" s="11"/>
      <c r="T256" s="3"/>
      <c r="U256" s="18"/>
      <c r="V256"/>
      <c r="W256" s="3"/>
      <c r="X256" s="30"/>
      <c r="Y256" s="3"/>
      <c r="Z256" s="18"/>
    </row>
    <row r="257" spans="1:26" ht="15">
      <c r="A257" s="16"/>
      <c r="B257" s="16"/>
      <c r="C257" s="26"/>
      <c r="D257"/>
      <c r="I257"/>
      <c r="J257" s="2"/>
      <c r="L257"/>
      <c r="M257"/>
      <c r="O257"/>
      <c r="Q257"/>
      <c r="R257"/>
      <c r="S257" s="11"/>
      <c r="T257" s="3"/>
      <c r="U257" s="18"/>
      <c r="V257"/>
      <c r="W257" s="3"/>
      <c r="X257" s="30"/>
      <c r="Y257" s="3"/>
      <c r="Z257" s="18"/>
    </row>
    <row r="258" spans="1:26" ht="15">
      <c r="A258" s="16"/>
      <c r="B258" s="16"/>
      <c r="C258" s="26"/>
      <c r="D258"/>
      <c r="I258"/>
      <c r="J258" s="2"/>
      <c r="L258"/>
      <c r="M258"/>
      <c r="O258"/>
      <c r="Q258"/>
      <c r="R258"/>
      <c r="S258" s="11"/>
      <c r="T258" s="3"/>
      <c r="U258" s="18"/>
      <c r="V258"/>
      <c r="W258" s="3"/>
      <c r="X258" s="30"/>
      <c r="Y258" s="3"/>
      <c r="Z258" s="18"/>
    </row>
    <row r="259" spans="1:26" ht="15">
      <c r="A259" s="16"/>
      <c r="B259" s="16"/>
      <c r="C259" s="26"/>
      <c r="D259"/>
      <c r="I259"/>
      <c r="J259" s="2"/>
      <c r="L259"/>
      <c r="M259"/>
      <c r="O259"/>
      <c r="Q259"/>
      <c r="R259"/>
      <c r="S259" s="11"/>
      <c r="T259" s="3"/>
      <c r="U259" s="18"/>
      <c r="V259"/>
      <c r="W259" s="3"/>
      <c r="X259" s="30"/>
      <c r="Y259" s="3"/>
      <c r="Z259" s="18"/>
    </row>
    <row r="260" spans="1:26" ht="15">
      <c r="A260" s="16"/>
      <c r="B260" s="16"/>
      <c r="C260" s="26"/>
      <c r="D260"/>
      <c r="I260"/>
      <c r="J260" s="2"/>
      <c r="L260"/>
      <c r="M260"/>
      <c r="O260"/>
      <c r="Q260"/>
      <c r="R260"/>
      <c r="S260" s="11"/>
      <c r="T260" s="3"/>
      <c r="U260" s="18"/>
      <c r="V260"/>
      <c r="W260" s="3"/>
      <c r="X260" s="30"/>
      <c r="Y260" s="3"/>
      <c r="Z260" s="18"/>
    </row>
    <row r="261" spans="1:26" ht="15">
      <c r="A261" s="16"/>
      <c r="B261" s="16"/>
      <c r="C261" s="26"/>
      <c r="D261"/>
      <c r="I261"/>
      <c r="J261" s="2"/>
      <c r="L261"/>
      <c r="M261"/>
      <c r="O261"/>
      <c r="Q261"/>
      <c r="R261"/>
      <c r="S261" s="11"/>
      <c r="T261" s="3"/>
      <c r="U261" s="18"/>
      <c r="V261"/>
      <c r="W261" s="3"/>
      <c r="X261" s="30"/>
      <c r="Y261" s="3"/>
      <c r="Z261" s="18"/>
    </row>
    <row r="262" spans="1:26" ht="15">
      <c r="A262" s="16"/>
      <c r="B262" s="16"/>
      <c r="C262" s="26"/>
      <c r="D262"/>
      <c r="I262"/>
      <c r="J262" s="2"/>
      <c r="L262"/>
      <c r="M262"/>
      <c r="O262"/>
      <c r="Q262"/>
      <c r="R262"/>
      <c r="S262" s="11"/>
      <c r="T262" s="3"/>
      <c r="U262" s="18"/>
      <c r="V262"/>
      <c r="W262" s="3"/>
      <c r="X262" s="30"/>
      <c r="Y262" s="3"/>
      <c r="Z262" s="18"/>
    </row>
    <row r="263" spans="1:26" ht="15">
      <c r="A263" s="16"/>
      <c r="B263" s="16"/>
      <c r="C263" s="26"/>
      <c r="D263"/>
      <c r="I263"/>
      <c r="J263" s="2"/>
      <c r="L263"/>
      <c r="M263"/>
      <c r="O263"/>
      <c r="Q263"/>
      <c r="R263"/>
      <c r="S263" s="11"/>
      <c r="T263" s="3"/>
      <c r="U263" s="18"/>
      <c r="V263"/>
      <c r="W263" s="3"/>
      <c r="X263" s="30"/>
      <c r="Y263" s="3"/>
      <c r="Z263" s="18"/>
    </row>
    <row r="264" spans="1:26" ht="15">
      <c r="A264" s="16"/>
      <c r="B264" s="16"/>
      <c r="C264" s="26"/>
      <c r="D264"/>
      <c r="I264"/>
      <c r="J264" s="2"/>
      <c r="L264"/>
      <c r="M264"/>
      <c r="O264"/>
      <c r="Q264"/>
      <c r="R264"/>
      <c r="S264" s="11"/>
      <c r="T264" s="3"/>
      <c r="U264" s="18"/>
      <c r="V264"/>
      <c r="W264" s="3"/>
      <c r="X264" s="30"/>
      <c r="Y264" s="3"/>
      <c r="Z264" s="18"/>
    </row>
    <row r="265" spans="1:26" ht="15">
      <c r="A265" s="16"/>
      <c r="B265" s="16"/>
      <c r="C265" s="26"/>
      <c r="D265"/>
      <c r="I265"/>
      <c r="J265" s="2"/>
      <c r="L265"/>
      <c r="M265"/>
      <c r="O265"/>
      <c r="Q265"/>
      <c r="R265"/>
      <c r="S265" s="11"/>
      <c r="T265" s="3"/>
      <c r="U265" s="18"/>
      <c r="V265"/>
      <c r="W265" s="3"/>
      <c r="X265" s="30"/>
      <c r="Y265" s="3"/>
      <c r="Z265" s="18"/>
    </row>
    <row r="266" spans="1:26" ht="15">
      <c r="A266" s="16"/>
      <c r="B266" s="16"/>
      <c r="C266" s="26"/>
      <c r="D266"/>
      <c r="I266"/>
      <c r="J266" s="2"/>
      <c r="L266"/>
      <c r="M266"/>
      <c r="O266"/>
      <c r="Q266"/>
      <c r="R266"/>
      <c r="S266" s="11"/>
      <c r="T266" s="3"/>
      <c r="U266" s="18"/>
      <c r="V266"/>
      <c r="W266" s="3"/>
      <c r="X266" s="30"/>
      <c r="Y266" s="3"/>
      <c r="Z266" s="18"/>
    </row>
    <row r="267" spans="1:26" ht="15">
      <c r="A267" s="16"/>
      <c r="B267" s="16"/>
      <c r="C267" s="26"/>
      <c r="D267"/>
      <c r="I267"/>
      <c r="J267" s="2"/>
      <c r="L267"/>
      <c r="M267"/>
      <c r="O267"/>
      <c r="Q267"/>
      <c r="R267"/>
      <c r="S267" s="11"/>
      <c r="T267" s="3"/>
      <c r="U267" s="18"/>
      <c r="V267"/>
      <c r="W267" s="3"/>
      <c r="X267" s="30"/>
      <c r="Y267" s="3"/>
      <c r="Z267" s="18"/>
    </row>
    <row r="268" spans="1:26" ht="15">
      <c r="A268" s="16"/>
      <c r="B268" s="16"/>
      <c r="C268" s="26"/>
      <c r="D268"/>
      <c r="I268"/>
      <c r="J268" s="2"/>
      <c r="L268"/>
      <c r="M268"/>
      <c r="O268"/>
      <c r="Q268"/>
      <c r="R268"/>
      <c r="S268" s="11"/>
      <c r="T268" s="3"/>
      <c r="U268" s="18"/>
      <c r="V268"/>
      <c r="W268" s="3"/>
      <c r="X268" s="30"/>
      <c r="Y268" s="3"/>
      <c r="Z268" s="18"/>
    </row>
    <row r="269" spans="1:26" ht="15">
      <c r="A269" s="16"/>
      <c r="B269" s="16"/>
      <c r="C269" s="26"/>
      <c r="D269"/>
      <c r="I269"/>
      <c r="J269" s="2"/>
      <c r="L269"/>
      <c r="M269"/>
      <c r="O269"/>
      <c r="Q269"/>
      <c r="R269"/>
      <c r="S269" s="11"/>
      <c r="T269" s="3"/>
      <c r="U269" s="18"/>
      <c r="V269"/>
      <c r="W269" s="3"/>
      <c r="X269" s="30"/>
      <c r="Y269" s="3"/>
      <c r="Z269" s="18"/>
    </row>
    <row r="270" spans="1:26" ht="15">
      <c r="A270" s="16"/>
      <c r="B270" s="16"/>
      <c r="C270" s="26"/>
      <c r="D270"/>
      <c r="I270"/>
      <c r="J270" s="2"/>
      <c r="L270"/>
      <c r="M270"/>
      <c r="O270"/>
      <c r="Q270"/>
      <c r="R270"/>
      <c r="S270" s="11"/>
      <c r="T270" s="3"/>
      <c r="U270" s="18"/>
      <c r="V270"/>
      <c r="W270" s="3"/>
      <c r="X270" s="30"/>
      <c r="Y270" s="3"/>
      <c r="Z270" s="18"/>
    </row>
    <row r="271" spans="1:26" ht="15">
      <c r="A271" s="16"/>
      <c r="B271" s="16"/>
      <c r="C271" s="26"/>
      <c r="D271"/>
      <c r="I271"/>
      <c r="J271" s="2"/>
      <c r="L271"/>
      <c r="M271"/>
      <c r="O271"/>
      <c r="Q271"/>
      <c r="R271"/>
      <c r="S271" s="11"/>
      <c r="T271" s="3"/>
      <c r="U271" s="18"/>
      <c r="V271"/>
      <c r="W271" s="3"/>
      <c r="X271" s="30"/>
      <c r="Y271" s="3"/>
      <c r="Z271" s="18"/>
    </row>
    <row r="272" spans="1:26" ht="15">
      <c r="A272" s="16"/>
      <c r="B272" s="16"/>
      <c r="C272" s="26"/>
      <c r="D272"/>
      <c r="I272"/>
      <c r="J272" s="2"/>
      <c r="L272"/>
      <c r="M272"/>
      <c r="O272"/>
      <c r="Q272"/>
      <c r="R272"/>
      <c r="S272" s="11"/>
      <c r="T272" s="3"/>
      <c r="U272" s="18"/>
      <c r="V272"/>
      <c r="W272" s="3"/>
      <c r="X272" s="30"/>
      <c r="Y272" s="3"/>
      <c r="Z272" s="18"/>
    </row>
    <row r="273" spans="1:26" ht="15">
      <c r="A273" s="16"/>
      <c r="B273" s="16"/>
      <c r="C273" s="26"/>
      <c r="D273"/>
      <c r="I273"/>
      <c r="J273" s="2"/>
      <c r="L273"/>
      <c r="M273"/>
      <c r="O273"/>
      <c r="Q273"/>
      <c r="R273"/>
      <c r="S273" s="11"/>
      <c r="T273" s="3"/>
      <c r="U273" s="18"/>
      <c r="V273"/>
      <c r="W273" s="3"/>
      <c r="X273" s="30"/>
      <c r="Y273" s="3"/>
      <c r="Z273" s="18"/>
    </row>
    <row r="274" spans="1:26" ht="15">
      <c r="A274" s="16"/>
      <c r="B274" s="16"/>
      <c r="C274" s="26"/>
      <c r="D274"/>
      <c r="I274"/>
      <c r="J274" s="2"/>
      <c r="L274"/>
      <c r="M274"/>
      <c r="O274"/>
      <c r="Q274"/>
      <c r="R274"/>
      <c r="S274" s="11"/>
      <c r="T274" s="3"/>
      <c r="U274" s="18"/>
      <c r="V274"/>
      <c r="W274" s="3"/>
      <c r="X274" s="30"/>
      <c r="Y274" s="3"/>
      <c r="Z274" s="18"/>
    </row>
    <row r="275" spans="1:26" ht="15">
      <c r="A275" s="16"/>
      <c r="B275" s="16"/>
      <c r="C275" s="26"/>
      <c r="D275"/>
      <c r="I275"/>
      <c r="J275" s="2"/>
      <c r="L275"/>
      <c r="M275"/>
      <c r="O275"/>
      <c r="Q275"/>
      <c r="R275"/>
      <c r="S275" s="11"/>
      <c r="T275" s="3"/>
      <c r="U275" s="18"/>
      <c r="V275"/>
      <c r="W275" s="3"/>
      <c r="X275" s="30"/>
      <c r="Y275" s="3"/>
      <c r="Z275" s="18"/>
    </row>
    <row r="276" spans="1:26" ht="15">
      <c r="A276" s="16"/>
      <c r="B276" s="16"/>
      <c r="C276" s="26"/>
      <c r="D276"/>
      <c r="I276"/>
      <c r="J276" s="2"/>
      <c r="L276"/>
      <c r="M276"/>
      <c r="O276"/>
      <c r="Q276"/>
      <c r="R276"/>
      <c r="S276" s="11"/>
      <c r="T276" s="3"/>
      <c r="U276" s="18"/>
      <c r="V276"/>
      <c r="W276" s="3"/>
      <c r="X276" s="30"/>
      <c r="Y276" s="3"/>
      <c r="Z276" s="18"/>
    </row>
    <row r="277" spans="1:26" ht="15">
      <c r="A277" s="16"/>
      <c r="B277" s="16"/>
      <c r="C277" s="26"/>
      <c r="D277"/>
      <c r="I277"/>
      <c r="J277" s="2"/>
      <c r="L277"/>
      <c r="M277"/>
      <c r="O277"/>
      <c r="Q277"/>
      <c r="R277"/>
      <c r="S277" s="11"/>
      <c r="T277" s="3"/>
      <c r="U277" s="18"/>
      <c r="V277"/>
      <c r="W277" s="3"/>
      <c r="X277" s="30"/>
      <c r="Y277" s="3"/>
      <c r="Z277" s="18"/>
    </row>
    <row r="278" spans="1:26" ht="15">
      <c r="A278" s="16"/>
      <c r="B278" s="16"/>
      <c r="C278" s="26"/>
      <c r="D278"/>
      <c r="I278"/>
      <c r="J278" s="2"/>
      <c r="L278"/>
      <c r="M278"/>
      <c r="O278"/>
      <c r="Q278"/>
      <c r="R278"/>
      <c r="S278" s="11"/>
      <c r="T278" s="3"/>
      <c r="U278" s="18"/>
      <c r="V278"/>
      <c r="W278" s="3"/>
      <c r="X278" s="30"/>
      <c r="Y278" s="3"/>
      <c r="Z278" s="18"/>
    </row>
    <row r="279" spans="1:26" ht="15">
      <c r="A279" s="16"/>
      <c r="B279" s="16"/>
      <c r="C279" s="26"/>
      <c r="D279"/>
      <c r="I279"/>
      <c r="J279" s="2"/>
      <c r="L279"/>
      <c r="M279"/>
      <c r="O279"/>
      <c r="Q279"/>
      <c r="R279"/>
      <c r="S279" s="11"/>
      <c r="T279" s="3"/>
      <c r="U279" s="18"/>
      <c r="V279"/>
      <c r="W279" s="3"/>
      <c r="X279" s="30"/>
      <c r="Y279" s="3"/>
      <c r="Z279" s="18"/>
    </row>
    <row r="280" spans="1:26" ht="15">
      <c r="A280" s="16"/>
      <c r="B280" s="16"/>
      <c r="C280" s="26"/>
      <c r="D280"/>
      <c r="I280"/>
      <c r="J280" s="2"/>
      <c r="L280"/>
      <c r="M280"/>
      <c r="O280"/>
      <c r="Q280"/>
      <c r="R280"/>
      <c r="S280" s="11"/>
      <c r="T280" s="3"/>
      <c r="U280" s="18"/>
      <c r="V280"/>
      <c r="W280" s="3"/>
      <c r="X280" s="30"/>
      <c r="Y280" s="3"/>
      <c r="Z280" s="18"/>
    </row>
    <row r="281" spans="1:26" ht="15">
      <c r="A281" s="16"/>
      <c r="B281" s="16"/>
      <c r="C281" s="26"/>
      <c r="D281"/>
      <c r="I281"/>
      <c r="J281" s="2"/>
      <c r="L281"/>
      <c r="M281"/>
      <c r="O281"/>
      <c r="Q281"/>
      <c r="R281"/>
      <c r="S281" s="11"/>
      <c r="T281" s="3"/>
      <c r="U281" s="18"/>
      <c r="V281"/>
      <c r="W281" s="3"/>
      <c r="X281" s="30"/>
      <c r="Y281" s="3"/>
      <c r="Z281" s="18"/>
    </row>
    <row r="282" spans="1:26" ht="15">
      <c r="A282" s="16"/>
      <c r="B282" s="16"/>
      <c r="C282" s="26"/>
      <c r="D282"/>
      <c r="I282"/>
      <c r="J282" s="2"/>
      <c r="L282"/>
      <c r="M282"/>
      <c r="O282"/>
      <c r="Q282"/>
      <c r="R282"/>
      <c r="S282" s="11"/>
      <c r="T282" s="3"/>
      <c r="U282" s="18"/>
      <c r="V282"/>
      <c r="W282" s="3"/>
      <c r="X282" s="30"/>
      <c r="Y282" s="3"/>
      <c r="Z282" s="18"/>
    </row>
    <row r="283" spans="1:26" ht="15">
      <c r="A283" s="16"/>
      <c r="B283" s="16"/>
      <c r="C283" s="26"/>
      <c r="D283"/>
      <c r="I283"/>
      <c r="J283" s="2"/>
      <c r="L283"/>
      <c r="M283"/>
      <c r="O283"/>
      <c r="Q283"/>
      <c r="R283"/>
      <c r="S283" s="11"/>
      <c r="T283" s="3"/>
      <c r="U283" s="18"/>
      <c r="V283"/>
      <c r="W283" s="3"/>
      <c r="X283" s="30"/>
      <c r="Y283" s="3"/>
      <c r="Z283" s="18"/>
    </row>
    <row r="284" spans="1:26" ht="15">
      <c r="A284" s="16"/>
      <c r="B284" s="16"/>
      <c r="C284" s="26"/>
      <c r="D284"/>
      <c r="I284"/>
      <c r="J284" s="2"/>
      <c r="L284"/>
      <c r="M284"/>
      <c r="O284"/>
      <c r="Q284"/>
      <c r="R284"/>
      <c r="S284" s="11"/>
      <c r="T284" s="3"/>
      <c r="U284" s="18"/>
      <c r="V284"/>
      <c r="W284" s="3"/>
      <c r="X284" s="30"/>
      <c r="Y284" s="3"/>
      <c r="Z284" s="18"/>
    </row>
    <row r="285" spans="1:26" ht="15">
      <c r="A285" s="16"/>
      <c r="B285" s="16"/>
      <c r="C285" s="26"/>
      <c r="D285"/>
      <c r="I285"/>
      <c r="J285" s="2"/>
      <c r="L285"/>
      <c r="M285"/>
      <c r="O285"/>
      <c r="Q285"/>
      <c r="R285"/>
      <c r="S285" s="11"/>
      <c r="T285" s="3"/>
      <c r="U285" s="18"/>
      <c r="V285"/>
      <c r="W285" s="3"/>
      <c r="X285" s="30"/>
      <c r="Y285" s="3"/>
      <c r="Z285" s="18"/>
    </row>
    <row r="286" spans="1:26" ht="15">
      <c r="A286" s="16"/>
      <c r="B286" s="16"/>
      <c r="C286" s="26"/>
      <c r="D286"/>
      <c r="I286"/>
      <c r="J286" s="2"/>
      <c r="L286"/>
      <c r="M286"/>
      <c r="O286"/>
      <c r="Q286"/>
      <c r="R286"/>
      <c r="S286" s="11"/>
      <c r="T286" s="3"/>
      <c r="U286" s="18"/>
      <c r="V286"/>
      <c r="W286" s="3"/>
      <c r="X286" s="30"/>
      <c r="Y286" s="3"/>
      <c r="Z286" s="18"/>
    </row>
    <row r="287" spans="1:26" ht="15">
      <c r="A287" s="16"/>
      <c r="B287" s="16"/>
      <c r="C287" s="26"/>
      <c r="D287"/>
      <c r="I287"/>
      <c r="J287" s="2"/>
      <c r="L287"/>
      <c r="M287"/>
      <c r="O287"/>
      <c r="Q287"/>
      <c r="R287"/>
      <c r="S287" s="11"/>
      <c r="T287" s="3"/>
      <c r="U287" s="18"/>
      <c r="V287"/>
      <c r="W287" s="3"/>
      <c r="X287" s="30"/>
      <c r="Y287" s="3"/>
      <c r="Z287" s="18"/>
    </row>
    <row r="288" spans="1:26" ht="15">
      <c r="A288" s="16"/>
      <c r="B288" s="16"/>
      <c r="C288" s="26"/>
      <c r="D288"/>
      <c r="I288"/>
      <c r="J288" s="2"/>
      <c r="L288"/>
      <c r="M288"/>
      <c r="O288"/>
      <c r="Q288"/>
      <c r="R288"/>
      <c r="S288" s="11"/>
      <c r="T288" s="3"/>
      <c r="U288" s="18"/>
      <c r="V288"/>
      <c r="W288" s="3"/>
      <c r="X288" s="30"/>
      <c r="Y288" s="3"/>
      <c r="Z288" s="18"/>
    </row>
    <row r="289" spans="1:26" ht="15">
      <c r="A289" s="16"/>
      <c r="B289" s="16"/>
      <c r="C289" s="26"/>
      <c r="D289"/>
      <c r="I289"/>
      <c r="J289" s="2"/>
      <c r="L289"/>
      <c r="M289"/>
      <c r="O289"/>
      <c r="Q289"/>
      <c r="R289"/>
      <c r="S289" s="11"/>
      <c r="T289" s="3"/>
      <c r="U289" s="18"/>
      <c r="V289"/>
      <c r="W289" s="3"/>
      <c r="X289" s="30"/>
      <c r="Y289" s="3"/>
      <c r="Z289" s="18"/>
    </row>
    <row r="290" spans="1:26" ht="15">
      <c r="A290" s="16"/>
      <c r="B290" s="16"/>
      <c r="C290" s="26"/>
      <c r="D290"/>
      <c r="I290"/>
      <c r="J290" s="2"/>
      <c r="L290"/>
      <c r="M290"/>
      <c r="O290"/>
      <c r="Q290"/>
      <c r="R290"/>
      <c r="S290" s="11"/>
      <c r="T290" s="3"/>
      <c r="U290" s="18"/>
      <c r="V290"/>
      <c r="W290" s="3"/>
      <c r="X290" s="30"/>
      <c r="Y290" s="3"/>
      <c r="Z290" s="18"/>
    </row>
    <row r="291" spans="1:26" ht="15">
      <c r="A291" s="16"/>
      <c r="B291" s="16"/>
      <c r="C291" s="26"/>
      <c r="D291"/>
      <c r="I291"/>
      <c r="J291" s="2"/>
      <c r="L291"/>
      <c r="M291"/>
      <c r="O291"/>
      <c r="Q291"/>
      <c r="R291"/>
      <c r="S291" s="11"/>
      <c r="T291" s="3"/>
      <c r="U291" s="18"/>
      <c r="V291"/>
      <c r="W291" s="3"/>
      <c r="X291" s="30"/>
      <c r="Y291" s="3"/>
      <c r="Z291" s="18"/>
    </row>
    <row r="292" spans="1:26" ht="15">
      <c r="A292" s="16"/>
      <c r="B292" s="16"/>
      <c r="C292" s="26"/>
      <c r="D292"/>
      <c r="I292"/>
      <c r="J292" s="2"/>
      <c r="L292"/>
      <c r="M292"/>
      <c r="O292"/>
      <c r="Q292"/>
      <c r="R292"/>
      <c r="S292" s="11"/>
      <c r="T292" s="3"/>
      <c r="U292" s="18"/>
      <c r="V292"/>
      <c r="W292" s="3"/>
      <c r="X292" s="30"/>
      <c r="Y292" s="3"/>
      <c r="Z292" s="18"/>
    </row>
    <row r="293" spans="1:26" ht="15">
      <c r="A293" s="16"/>
      <c r="B293" s="16"/>
      <c r="C293" s="26"/>
      <c r="D293"/>
      <c r="I293"/>
      <c r="J293" s="2"/>
      <c r="L293"/>
      <c r="M293"/>
      <c r="O293"/>
      <c r="Q293"/>
      <c r="R293"/>
      <c r="S293" s="11"/>
      <c r="T293" s="3"/>
      <c r="U293" s="18"/>
      <c r="V293"/>
      <c r="W293" s="3"/>
      <c r="X293" s="30"/>
      <c r="Y293" s="3"/>
      <c r="Z293" s="18"/>
    </row>
    <row r="294" spans="1:26" ht="15">
      <c r="A294" s="16"/>
      <c r="B294" s="16"/>
      <c r="C294" s="26"/>
      <c r="D294"/>
      <c r="I294"/>
      <c r="J294" s="2"/>
      <c r="L294"/>
      <c r="M294"/>
      <c r="O294"/>
      <c r="Q294"/>
      <c r="R294"/>
      <c r="S294" s="11"/>
      <c r="T294" s="3"/>
      <c r="U294" s="18"/>
      <c r="V294"/>
      <c r="W294" s="3"/>
      <c r="X294" s="30"/>
      <c r="Y294" s="3"/>
      <c r="Z294" s="18"/>
    </row>
    <row r="295" spans="1:26" ht="15">
      <c r="A295" s="16"/>
      <c r="B295" s="16"/>
      <c r="C295" s="26"/>
      <c r="D295"/>
      <c r="I295"/>
      <c r="J295" s="2"/>
      <c r="L295"/>
      <c r="M295"/>
      <c r="O295"/>
      <c r="Q295"/>
      <c r="R295"/>
      <c r="S295" s="11"/>
      <c r="T295" s="3"/>
      <c r="U295" s="18"/>
      <c r="V295"/>
      <c r="W295" s="3"/>
      <c r="X295" s="30"/>
      <c r="Y295" s="3"/>
      <c r="Z295" s="18"/>
    </row>
    <row r="296" spans="1:26" ht="15">
      <c r="A296" s="16"/>
      <c r="B296" s="16"/>
      <c r="C296" s="26"/>
      <c r="D296"/>
      <c r="I296"/>
      <c r="J296" s="2"/>
      <c r="L296"/>
      <c r="M296"/>
      <c r="O296"/>
      <c r="Q296"/>
      <c r="R296"/>
      <c r="S296" s="11"/>
      <c r="T296" s="3"/>
      <c r="U296" s="18"/>
      <c r="V296"/>
      <c r="W296" s="3"/>
      <c r="X296" s="30"/>
      <c r="Y296" s="3"/>
      <c r="Z296" s="18"/>
    </row>
    <row r="297" spans="1:26" ht="15">
      <c r="A297" s="16"/>
      <c r="B297" s="16"/>
      <c r="C297" s="26"/>
      <c r="D297"/>
      <c r="I297"/>
      <c r="J297" s="2"/>
      <c r="L297"/>
      <c r="M297"/>
      <c r="O297"/>
      <c r="Q297"/>
      <c r="R297"/>
      <c r="S297" s="11"/>
      <c r="T297" s="3"/>
      <c r="U297" s="18"/>
      <c r="V297"/>
      <c r="W297" s="3"/>
      <c r="X297" s="30"/>
      <c r="Y297" s="3"/>
      <c r="Z297" s="18"/>
    </row>
    <row r="298" spans="1:26" ht="15">
      <c r="A298" s="16"/>
      <c r="B298" s="16"/>
      <c r="C298" s="26"/>
      <c r="D298"/>
      <c r="I298"/>
      <c r="J298" s="2"/>
      <c r="L298"/>
      <c r="M298"/>
      <c r="O298"/>
      <c r="Q298"/>
      <c r="R298"/>
      <c r="S298" s="11"/>
      <c r="T298" s="3"/>
      <c r="U298" s="18"/>
      <c r="V298"/>
      <c r="W298" s="3"/>
      <c r="X298" s="30"/>
      <c r="Y298" s="3"/>
      <c r="Z298" s="18"/>
    </row>
    <row r="299" spans="1:26" ht="15">
      <c r="A299" s="16"/>
      <c r="B299" s="16"/>
      <c r="C299" s="26"/>
      <c r="D299"/>
      <c r="I299"/>
      <c r="J299" s="2"/>
      <c r="L299"/>
      <c r="M299"/>
      <c r="O299"/>
      <c r="Q299"/>
      <c r="R299"/>
      <c r="S299" s="11"/>
      <c r="T299" s="3"/>
      <c r="U299" s="18"/>
      <c r="V299"/>
      <c r="W299" s="3"/>
      <c r="X299" s="30"/>
      <c r="Y299" s="3"/>
      <c r="Z299" s="18"/>
    </row>
    <row r="300" spans="1:26" ht="15">
      <c r="A300" s="16"/>
      <c r="B300" s="16"/>
      <c r="C300" s="26"/>
      <c r="D300"/>
      <c r="I300"/>
      <c r="J300" s="2"/>
      <c r="L300"/>
      <c r="M300"/>
      <c r="O300"/>
      <c r="Q300"/>
      <c r="R300"/>
      <c r="S300" s="11"/>
      <c r="T300" s="3"/>
      <c r="U300" s="18"/>
      <c r="V300"/>
      <c r="W300" s="3"/>
      <c r="X300" s="30"/>
      <c r="Y300" s="3"/>
      <c r="Z300" s="18"/>
    </row>
    <row r="301" spans="1:26" ht="15">
      <c r="A301" s="16"/>
      <c r="B301" s="16"/>
      <c r="C301" s="26"/>
      <c r="D301"/>
      <c r="I301"/>
      <c r="J301" s="2"/>
      <c r="L301"/>
      <c r="M301"/>
      <c r="O301"/>
      <c r="Q301"/>
      <c r="R301"/>
      <c r="S301" s="11"/>
      <c r="T301" s="3"/>
      <c r="U301" s="18"/>
      <c r="V301"/>
      <c r="W301" s="3"/>
      <c r="X301" s="30"/>
      <c r="Y301" s="3"/>
      <c r="Z301" s="18"/>
    </row>
    <row r="302" spans="1:26" ht="15">
      <c r="A302" s="16"/>
      <c r="B302" s="16"/>
      <c r="C302" s="26"/>
      <c r="D302"/>
      <c r="I302"/>
      <c r="J302" s="2"/>
      <c r="L302"/>
      <c r="M302"/>
      <c r="O302"/>
      <c r="Q302"/>
      <c r="R302"/>
      <c r="S302" s="11"/>
      <c r="T302" s="3"/>
      <c r="U302" s="18"/>
      <c r="V302"/>
      <c r="W302" s="3"/>
      <c r="X302" s="30"/>
      <c r="Y302" s="3"/>
      <c r="Z302" s="18"/>
    </row>
    <row r="303" spans="1:26" ht="15">
      <c r="A303" s="16"/>
      <c r="B303" s="16"/>
      <c r="C303" s="26"/>
      <c r="D303"/>
      <c r="I303"/>
      <c r="J303" s="2"/>
      <c r="L303"/>
      <c r="M303"/>
      <c r="O303"/>
      <c r="Q303"/>
      <c r="R303"/>
      <c r="S303" s="11"/>
      <c r="T303" s="3"/>
      <c r="U303" s="18"/>
      <c r="V303"/>
      <c r="W303" s="3"/>
      <c r="X303" s="30"/>
      <c r="Y303" s="3"/>
      <c r="Z303" s="18"/>
    </row>
    <row r="304" spans="1:26" ht="15">
      <c r="A304" s="16"/>
      <c r="B304" s="16"/>
      <c r="C304" s="26"/>
      <c r="D304"/>
      <c r="I304"/>
      <c r="J304" s="2"/>
      <c r="L304"/>
      <c r="M304"/>
      <c r="O304"/>
      <c r="Q304"/>
      <c r="R304"/>
      <c r="S304" s="11"/>
      <c r="T304" s="3"/>
      <c r="U304" s="18"/>
      <c r="V304"/>
      <c r="W304" s="3"/>
      <c r="X304" s="30"/>
      <c r="Y304" s="3"/>
      <c r="Z304" s="18"/>
    </row>
    <row r="305" spans="1:26" ht="15">
      <c r="A305" s="16"/>
      <c r="B305" s="16"/>
      <c r="C305" s="26"/>
      <c r="D305"/>
      <c r="I305"/>
      <c r="J305" s="2"/>
      <c r="L305"/>
      <c r="M305"/>
      <c r="O305"/>
      <c r="Q305"/>
      <c r="R305"/>
      <c r="S305" s="11"/>
      <c r="T305" s="3"/>
      <c r="U305" s="18"/>
      <c r="V305"/>
      <c r="W305" s="3"/>
      <c r="X305" s="30"/>
      <c r="Y305" s="3"/>
      <c r="Z305" s="18"/>
    </row>
    <row r="306" spans="1:26" ht="15">
      <c r="A306" s="16"/>
      <c r="B306" s="16"/>
      <c r="C306" s="26"/>
      <c r="D306"/>
      <c r="I306"/>
      <c r="J306" s="2"/>
      <c r="L306"/>
      <c r="M306"/>
      <c r="O306"/>
      <c r="Q306"/>
      <c r="R306"/>
      <c r="S306" s="11"/>
      <c r="T306" s="3"/>
      <c r="U306" s="18"/>
      <c r="V306"/>
      <c r="W306" s="3"/>
      <c r="X306" s="30"/>
      <c r="Y306" s="3"/>
      <c r="Z306" s="18"/>
    </row>
    <row r="307" spans="1:26" ht="15">
      <c r="A307" s="16"/>
      <c r="B307" s="16"/>
      <c r="C307" s="26"/>
      <c r="D307"/>
      <c r="I307"/>
      <c r="J307" s="2"/>
      <c r="L307"/>
      <c r="M307"/>
      <c r="O307"/>
      <c r="Q307"/>
      <c r="R307"/>
      <c r="S307" s="11"/>
      <c r="T307" s="3"/>
      <c r="U307" s="18"/>
      <c r="V307"/>
      <c r="W307" s="3"/>
      <c r="X307" s="30"/>
      <c r="Y307" s="3"/>
      <c r="Z307" s="18"/>
    </row>
    <row r="308" spans="1:26" ht="15">
      <c r="A308" s="16"/>
      <c r="B308" s="16"/>
      <c r="C308" s="26"/>
      <c r="D308"/>
      <c r="I308"/>
      <c r="J308" s="2"/>
      <c r="L308"/>
      <c r="M308"/>
      <c r="O308"/>
      <c r="Q308"/>
      <c r="R308"/>
      <c r="S308" s="11"/>
      <c r="T308" s="3"/>
      <c r="U308" s="18"/>
      <c r="V308"/>
      <c r="W308" s="3"/>
      <c r="X308" s="30"/>
      <c r="Y308" s="3"/>
      <c r="Z308" s="18"/>
    </row>
    <row r="309" spans="1:26" ht="15">
      <c r="A309" s="16"/>
      <c r="B309" s="16"/>
      <c r="C309" s="26"/>
      <c r="D309"/>
      <c r="I309"/>
      <c r="J309" s="2"/>
      <c r="L309"/>
      <c r="M309"/>
      <c r="O309"/>
      <c r="Q309"/>
      <c r="R309"/>
      <c r="S309" s="11"/>
      <c r="T309" s="3"/>
      <c r="U309" s="18"/>
      <c r="V309"/>
      <c r="W309" s="3"/>
      <c r="X309" s="30"/>
      <c r="Y309" s="3"/>
      <c r="Z309" s="18"/>
    </row>
    <row r="310" spans="1:26" ht="15">
      <c r="A310" s="16"/>
      <c r="B310" s="16"/>
      <c r="C310" s="26"/>
      <c r="D310"/>
      <c r="I310"/>
      <c r="J310" s="2"/>
      <c r="L310"/>
      <c r="M310"/>
      <c r="O310"/>
      <c r="Q310"/>
      <c r="R310"/>
      <c r="S310" s="11"/>
      <c r="T310" s="3"/>
      <c r="U310" s="18"/>
      <c r="V310"/>
      <c r="W310" s="3"/>
      <c r="X310" s="30"/>
      <c r="Y310" s="3"/>
      <c r="Z310" s="18"/>
    </row>
    <row r="311" spans="1:26" ht="15">
      <c r="A311" s="16"/>
      <c r="B311" s="16"/>
      <c r="C311" s="26"/>
      <c r="D311"/>
      <c r="I311"/>
      <c r="J311" s="2"/>
      <c r="L311"/>
      <c r="M311"/>
      <c r="O311"/>
      <c r="Q311"/>
      <c r="R311"/>
      <c r="S311" s="11"/>
      <c r="T311" s="3"/>
      <c r="U311" s="18"/>
      <c r="V311"/>
      <c r="W311" s="3"/>
      <c r="X311" s="30"/>
      <c r="Y311" s="3"/>
      <c r="Z311" s="18"/>
    </row>
    <row r="312" spans="1:26" ht="15">
      <c r="A312" s="16"/>
      <c r="B312" s="16"/>
      <c r="C312" s="26"/>
      <c r="D312"/>
      <c r="I312"/>
      <c r="J312" s="2"/>
      <c r="L312"/>
      <c r="M312"/>
      <c r="O312"/>
      <c r="Q312"/>
      <c r="R312"/>
      <c r="S312" s="11"/>
      <c r="T312" s="3"/>
      <c r="U312" s="18"/>
      <c r="V312"/>
      <c r="W312" s="3"/>
      <c r="X312" s="30"/>
      <c r="Y312" s="3"/>
      <c r="Z312" s="18"/>
    </row>
    <row r="313" spans="1:26" ht="15">
      <c r="A313" s="16"/>
      <c r="B313" s="16"/>
      <c r="C313" s="26"/>
      <c r="D313"/>
      <c r="I313"/>
      <c r="J313" s="2"/>
      <c r="L313"/>
      <c r="M313"/>
      <c r="O313"/>
      <c r="Q313"/>
      <c r="R313"/>
      <c r="S313" s="11"/>
      <c r="T313" s="3"/>
      <c r="U313" s="18"/>
      <c r="V313"/>
      <c r="W313" s="3"/>
      <c r="X313" s="30"/>
      <c r="Y313" s="3"/>
      <c r="Z313" s="18"/>
    </row>
    <row r="314" spans="1:26" ht="15">
      <c r="A314" s="16"/>
      <c r="B314" s="16"/>
      <c r="C314" s="26"/>
      <c r="D314"/>
      <c r="I314"/>
      <c r="J314" s="2"/>
      <c r="L314"/>
      <c r="M314"/>
      <c r="O314"/>
      <c r="Q314"/>
      <c r="R314"/>
      <c r="S314" s="11"/>
      <c r="T314" s="3"/>
      <c r="U314" s="18"/>
      <c r="V314"/>
      <c r="W314" s="3"/>
      <c r="X314" s="30"/>
      <c r="Y314" s="3"/>
      <c r="Z314" s="18"/>
    </row>
    <row r="315" spans="1:26" ht="15">
      <c r="A315" s="16"/>
      <c r="B315" s="16"/>
      <c r="C315" s="26"/>
      <c r="D315"/>
      <c r="I315"/>
      <c r="J315" s="2"/>
      <c r="L315"/>
      <c r="M315"/>
      <c r="O315"/>
      <c r="Q315"/>
      <c r="R315"/>
      <c r="S315" s="11"/>
      <c r="T315" s="3"/>
      <c r="U315" s="18"/>
      <c r="V315"/>
      <c r="W315" s="3"/>
      <c r="X315" s="30"/>
      <c r="Y315" s="3"/>
      <c r="Z315" s="18"/>
    </row>
    <row r="316" spans="1:26" ht="15">
      <c r="A316" s="16"/>
      <c r="B316" s="16"/>
      <c r="C316" s="26"/>
      <c r="D316"/>
      <c r="I316"/>
      <c r="J316" s="2"/>
      <c r="L316"/>
      <c r="M316"/>
      <c r="O316"/>
      <c r="Q316"/>
      <c r="R316"/>
      <c r="S316" s="11"/>
      <c r="T316" s="3"/>
      <c r="U316" s="18"/>
      <c r="V316"/>
      <c r="W316" s="3"/>
      <c r="X316" s="30"/>
      <c r="Y316" s="3"/>
      <c r="Z316" s="18"/>
    </row>
    <row r="317" spans="1:26" ht="15">
      <c r="A317" s="16"/>
      <c r="B317" s="16"/>
      <c r="C317" s="26"/>
      <c r="D317"/>
      <c r="I317"/>
      <c r="J317" s="2"/>
      <c r="L317"/>
      <c r="M317"/>
      <c r="O317"/>
      <c r="Q317"/>
      <c r="R317"/>
      <c r="S317" s="11"/>
      <c r="T317" s="3"/>
      <c r="U317" s="18"/>
      <c r="V317"/>
      <c r="W317" s="3"/>
      <c r="X317" s="30"/>
      <c r="Y317" s="3"/>
      <c r="Z317" s="18"/>
    </row>
    <row r="318" spans="1:26" ht="15">
      <c r="A318" s="16"/>
      <c r="B318" s="16"/>
      <c r="C318" s="26"/>
      <c r="D318"/>
      <c r="I318"/>
      <c r="J318" s="2"/>
      <c r="L318"/>
      <c r="M318"/>
      <c r="O318"/>
      <c r="Q318"/>
      <c r="R318"/>
      <c r="S318" s="11"/>
      <c r="T318" s="3"/>
      <c r="U318" s="18"/>
      <c r="V318"/>
      <c r="W318" s="3"/>
      <c r="X318" s="30"/>
      <c r="Y318" s="3"/>
      <c r="Z318" s="18"/>
    </row>
    <row r="319" spans="1:26" ht="15">
      <c r="A319" s="16"/>
      <c r="B319" s="16"/>
      <c r="C319" s="26"/>
      <c r="D319"/>
      <c r="I319"/>
      <c r="J319" s="2"/>
      <c r="L319"/>
      <c r="M319"/>
      <c r="O319"/>
      <c r="Q319"/>
      <c r="R319"/>
      <c r="S319" s="11"/>
      <c r="T319" s="3"/>
      <c r="U319" s="18"/>
      <c r="V319"/>
      <c r="W319" s="3"/>
      <c r="X319" s="30"/>
      <c r="Y319" s="3"/>
      <c r="Z319" s="18"/>
    </row>
    <row r="320" spans="1:26" ht="15">
      <c r="A320" s="16"/>
      <c r="B320" s="16"/>
      <c r="C320" s="26"/>
      <c r="D320"/>
      <c r="I320"/>
      <c r="J320" s="2"/>
      <c r="L320"/>
      <c r="M320"/>
      <c r="O320"/>
      <c r="Q320"/>
      <c r="R320"/>
      <c r="S320" s="11"/>
      <c r="T320" s="3"/>
      <c r="U320" s="18"/>
      <c r="V320"/>
      <c r="W320" s="3"/>
      <c r="X320" s="30"/>
      <c r="Y320" s="3"/>
      <c r="Z320" s="18"/>
    </row>
    <row r="321" spans="1:26" ht="15">
      <c r="A321" s="16"/>
      <c r="B321" s="16"/>
      <c r="C321" s="26"/>
      <c r="D321"/>
      <c r="I321"/>
      <c r="J321" s="2"/>
      <c r="L321"/>
      <c r="M321"/>
      <c r="O321"/>
      <c r="Q321"/>
      <c r="R321"/>
      <c r="S321" s="11"/>
      <c r="T321" s="3"/>
      <c r="U321" s="18"/>
      <c r="V321"/>
      <c r="W321" s="3"/>
      <c r="X321" s="30"/>
      <c r="Y321" s="3"/>
      <c r="Z321" s="18"/>
    </row>
    <row r="322" spans="1:26" ht="15">
      <c r="A322" s="16"/>
      <c r="B322" s="16"/>
      <c r="C322" s="26"/>
      <c r="D322"/>
      <c r="I322"/>
      <c r="J322" s="2"/>
      <c r="L322"/>
      <c r="M322"/>
      <c r="O322"/>
      <c r="Q322"/>
      <c r="R322"/>
      <c r="S322" s="11"/>
      <c r="T322" s="3"/>
      <c r="U322" s="18"/>
      <c r="V322"/>
      <c r="W322" s="3"/>
      <c r="X322" s="30"/>
      <c r="Y322" s="3"/>
      <c r="Z322" s="18"/>
    </row>
    <row r="323" spans="1:26" ht="15">
      <c r="A323" s="16"/>
      <c r="B323" s="16"/>
      <c r="C323" s="26"/>
      <c r="D323"/>
      <c r="I323"/>
      <c r="J323" s="2"/>
      <c r="L323"/>
      <c r="M323"/>
      <c r="O323"/>
      <c r="Q323"/>
      <c r="R323"/>
      <c r="S323" s="11"/>
      <c r="T323" s="3"/>
      <c r="U323" s="18"/>
      <c r="V323"/>
      <c r="W323" s="3"/>
      <c r="X323" s="30"/>
      <c r="Y323" s="3"/>
      <c r="Z323" s="18"/>
    </row>
    <row r="324" spans="1:26" ht="15">
      <c r="A324" s="16"/>
      <c r="B324" s="16"/>
      <c r="C324" s="26"/>
      <c r="D324"/>
      <c r="I324"/>
      <c r="J324" s="2"/>
      <c r="L324"/>
      <c r="M324"/>
      <c r="O324"/>
      <c r="Q324"/>
      <c r="R324"/>
      <c r="S324" s="11"/>
      <c r="T324" s="3"/>
      <c r="U324" s="18"/>
      <c r="V324"/>
      <c r="W324" s="3"/>
      <c r="X324" s="30"/>
      <c r="Y324" s="3"/>
      <c r="Z324" s="18"/>
    </row>
    <row r="325" spans="1:26" ht="15">
      <c r="A325" s="16"/>
      <c r="B325" s="16"/>
      <c r="C325" s="26"/>
      <c r="D325"/>
      <c r="I325"/>
      <c r="J325" s="2"/>
      <c r="L325"/>
      <c r="M325"/>
      <c r="O325"/>
      <c r="Q325"/>
      <c r="R325"/>
      <c r="S325" s="11"/>
      <c r="T325" s="3"/>
      <c r="U325" s="18"/>
      <c r="V325"/>
      <c r="W325" s="3"/>
      <c r="X325" s="30"/>
      <c r="Y325" s="3"/>
      <c r="Z325" s="18"/>
    </row>
    <row r="326" spans="1:26" ht="15">
      <c r="A326" s="16"/>
      <c r="B326" s="16"/>
      <c r="C326" s="26"/>
      <c r="D326"/>
      <c r="I326"/>
      <c r="J326" s="2"/>
      <c r="L326"/>
      <c r="M326"/>
      <c r="O326"/>
      <c r="Q326"/>
      <c r="R326"/>
      <c r="S326" s="11"/>
      <c r="T326" s="3"/>
      <c r="U326" s="18"/>
      <c r="V326"/>
      <c r="W326" s="3"/>
      <c r="X326" s="30"/>
      <c r="Y326" s="3"/>
      <c r="Z326" s="18"/>
    </row>
    <row r="327" spans="1:26" ht="15">
      <c r="A327" s="16"/>
      <c r="B327" s="16"/>
      <c r="C327" s="26"/>
      <c r="D327"/>
      <c r="I327"/>
      <c r="J327" s="2"/>
      <c r="L327"/>
      <c r="M327"/>
      <c r="O327"/>
      <c r="Q327"/>
      <c r="R327"/>
      <c r="S327" s="11"/>
      <c r="T327" s="3"/>
      <c r="U327" s="18"/>
      <c r="V327"/>
      <c r="W327" s="3"/>
      <c r="X327" s="30"/>
      <c r="Y327" s="3"/>
      <c r="Z327" s="18"/>
    </row>
    <row r="328" spans="1:26" ht="15">
      <c r="A328" s="16"/>
      <c r="B328" s="16"/>
      <c r="C328" s="26"/>
      <c r="D328"/>
      <c r="I328"/>
      <c r="J328" s="2"/>
      <c r="L328"/>
      <c r="M328"/>
      <c r="O328"/>
      <c r="Q328"/>
      <c r="R328"/>
      <c r="S328" s="11"/>
      <c r="T328" s="3"/>
      <c r="U328" s="18"/>
      <c r="V328"/>
      <c r="W328" s="3"/>
      <c r="X328" s="30"/>
      <c r="Y328" s="3"/>
      <c r="Z328" s="18"/>
    </row>
    <row r="329" spans="1:26" ht="15">
      <c r="A329" s="16"/>
      <c r="B329" s="16"/>
      <c r="C329" s="26"/>
      <c r="D329"/>
      <c r="I329"/>
      <c r="J329" s="2"/>
      <c r="L329"/>
      <c r="M329"/>
      <c r="O329"/>
      <c r="Q329"/>
      <c r="R329"/>
      <c r="S329" s="11"/>
      <c r="T329" s="3"/>
      <c r="U329" s="18"/>
      <c r="V329"/>
      <c r="W329" s="3"/>
      <c r="X329" s="30"/>
      <c r="Y329" s="3"/>
      <c r="Z329" s="18"/>
    </row>
    <row r="330" spans="1:26" ht="15">
      <c r="A330" s="16"/>
      <c r="B330" s="16"/>
      <c r="C330" s="26"/>
      <c r="D330"/>
      <c r="I330"/>
      <c r="J330" s="2"/>
      <c r="L330"/>
      <c r="M330"/>
      <c r="O330"/>
      <c r="Q330"/>
      <c r="R330"/>
      <c r="S330" s="11"/>
      <c r="T330" s="3"/>
      <c r="U330" s="18"/>
      <c r="V330"/>
      <c r="W330" s="3"/>
      <c r="X330" s="30"/>
      <c r="Y330" s="3"/>
      <c r="Z330" s="18"/>
    </row>
    <row r="331" spans="1:26" ht="15">
      <c r="A331" s="16"/>
      <c r="B331" s="16"/>
      <c r="C331" s="26"/>
      <c r="D331"/>
      <c r="I331"/>
      <c r="J331" s="2"/>
      <c r="L331"/>
      <c r="M331"/>
      <c r="O331"/>
      <c r="Q331"/>
      <c r="R331"/>
      <c r="S331" s="11"/>
      <c r="T331" s="3"/>
      <c r="U331" s="18"/>
      <c r="V331"/>
      <c r="W331" s="3"/>
      <c r="X331" s="30"/>
      <c r="Y331" s="3"/>
      <c r="Z331" s="18"/>
    </row>
    <row r="332" spans="1:26" ht="15">
      <c r="A332" s="16"/>
      <c r="B332" s="16"/>
      <c r="C332" s="26"/>
      <c r="D332"/>
      <c r="I332"/>
      <c r="J332" s="2"/>
      <c r="L332"/>
      <c r="M332"/>
      <c r="O332"/>
      <c r="Q332"/>
      <c r="R332"/>
      <c r="S332" s="11"/>
      <c r="T332" s="3"/>
      <c r="U332" s="18"/>
      <c r="V332"/>
      <c r="W332" s="3"/>
      <c r="X332" s="30"/>
      <c r="Y332" s="3"/>
      <c r="Z332" s="18"/>
    </row>
    <row r="333" spans="1:26" ht="15">
      <c r="A333" s="16"/>
      <c r="B333" s="16"/>
      <c r="C333" s="26"/>
      <c r="D333"/>
      <c r="I333"/>
      <c r="J333" s="2"/>
      <c r="L333"/>
      <c r="M333"/>
      <c r="O333"/>
      <c r="Q333"/>
      <c r="R333"/>
      <c r="S333" s="11"/>
      <c r="T333" s="3"/>
      <c r="U333" s="18"/>
      <c r="V333"/>
      <c r="W333" s="3"/>
      <c r="X333" s="30"/>
      <c r="Y333" s="3"/>
      <c r="Z333" s="18"/>
    </row>
    <row r="334" spans="1:26" ht="15">
      <c r="A334" s="16"/>
      <c r="B334" s="16"/>
      <c r="C334" s="26"/>
      <c r="D334"/>
      <c r="I334"/>
      <c r="J334" s="2"/>
      <c r="L334"/>
      <c r="M334"/>
      <c r="O334"/>
      <c r="Q334"/>
      <c r="R334"/>
      <c r="S334" s="11"/>
      <c r="T334" s="3"/>
      <c r="U334" s="18"/>
      <c r="V334"/>
      <c r="W334" s="3"/>
      <c r="X334" s="30"/>
      <c r="Y334" s="3"/>
      <c r="Z334" s="18"/>
    </row>
    <row r="335" spans="1:26" ht="15">
      <c r="A335" s="16"/>
      <c r="B335" s="16"/>
      <c r="C335" s="26"/>
      <c r="D335"/>
      <c r="I335"/>
      <c r="J335" s="2"/>
      <c r="L335"/>
      <c r="M335"/>
      <c r="O335"/>
      <c r="Q335"/>
      <c r="R335"/>
      <c r="S335" s="11"/>
      <c r="T335" s="3"/>
      <c r="U335" s="18"/>
      <c r="V335"/>
      <c r="W335" s="3"/>
      <c r="X335" s="30"/>
      <c r="Y335" s="3"/>
      <c r="Z335" s="18"/>
    </row>
    <row r="336" spans="1:26" ht="15">
      <c r="A336" s="16"/>
      <c r="B336" s="16"/>
      <c r="C336" s="26"/>
      <c r="D336"/>
      <c r="I336"/>
      <c r="J336" s="2"/>
      <c r="L336"/>
      <c r="M336"/>
      <c r="O336"/>
      <c r="Q336"/>
      <c r="R336"/>
      <c r="S336" s="11"/>
      <c r="T336" s="3"/>
      <c r="U336" s="18"/>
      <c r="V336"/>
      <c r="W336" s="3"/>
      <c r="X336" s="30"/>
      <c r="Y336" s="3"/>
      <c r="Z336" s="18"/>
    </row>
    <row r="337" spans="1:26" ht="15">
      <c r="A337" s="16"/>
      <c r="B337" s="16"/>
      <c r="C337" s="26"/>
      <c r="D337"/>
      <c r="I337"/>
      <c r="J337" s="2"/>
      <c r="L337"/>
      <c r="M337"/>
      <c r="O337"/>
      <c r="Q337"/>
      <c r="R337"/>
      <c r="S337" s="11"/>
      <c r="T337" s="3"/>
      <c r="U337" s="18"/>
      <c r="V337"/>
      <c r="W337" s="3"/>
      <c r="X337" s="30"/>
      <c r="Y337" s="3"/>
      <c r="Z337" s="18"/>
    </row>
    <row r="338" spans="1:26" ht="15">
      <c r="A338" s="16"/>
      <c r="B338" s="16"/>
      <c r="C338" s="26"/>
      <c r="D338"/>
      <c r="I338"/>
      <c r="J338" s="2"/>
      <c r="L338"/>
      <c r="M338"/>
      <c r="O338"/>
      <c r="Q338"/>
      <c r="R338"/>
      <c r="S338" s="11"/>
      <c r="T338" s="3"/>
      <c r="U338" s="18"/>
      <c r="V338"/>
      <c r="W338" s="3"/>
      <c r="X338" s="30"/>
      <c r="Y338" s="3"/>
      <c r="Z338" s="18"/>
    </row>
    <row r="339" spans="1:26" ht="15">
      <c r="A339" s="16"/>
      <c r="B339" s="16"/>
      <c r="C339" s="26"/>
      <c r="D339"/>
      <c r="I339"/>
      <c r="J339" s="2"/>
      <c r="L339"/>
      <c r="M339"/>
      <c r="O339"/>
      <c r="Q339"/>
      <c r="R339"/>
      <c r="S339" s="11"/>
      <c r="T339" s="3"/>
      <c r="U339" s="18"/>
      <c r="V339"/>
      <c r="W339" s="3"/>
      <c r="X339" s="30"/>
      <c r="Y339" s="3"/>
      <c r="Z339" s="18"/>
    </row>
    <row r="340" spans="1:26" ht="15">
      <c r="A340" s="16"/>
      <c r="B340" s="16"/>
      <c r="C340" s="26"/>
      <c r="D340"/>
      <c r="I340"/>
      <c r="J340" s="2"/>
      <c r="L340"/>
      <c r="M340"/>
      <c r="O340"/>
      <c r="Q340"/>
      <c r="R340"/>
      <c r="S340" s="11"/>
      <c r="T340" s="3"/>
      <c r="U340" s="18"/>
      <c r="V340"/>
      <c r="W340" s="3"/>
      <c r="X340" s="30"/>
      <c r="Y340" s="3"/>
      <c r="Z340" s="18"/>
    </row>
    <row r="341" spans="1:26" ht="15">
      <c r="A341" s="16"/>
      <c r="B341" s="16"/>
      <c r="C341" s="26"/>
      <c r="D341"/>
      <c r="I341"/>
      <c r="J341" s="2"/>
      <c r="L341"/>
      <c r="M341"/>
      <c r="O341"/>
      <c r="Q341"/>
      <c r="R341"/>
      <c r="S341" s="11"/>
      <c r="T341" s="3"/>
      <c r="U341" s="18"/>
      <c r="V341"/>
      <c r="W341" s="3"/>
      <c r="X341" s="30"/>
      <c r="Y341" s="3"/>
      <c r="Z341" s="18"/>
    </row>
    <row r="342" spans="1:26" ht="15">
      <c r="A342" s="16"/>
      <c r="B342" s="16"/>
      <c r="C342" s="26"/>
      <c r="D342"/>
      <c r="I342"/>
      <c r="J342" s="2"/>
      <c r="L342"/>
      <c r="M342"/>
      <c r="O342"/>
      <c r="Q342"/>
      <c r="R342"/>
      <c r="S342" s="11"/>
      <c r="T342" s="3"/>
      <c r="U342" s="18"/>
      <c r="V342"/>
      <c r="W342" s="3"/>
      <c r="X342" s="30"/>
      <c r="Y342" s="3"/>
      <c r="Z342" s="18"/>
    </row>
    <row r="343" spans="1:26" ht="15">
      <c r="A343" s="16"/>
      <c r="B343" s="16"/>
      <c r="C343" s="26"/>
      <c r="D343"/>
      <c r="I343"/>
      <c r="J343" s="2"/>
      <c r="L343"/>
      <c r="M343"/>
      <c r="O343"/>
      <c r="Q343"/>
      <c r="R343"/>
      <c r="S343" s="11"/>
      <c r="T343" s="3"/>
      <c r="U343" s="18"/>
      <c r="V343"/>
      <c r="W343" s="3"/>
      <c r="X343" s="30"/>
      <c r="Y343" s="3"/>
      <c r="Z343" s="18"/>
    </row>
    <row r="344" spans="1:26" ht="15">
      <c r="A344" s="16"/>
      <c r="B344" s="16"/>
      <c r="C344" s="26"/>
      <c r="D344"/>
      <c r="I344"/>
      <c r="J344" s="2"/>
      <c r="L344"/>
      <c r="M344"/>
      <c r="O344"/>
      <c r="Q344"/>
      <c r="R344"/>
      <c r="S344" s="11"/>
      <c r="T344" s="3"/>
      <c r="U344" s="18"/>
      <c r="V344"/>
      <c r="W344" s="3"/>
      <c r="X344" s="30"/>
      <c r="Y344" s="3"/>
      <c r="Z344" s="18"/>
    </row>
    <row r="345" spans="1:26" ht="15">
      <c r="A345" s="16"/>
      <c r="B345" s="16"/>
      <c r="C345" s="26"/>
      <c r="D345"/>
      <c r="I345"/>
      <c r="J345" s="2"/>
      <c r="L345"/>
      <c r="M345"/>
      <c r="O345"/>
      <c r="Q345"/>
      <c r="R345"/>
      <c r="S345" s="11"/>
      <c r="T345" s="3"/>
      <c r="U345" s="18"/>
      <c r="V345"/>
      <c r="W345" s="3"/>
      <c r="X345" s="30"/>
      <c r="Y345" s="3"/>
      <c r="Z345" s="18"/>
    </row>
    <row r="346" spans="1:26" ht="15">
      <c r="A346" s="16"/>
      <c r="B346" s="16"/>
      <c r="C346" s="26"/>
      <c r="D346"/>
      <c r="I346"/>
      <c r="J346" s="2"/>
      <c r="L346"/>
      <c r="M346"/>
      <c r="O346"/>
      <c r="Q346"/>
      <c r="R346"/>
      <c r="S346" s="11"/>
      <c r="T346" s="3"/>
      <c r="U346" s="18"/>
      <c r="V346"/>
      <c r="W346" s="3"/>
      <c r="X346" s="30"/>
      <c r="Y346" s="3"/>
      <c r="Z346" s="18"/>
    </row>
    <row r="347" spans="1:26" ht="15">
      <c r="A347" s="16"/>
      <c r="B347" s="16"/>
      <c r="C347" s="26"/>
      <c r="D347"/>
      <c r="I347"/>
      <c r="J347" s="2"/>
      <c r="L347"/>
      <c r="M347"/>
      <c r="O347"/>
      <c r="Q347"/>
      <c r="R347"/>
      <c r="S347" s="11"/>
      <c r="T347" s="3"/>
      <c r="U347" s="18"/>
      <c r="V347"/>
      <c r="W347" s="3"/>
      <c r="X347" s="30"/>
      <c r="Y347" s="3"/>
      <c r="Z347" s="18"/>
    </row>
    <row r="348" spans="1:26" ht="15">
      <c r="A348" s="16"/>
      <c r="B348" s="16"/>
      <c r="C348" s="26"/>
      <c r="D348"/>
      <c r="I348"/>
      <c r="J348" s="2"/>
      <c r="L348"/>
      <c r="M348"/>
      <c r="O348"/>
      <c r="Q348"/>
      <c r="R348"/>
      <c r="S348" s="11"/>
      <c r="T348" s="3"/>
      <c r="U348" s="18"/>
      <c r="V348"/>
      <c r="W348" s="3"/>
      <c r="X348" s="30"/>
      <c r="Y348" s="3"/>
      <c r="Z348" s="18"/>
    </row>
    <row r="349" spans="1:26" ht="15">
      <c r="A349" s="16"/>
      <c r="B349" s="16"/>
      <c r="C349" s="26"/>
      <c r="D349"/>
      <c r="I349"/>
      <c r="J349" s="2"/>
      <c r="L349"/>
      <c r="M349"/>
      <c r="O349"/>
      <c r="Q349"/>
      <c r="R349"/>
      <c r="S349" s="11"/>
      <c r="T349" s="3"/>
      <c r="U349" s="18"/>
      <c r="V349"/>
      <c r="W349" s="3"/>
      <c r="X349" s="30"/>
      <c r="Y349" s="3"/>
      <c r="Z349" s="18"/>
    </row>
    <row r="350" spans="1:26" ht="15">
      <c r="A350" s="16"/>
      <c r="B350" s="16"/>
      <c r="C350" s="26"/>
      <c r="D350"/>
      <c r="I350"/>
      <c r="J350" s="2"/>
      <c r="L350"/>
      <c r="M350"/>
      <c r="O350"/>
      <c r="Q350"/>
      <c r="R350"/>
      <c r="S350" s="11"/>
      <c r="T350" s="3"/>
      <c r="U350" s="18"/>
      <c r="V350"/>
      <c r="W350" s="3"/>
      <c r="X350" s="30"/>
      <c r="Y350" s="3"/>
      <c r="Z350" s="18"/>
    </row>
    <row r="351" spans="1:26" ht="15">
      <c r="A351" s="16"/>
      <c r="B351" s="16"/>
      <c r="C351" s="26"/>
      <c r="D351"/>
      <c r="I351"/>
      <c r="J351" s="2"/>
      <c r="L351"/>
      <c r="M351"/>
      <c r="O351"/>
      <c r="Q351"/>
      <c r="R351"/>
      <c r="S351" s="11"/>
      <c r="T351" s="3"/>
      <c r="U351" s="18"/>
      <c r="V351"/>
      <c r="W351" s="3"/>
      <c r="X351" s="30"/>
      <c r="Y351" s="3"/>
      <c r="Z351" s="18"/>
    </row>
    <row r="352" spans="1:26" ht="15">
      <c r="A352" s="16"/>
      <c r="B352" s="16"/>
      <c r="C352" s="26"/>
      <c r="D352"/>
      <c r="I352"/>
      <c r="J352" s="2"/>
      <c r="L352"/>
      <c r="M352"/>
      <c r="O352"/>
      <c r="Q352"/>
      <c r="R352"/>
      <c r="S352" s="11"/>
      <c r="T352" s="3"/>
      <c r="U352" s="18"/>
      <c r="V352"/>
      <c r="W352" s="3"/>
      <c r="X352" s="30"/>
      <c r="Y352" s="3"/>
      <c r="Z352" s="18"/>
    </row>
    <row r="353" spans="1:26" ht="15">
      <c r="A353" s="16"/>
      <c r="B353" s="16"/>
      <c r="C353" s="26"/>
      <c r="D353"/>
      <c r="I353"/>
      <c r="J353" s="2"/>
      <c r="L353"/>
      <c r="M353"/>
      <c r="O353"/>
      <c r="Q353"/>
      <c r="R353"/>
      <c r="S353" s="11"/>
      <c r="T353" s="3"/>
      <c r="U353" s="18"/>
      <c r="V353"/>
      <c r="W353" s="3"/>
      <c r="X353" s="30"/>
      <c r="Y353" s="3"/>
      <c r="Z353" s="18"/>
    </row>
    <row r="354" spans="1:26" ht="15">
      <c r="A354" s="16"/>
      <c r="B354" s="16"/>
      <c r="C354" s="26"/>
      <c r="D354"/>
      <c r="I354"/>
      <c r="J354" s="2"/>
      <c r="L354"/>
      <c r="M354"/>
      <c r="O354"/>
      <c r="Q354"/>
      <c r="R354"/>
      <c r="S354" s="11"/>
      <c r="T354" s="3"/>
      <c r="U354" s="18"/>
      <c r="V354"/>
      <c r="W354" s="3"/>
      <c r="X354" s="30"/>
      <c r="Y354" s="3"/>
      <c r="Z354" s="18"/>
    </row>
    <row r="355" spans="1:26" ht="15">
      <c r="A355" s="16"/>
      <c r="B355" s="16"/>
      <c r="C355" s="26"/>
      <c r="D355"/>
      <c r="I355"/>
      <c r="J355" s="2"/>
      <c r="L355"/>
      <c r="M355"/>
      <c r="O355"/>
      <c r="Q355"/>
      <c r="R355"/>
      <c r="S355" s="11"/>
      <c r="T355" s="3"/>
      <c r="U355" s="18"/>
      <c r="V355"/>
      <c r="W355" s="3"/>
      <c r="X355" s="30"/>
      <c r="Y355" s="3"/>
      <c r="Z355" s="18"/>
    </row>
    <row r="356" spans="1:26" ht="15">
      <c r="A356" s="16"/>
      <c r="B356" s="16"/>
      <c r="C356" s="26"/>
      <c r="D356"/>
      <c r="I356"/>
      <c r="J356" s="2"/>
      <c r="L356"/>
      <c r="M356"/>
      <c r="O356"/>
      <c r="Q356"/>
      <c r="R356"/>
      <c r="S356" s="11"/>
      <c r="T356" s="3"/>
      <c r="U356" s="18"/>
      <c r="V356"/>
      <c r="W356" s="3"/>
      <c r="X356" s="30"/>
      <c r="Y356" s="3"/>
      <c r="Z356" s="18"/>
    </row>
    <row r="357" spans="1:26" ht="15">
      <c r="A357" s="16"/>
      <c r="B357" s="16"/>
      <c r="C357" s="26"/>
      <c r="D357"/>
      <c r="I357"/>
      <c r="J357" s="2"/>
      <c r="L357"/>
      <c r="M357"/>
      <c r="O357"/>
      <c r="Q357"/>
      <c r="R357"/>
      <c r="S357" s="11"/>
      <c r="T357" s="3"/>
      <c r="U357" s="18"/>
      <c r="V357"/>
      <c r="W357" s="3"/>
      <c r="X357" s="30"/>
      <c r="Y357" s="3"/>
      <c r="Z357" s="18"/>
    </row>
    <row r="358" spans="1:26" ht="15">
      <c r="A358" s="16"/>
      <c r="B358" s="16"/>
      <c r="C358" s="26"/>
      <c r="D358"/>
      <c r="I358"/>
      <c r="J358" s="2"/>
      <c r="L358"/>
      <c r="M358"/>
      <c r="O358"/>
      <c r="Q358"/>
      <c r="R358"/>
      <c r="S358" s="11"/>
      <c r="T358" s="3"/>
      <c r="U358" s="18"/>
      <c r="V358"/>
      <c r="W358" s="3"/>
      <c r="X358" s="30"/>
      <c r="Y358" s="3"/>
      <c r="Z358" s="18"/>
    </row>
    <row r="359" spans="1:26" ht="15">
      <c r="A359" s="16"/>
      <c r="B359" s="16"/>
      <c r="C359" s="26"/>
      <c r="D359"/>
      <c r="I359"/>
      <c r="J359" s="2"/>
      <c r="L359"/>
      <c r="M359"/>
      <c r="O359"/>
      <c r="Q359"/>
      <c r="R359"/>
      <c r="S359" s="11"/>
      <c r="T359" s="3"/>
      <c r="U359" s="18"/>
      <c r="V359"/>
      <c r="W359" s="3"/>
      <c r="X359" s="30"/>
      <c r="Y359" s="3"/>
      <c r="Z359" s="18"/>
    </row>
    <row r="360" spans="1:26" ht="15">
      <c r="A360" s="16"/>
      <c r="B360" s="16"/>
      <c r="C360" s="26"/>
      <c r="D360"/>
      <c r="I360"/>
      <c r="J360" s="2"/>
      <c r="L360"/>
      <c r="M360"/>
      <c r="O360"/>
      <c r="Q360"/>
      <c r="R360"/>
      <c r="S360" s="11"/>
      <c r="T360" s="3"/>
      <c r="U360" s="18"/>
      <c r="V360"/>
      <c r="W360" s="3"/>
      <c r="X360" s="30"/>
      <c r="Y360" s="3"/>
      <c r="Z360" s="18"/>
    </row>
    <row r="361" spans="1:26" ht="15">
      <c r="A361" s="16"/>
      <c r="B361" s="16"/>
      <c r="C361" s="26"/>
      <c r="D361"/>
      <c r="I361"/>
      <c r="J361" s="2"/>
      <c r="L361"/>
      <c r="M361"/>
      <c r="O361"/>
      <c r="Q361"/>
      <c r="R361"/>
      <c r="S361" s="11"/>
      <c r="T361" s="3"/>
      <c r="U361" s="18"/>
      <c r="V361"/>
      <c r="W361" s="3"/>
      <c r="X361" s="30"/>
      <c r="Y361" s="3"/>
      <c r="Z361" s="18"/>
    </row>
    <row r="362" spans="1:26" ht="15">
      <c r="A362" s="16"/>
      <c r="B362" s="16"/>
      <c r="C362" s="26"/>
      <c r="D362"/>
      <c r="I362"/>
      <c r="J362" s="2"/>
      <c r="L362"/>
      <c r="M362"/>
      <c r="O362"/>
      <c r="Q362"/>
      <c r="R362"/>
      <c r="S362" s="11"/>
      <c r="T362" s="3"/>
      <c r="U362" s="18"/>
      <c r="V362"/>
      <c r="W362" s="3"/>
      <c r="X362" s="30"/>
      <c r="Y362" s="3"/>
      <c r="Z362" s="18"/>
    </row>
    <row r="363" spans="1:26" ht="15">
      <c r="A363" s="16"/>
      <c r="B363" s="16"/>
      <c r="C363" s="26"/>
      <c r="D363"/>
      <c r="I363"/>
      <c r="J363" s="2"/>
      <c r="L363"/>
      <c r="M363"/>
      <c r="O363"/>
      <c r="Q363"/>
      <c r="R363"/>
      <c r="S363" s="11"/>
      <c r="T363" s="3"/>
      <c r="U363" s="18"/>
      <c r="V363"/>
      <c r="W363" s="3"/>
      <c r="X363" s="30"/>
      <c r="Y363" s="3"/>
      <c r="Z363" s="18"/>
    </row>
    <row r="364" spans="1:26" ht="15">
      <c r="A364" s="16"/>
      <c r="B364" s="16"/>
      <c r="C364" s="26"/>
      <c r="D364"/>
      <c r="I364"/>
      <c r="J364" s="2"/>
      <c r="L364"/>
      <c r="M364"/>
      <c r="O364"/>
      <c r="Q364"/>
      <c r="R364"/>
      <c r="S364" s="11"/>
      <c r="T364" s="3"/>
      <c r="U364" s="18"/>
      <c r="V364"/>
      <c r="W364" s="3"/>
      <c r="X364" s="30"/>
      <c r="Y364" s="3"/>
      <c r="Z364" s="18"/>
    </row>
    <row r="365" spans="1:26" ht="15">
      <c r="A365" s="16"/>
      <c r="B365" s="16"/>
      <c r="C365" s="26"/>
      <c r="D365"/>
      <c r="I365"/>
      <c r="J365" s="2"/>
      <c r="L365"/>
      <c r="M365"/>
      <c r="O365"/>
      <c r="Q365"/>
      <c r="R365"/>
      <c r="S365" s="11"/>
      <c r="T365" s="3"/>
      <c r="U365" s="18"/>
      <c r="V365"/>
      <c r="W365" s="3"/>
      <c r="X365" s="30"/>
      <c r="Y365" s="3"/>
      <c r="Z365" s="18"/>
    </row>
    <row r="366" spans="1:26" ht="15">
      <c r="A366" s="16"/>
      <c r="B366" s="16"/>
      <c r="C366" s="26"/>
      <c r="D366"/>
      <c r="I366"/>
      <c r="J366" s="2"/>
      <c r="L366"/>
      <c r="M366"/>
      <c r="O366"/>
      <c r="Q366"/>
      <c r="R366"/>
      <c r="S366" s="11"/>
      <c r="T366" s="3"/>
      <c r="U366" s="18"/>
      <c r="V366"/>
      <c r="W366" s="3"/>
      <c r="X366" s="30"/>
      <c r="Y366" s="3"/>
      <c r="Z366" s="18"/>
    </row>
    <row r="367" spans="1:26" ht="15">
      <c r="A367" s="16"/>
      <c r="B367" s="16"/>
      <c r="C367" s="26"/>
      <c r="D367"/>
      <c r="I367"/>
      <c r="J367" s="2"/>
      <c r="L367"/>
      <c r="M367"/>
      <c r="O367"/>
      <c r="Q367"/>
      <c r="R367"/>
      <c r="S367" s="11"/>
      <c r="T367" s="3"/>
      <c r="U367" s="18"/>
      <c r="V367"/>
      <c r="W367" s="3"/>
      <c r="X367" s="30"/>
      <c r="Y367" s="3"/>
      <c r="Z367" s="18"/>
    </row>
    <row r="368" spans="1:26" ht="15">
      <c r="A368" s="16"/>
      <c r="B368" s="16"/>
      <c r="C368" s="26"/>
      <c r="D368"/>
      <c r="I368"/>
      <c r="J368" s="2"/>
      <c r="L368"/>
      <c r="M368"/>
      <c r="O368"/>
      <c r="Q368"/>
      <c r="R368"/>
      <c r="S368" s="11"/>
      <c r="T368" s="3"/>
      <c r="U368" s="18"/>
      <c r="V368"/>
      <c r="W368" s="3"/>
      <c r="X368" s="30"/>
      <c r="Y368" s="3"/>
      <c r="Z368" s="18"/>
    </row>
    <row r="369" spans="1:26" ht="15">
      <c r="A369" s="16"/>
      <c r="B369" s="16"/>
      <c r="C369" s="26"/>
      <c r="D369"/>
      <c r="I369"/>
      <c r="J369" s="2"/>
      <c r="L369"/>
      <c r="M369"/>
      <c r="O369"/>
      <c r="Q369"/>
      <c r="R369"/>
      <c r="S369" s="11"/>
      <c r="T369" s="3"/>
      <c r="U369" s="18"/>
      <c r="V369"/>
      <c r="W369" s="3"/>
      <c r="X369" s="30"/>
      <c r="Y369" s="3"/>
      <c r="Z369" s="18"/>
    </row>
    <row r="370" spans="1:26" ht="15">
      <c r="A370" s="16"/>
      <c r="B370" s="16"/>
      <c r="C370" s="26"/>
      <c r="D370"/>
      <c r="I370"/>
      <c r="J370" s="2"/>
      <c r="L370"/>
      <c r="M370"/>
      <c r="O370"/>
      <c r="Q370"/>
      <c r="R370"/>
      <c r="S370" s="11"/>
      <c r="T370" s="3"/>
      <c r="U370" s="18"/>
      <c r="V370"/>
      <c r="W370" s="3"/>
      <c r="X370" s="30"/>
      <c r="Y370" s="3"/>
      <c r="Z370" s="18"/>
    </row>
    <row r="371" spans="1:26" ht="15">
      <c r="A371" s="16"/>
      <c r="B371" s="16"/>
      <c r="C371" s="26"/>
      <c r="D371"/>
      <c r="I371"/>
      <c r="J371" s="2"/>
      <c r="L371"/>
      <c r="M371"/>
      <c r="O371"/>
      <c r="Q371"/>
      <c r="R371"/>
      <c r="S371" s="11"/>
      <c r="T371" s="3"/>
      <c r="U371" s="18"/>
      <c r="V371"/>
      <c r="W371" s="3"/>
      <c r="X371" s="30"/>
      <c r="Y371" s="3"/>
      <c r="Z371" s="18"/>
    </row>
    <row r="372" spans="1:26" ht="15">
      <c r="A372" s="16"/>
      <c r="B372" s="16"/>
      <c r="C372" s="26"/>
      <c r="D372"/>
      <c r="I372"/>
      <c r="J372" s="2"/>
      <c r="L372"/>
      <c r="M372"/>
      <c r="O372"/>
      <c r="Q372"/>
      <c r="R372"/>
      <c r="S372" s="11"/>
      <c r="T372" s="3"/>
      <c r="U372" s="18"/>
      <c r="V372"/>
      <c r="W372" s="3"/>
      <c r="X372" s="30"/>
      <c r="Y372" s="3"/>
      <c r="Z372" s="18"/>
    </row>
    <row r="373" spans="1:26" ht="15">
      <c r="A373" s="16"/>
      <c r="B373" s="16"/>
      <c r="C373" s="26"/>
      <c r="D373"/>
      <c r="I373"/>
      <c r="J373" s="2"/>
      <c r="L373"/>
      <c r="M373"/>
      <c r="O373"/>
      <c r="Q373"/>
      <c r="R373"/>
      <c r="S373" s="11"/>
      <c r="T373" s="3"/>
      <c r="U373" s="18"/>
      <c r="V373"/>
      <c r="W373" s="3"/>
      <c r="X373" s="30"/>
      <c r="Y373" s="3"/>
      <c r="Z373" s="18"/>
    </row>
    <row r="374" spans="1:26" ht="15">
      <c r="A374" s="16"/>
      <c r="B374" s="16"/>
      <c r="C374" s="26"/>
      <c r="D374"/>
      <c r="I374"/>
      <c r="J374" s="2"/>
      <c r="L374"/>
      <c r="M374"/>
      <c r="O374"/>
      <c r="Q374"/>
      <c r="R374"/>
      <c r="S374" s="11"/>
      <c r="T374" s="3"/>
      <c r="U374" s="18"/>
      <c r="V374"/>
      <c r="W374" s="3"/>
      <c r="X374" s="30"/>
      <c r="Y374" s="3"/>
      <c r="Z374" s="18"/>
    </row>
    <row r="375" spans="1:26" ht="15">
      <c r="A375" s="16"/>
      <c r="B375" s="16"/>
      <c r="C375" s="26"/>
      <c r="D375"/>
      <c r="I375"/>
      <c r="J375" s="2"/>
      <c r="L375"/>
      <c r="M375"/>
      <c r="O375"/>
      <c r="Q375"/>
      <c r="R375"/>
      <c r="S375" s="11"/>
      <c r="T375" s="3"/>
      <c r="U375" s="18"/>
      <c r="V375"/>
      <c r="W375" s="3"/>
      <c r="X375" s="30"/>
      <c r="Y375" s="3"/>
      <c r="Z375" s="18"/>
    </row>
    <row r="376" spans="1:26" ht="15">
      <c r="A376" s="16"/>
      <c r="B376" s="16"/>
      <c r="C376" s="26"/>
      <c r="D376"/>
      <c r="I376"/>
      <c r="J376" s="2"/>
      <c r="L376"/>
      <c r="M376"/>
      <c r="O376"/>
      <c r="Q376"/>
      <c r="R376"/>
      <c r="S376" s="11"/>
      <c r="T376" s="3"/>
      <c r="U376" s="18"/>
      <c r="V376"/>
      <c r="W376" s="3"/>
      <c r="X376" s="30"/>
      <c r="Y376" s="3"/>
      <c r="Z376" s="18"/>
    </row>
    <row r="377" spans="1:26" ht="15">
      <c r="A377" s="16"/>
      <c r="B377" s="16"/>
      <c r="C377" s="26"/>
      <c r="D377"/>
      <c r="I377"/>
      <c r="J377" s="2"/>
      <c r="L377"/>
      <c r="M377"/>
      <c r="O377"/>
      <c r="Q377"/>
      <c r="R377"/>
      <c r="S377" s="11"/>
      <c r="T377" s="3"/>
      <c r="U377" s="18"/>
      <c r="V377"/>
      <c r="W377" s="3"/>
      <c r="X377" s="30"/>
      <c r="Y377" s="3"/>
      <c r="Z377" s="18"/>
    </row>
    <row r="378" spans="1:26" ht="15">
      <c r="A378" s="16"/>
      <c r="B378" s="16"/>
      <c r="C378" s="26"/>
      <c r="D378"/>
      <c r="I378"/>
      <c r="J378" s="2"/>
      <c r="L378"/>
      <c r="M378"/>
      <c r="O378"/>
      <c r="Q378"/>
      <c r="R378"/>
      <c r="S378" s="11"/>
      <c r="T378" s="3"/>
      <c r="U378" s="18"/>
      <c r="V378"/>
      <c r="W378" s="3"/>
      <c r="X378" s="30"/>
      <c r="Y378" s="3"/>
      <c r="Z378" s="18"/>
    </row>
    <row r="379" spans="1:26" ht="15">
      <c r="A379" s="16"/>
      <c r="B379" s="16"/>
      <c r="C379" s="26"/>
      <c r="D379"/>
      <c r="I379"/>
      <c r="J379" s="2"/>
      <c r="L379"/>
      <c r="M379"/>
      <c r="O379"/>
      <c r="Q379"/>
      <c r="R379"/>
      <c r="S379" s="11"/>
      <c r="T379" s="3"/>
      <c r="U379" s="18"/>
      <c r="V379"/>
      <c r="W379" s="3"/>
      <c r="X379" s="30"/>
      <c r="Y379" s="3"/>
      <c r="Z379" s="18"/>
    </row>
    <row r="380" spans="1:26" ht="15">
      <c r="A380" s="16"/>
      <c r="B380" s="16"/>
      <c r="C380" s="26"/>
      <c r="D380"/>
      <c r="I380"/>
      <c r="J380" s="2"/>
      <c r="L380"/>
      <c r="M380"/>
      <c r="O380"/>
      <c r="Q380"/>
      <c r="R380"/>
      <c r="S380" s="11"/>
      <c r="T380" s="3"/>
      <c r="U380" s="18"/>
      <c r="V380"/>
      <c r="W380" s="3"/>
      <c r="X380" s="30"/>
      <c r="Y380" s="3"/>
      <c r="Z380" s="18"/>
    </row>
    <row r="381" spans="1:26" ht="15">
      <c r="A381" s="16"/>
      <c r="B381" s="16"/>
      <c r="C381" s="26"/>
      <c r="D381"/>
      <c r="I381"/>
      <c r="J381" s="2"/>
      <c r="L381"/>
      <c r="M381"/>
      <c r="O381"/>
      <c r="Q381"/>
      <c r="R381"/>
      <c r="S381" s="11"/>
      <c r="T381" s="3"/>
      <c r="U381" s="18"/>
      <c r="V381"/>
      <c r="W381" s="3"/>
      <c r="X381" s="30"/>
      <c r="Y381" s="3"/>
      <c r="Z381" s="18"/>
    </row>
    <row r="382" spans="1:26" ht="15">
      <c r="A382" s="16"/>
      <c r="B382" s="16"/>
      <c r="C382" s="26"/>
      <c r="D382"/>
      <c r="I382"/>
      <c r="J382" s="2"/>
      <c r="L382"/>
      <c r="M382"/>
      <c r="O382"/>
      <c r="Q382"/>
      <c r="R382"/>
      <c r="S382" s="11"/>
      <c r="T382" s="3"/>
      <c r="U382" s="18"/>
      <c r="V382"/>
      <c r="W382" s="3"/>
      <c r="X382" s="30"/>
      <c r="Y382" s="3"/>
      <c r="Z382" s="18"/>
    </row>
    <row r="383" spans="1:26" ht="15">
      <c r="A383" s="16"/>
      <c r="B383" s="16"/>
      <c r="C383" s="26"/>
      <c r="D383"/>
      <c r="I383"/>
      <c r="J383" s="2"/>
      <c r="L383"/>
      <c r="M383"/>
      <c r="O383"/>
      <c r="Q383"/>
      <c r="R383"/>
      <c r="S383" s="11"/>
      <c r="T383" s="3"/>
      <c r="U383" s="18"/>
      <c r="V383"/>
      <c r="W383" s="3"/>
      <c r="X383" s="30"/>
      <c r="Y383" s="3"/>
      <c r="Z383" s="18"/>
    </row>
    <row r="384" spans="1:26" ht="15">
      <c r="A384" s="16"/>
      <c r="B384" s="16"/>
      <c r="C384" s="26"/>
      <c r="D384"/>
      <c r="I384"/>
      <c r="J384" s="2"/>
      <c r="L384"/>
      <c r="M384"/>
      <c r="O384"/>
      <c r="Q384"/>
      <c r="R384"/>
      <c r="S384" s="11"/>
      <c r="T384" s="3"/>
      <c r="U384" s="18"/>
      <c r="V384"/>
      <c r="W384" s="3"/>
      <c r="X384" s="30"/>
      <c r="Y384" s="3"/>
      <c r="Z384" s="18"/>
    </row>
    <row r="385" spans="2:25">
      <c r="B385" s="29"/>
      <c r="C385" s="29"/>
      <c r="X385" s="29"/>
      <c r="Y385" s="29"/>
    </row>
    <row r="386" spans="2:25">
      <c r="B386" s="29"/>
      <c r="C386" s="29"/>
      <c r="X386" s="29"/>
      <c r="Y386" s="29"/>
    </row>
    <row r="387" spans="2:25">
      <c r="B387" s="29"/>
      <c r="C387" s="29"/>
      <c r="X387" s="29"/>
      <c r="Y387" s="2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C0C6C-96AD-480E-B02A-1C45412EB747}">
  <sheetPr codeName="Sheet3"/>
  <dimension ref="B2:AU329"/>
  <sheetViews>
    <sheetView zoomScale="70" zoomScaleNormal="70" workbookViewId="0"/>
  </sheetViews>
  <sheetFormatPr defaultRowHeight="15"/>
  <cols>
    <col min="1" max="2" width="10.5703125" customWidth="1"/>
    <col min="3" max="3" width="32" customWidth="1"/>
    <col min="4" max="4" width="62.85546875" customWidth="1"/>
    <col min="5" max="6" width="10.5703125" customWidth="1"/>
    <col min="7" max="7" width="32" customWidth="1"/>
    <col min="8" max="8" width="62.85546875" customWidth="1"/>
    <col min="9" max="15" width="10.5703125" customWidth="1"/>
    <col min="16" max="26" width="11" customWidth="1"/>
    <col min="35" max="35" width="10.7109375" bestFit="1" customWidth="1"/>
    <col min="42" max="42" width="10.85546875" customWidth="1"/>
  </cols>
  <sheetData>
    <row r="2" spans="2:47">
      <c r="E2" s="6"/>
      <c r="F2" s="6"/>
      <c r="G2" s="6"/>
      <c r="H2" s="6"/>
      <c r="J2" t="s">
        <v>203</v>
      </c>
      <c r="K2" t="str">
        <f>D5</f>
        <v>PORTUGUESE</v>
      </c>
      <c r="L2">
        <f>B5</f>
        <v>2</v>
      </c>
      <c r="M2">
        <f>VLOOKUP("*"&amp;J2&amp;"*",$K$2:$L$258,2,FALSE)</f>
        <v>33</v>
      </c>
      <c r="N2">
        <v>33</v>
      </c>
      <c r="P2" t="str">
        <f>IF(J2="","",J2)</f>
        <v>Argentina</v>
      </c>
      <c r="Q2" t="str">
        <f>H5</f>
        <v>REPUBLIC OF PORTUGAL</v>
      </c>
      <c r="R2">
        <f>F5</f>
        <v>2</v>
      </c>
      <c r="S2" t="e">
        <f>VLOOKUP("*"&amp;P2&amp;"*",$Q$2:$R$208,2,FALSE)</f>
        <v>#N/A</v>
      </c>
      <c r="T2">
        <v>33</v>
      </c>
      <c r="V2" t="str">
        <f>IF(TIM!F2="","",TIM!F2)</f>
        <v/>
      </c>
      <c r="W2" t="str">
        <f>IFERROR(VLOOKUP(V2,$J$2:$N$258,5,FALSE),"")</f>
        <v/>
      </c>
      <c r="X2">
        <f>IFERROR(VLOOKUP(V2,$P$2:$T$208,5,FALSE),"")</f>
        <v>0</v>
      </c>
      <c r="AA2" t="s">
        <v>26</v>
      </c>
      <c r="AB2">
        <v>99</v>
      </c>
      <c r="AC2">
        <v>66</v>
      </c>
      <c r="AD2" t="s">
        <v>25</v>
      </c>
      <c r="AE2">
        <v>99</v>
      </c>
      <c r="AF2" s="3" t="s">
        <v>1009</v>
      </c>
      <c r="AG2" t="s">
        <v>202</v>
      </c>
      <c r="AI2">
        <f>IF(TIM!P2=TIM!P2,TIM!P2,"")</f>
        <v>0</v>
      </c>
      <c r="AJ2" t="str">
        <f>MID(AI2,4,2)</f>
        <v/>
      </c>
      <c r="AK2" t="str">
        <f>LEFT(AI2,2)</f>
        <v>0</v>
      </c>
      <c r="AL2" t="str">
        <f>RIGHT(AI2,4)</f>
        <v>0</v>
      </c>
      <c r="AM2">
        <f>AL2+543</f>
        <v>543</v>
      </c>
      <c r="AN2" t="str">
        <f>AJ2&amp;"/"&amp;AK2&amp;"/"&amp;AM2</f>
        <v>/0/543</v>
      </c>
      <c r="AP2">
        <f>IF(TIM!O2=TIM!O2,TIM!O2,"")</f>
        <v>0</v>
      </c>
      <c r="AQ2" t="str">
        <f>MID(AP2,4,2)</f>
        <v/>
      </c>
      <c r="AR2" t="str">
        <f>LEFT(AP2,2)</f>
        <v>0</v>
      </c>
      <c r="AS2" t="str">
        <f>RIGHT(AP2,4)</f>
        <v>0</v>
      </c>
      <c r="AT2">
        <f>AS2+543</f>
        <v>543</v>
      </c>
      <c r="AU2" t="str">
        <f>AQ2&amp;"/"&amp;AR2&amp;"/"&amp;AT2</f>
        <v>/0/543</v>
      </c>
    </row>
    <row r="3" spans="2:47">
      <c r="B3" s="38" t="s">
        <v>11</v>
      </c>
      <c r="C3" s="38"/>
      <c r="D3" s="38"/>
      <c r="E3" s="6"/>
      <c r="F3" s="38" t="s">
        <v>777</v>
      </c>
      <c r="G3" s="38"/>
      <c r="H3" s="38"/>
      <c r="J3" t="s">
        <v>204</v>
      </c>
      <c r="K3" t="str">
        <f t="shared" ref="K3:K66" si="0">D6</f>
        <v>DUTCH</v>
      </c>
      <c r="L3">
        <f t="shared" ref="L3:L66" si="1">B6</f>
        <v>3</v>
      </c>
      <c r="M3">
        <f t="shared" ref="M3:M66" si="2">VLOOKUP("*"&amp;J3&amp;"*",$K$2:$L$258,2,FALSE)</f>
        <v>224</v>
      </c>
      <c r="N3">
        <v>224</v>
      </c>
      <c r="P3" t="str">
        <f t="shared" ref="P3:P66" si="3">IF(J3="","",J3)</f>
        <v>Armenia</v>
      </c>
      <c r="Q3" t="str">
        <f t="shared" ref="Q3:Q66" si="4">H6</f>
        <v>KINGDOM OF THE NETHERLANDS</v>
      </c>
      <c r="R3">
        <f t="shared" ref="R3:R66" si="5">F6</f>
        <v>3</v>
      </c>
      <c r="S3">
        <f t="shared" ref="S3:S66" si="6">VLOOKUP("*"&amp;P3&amp;"*",$Q$2:$R$208,2,FALSE)</f>
        <v>224</v>
      </c>
      <c r="T3">
        <v>224</v>
      </c>
      <c r="V3" t="str">
        <f>IF(TIM!F3="","",TIM!F3)</f>
        <v/>
      </c>
      <c r="W3" t="str">
        <f t="shared" ref="W3:W66" si="7">IFERROR(VLOOKUP(V3,$J$2:$N$258,5,FALSE),"")</f>
        <v/>
      </c>
      <c r="X3">
        <f t="shared" ref="X3:X66" si="8">IFERROR(VLOOKUP(V3,$P$2:$T$208,5,FALSE),"")</f>
        <v>0</v>
      </c>
      <c r="AI3">
        <f>IF(TIM!P3=TIM!P3,TIM!P3,"")</f>
        <v>0</v>
      </c>
      <c r="AJ3" t="str">
        <f t="shared" ref="AJ3:AJ66" si="9">MID(AI3,4,2)</f>
        <v/>
      </c>
      <c r="AK3" t="str">
        <f t="shared" ref="AK3:AK66" si="10">LEFT(AI3,2)</f>
        <v>0</v>
      </c>
      <c r="AL3" t="str">
        <f t="shared" ref="AL3:AL66" si="11">RIGHT(AI3,4)</f>
        <v>0</v>
      </c>
      <c r="AM3">
        <f t="shared" ref="AM3:AM66" si="12">AL3+543</f>
        <v>543</v>
      </c>
      <c r="AN3" t="str">
        <f t="shared" ref="AN3:AN66" si="13">AJ3&amp;"/"&amp;AK3&amp;"/"&amp;AM3</f>
        <v>/0/543</v>
      </c>
      <c r="AP3">
        <f>IF(TIM!O3=TIM!O3,TIM!O3,"")</f>
        <v>0</v>
      </c>
      <c r="AQ3" t="str">
        <f t="shared" ref="AQ3:AQ66" si="14">MID(AP3,4,2)</f>
        <v/>
      </c>
      <c r="AR3" t="str">
        <f t="shared" ref="AR3:AR66" si="15">LEFT(AP3,2)</f>
        <v>0</v>
      </c>
      <c r="AS3" t="str">
        <f t="shared" ref="AS3:AS66" si="16">RIGHT(AP3,4)</f>
        <v>0</v>
      </c>
      <c r="AT3">
        <f t="shared" ref="AT3:AT66" si="17">AS3+543</f>
        <v>543</v>
      </c>
      <c r="AU3" t="str">
        <f t="shared" ref="AU3:AU66" si="18">AQ3&amp;"/"&amp;AR3&amp;"/"&amp;AT3</f>
        <v>/0/543</v>
      </c>
    </row>
    <row r="4" spans="2:47">
      <c r="B4" s="13" t="s">
        <v>460</v>
      </c>
      <c r="C4" s="13" t="s">
        <v>461</v>
      </c>
      <c r="D4" s="13" t="s">
        <v>462</v>
      </c>
      <c r="E4" s="6"/>
      <c r="F4" s="13" t="s">
        <v>778</v>
      </c>
      <c r="G4" s="13" t="s">
        <v>779</v>
      </c>
      <c r="H4" s="13" t="s">
        <v>780</v>
      </c>
      <c r="J4" t="s">
        <v>205</v>
      </c>
      <c r="K4" t="str">
        <f t="shared" si="0"/>
        <v>GERMAN</v>
      </c>
      <c r="L4">
        <f t="shared" si="1"/>
        <v>4</v>
      </c>
      <c r="M4">
        <f t="shared" si="2"/>
        <v>79</v>
      </c>
      <c r="N4">
        <v>79</v>
      </c>
      <c r="P4" t="str">
        <f t="shared" si="3"/>
        <v>Australia</v>
      </c>
      <c r="Q4" t="str">
        <f t="shared" si="4"/>
        <v>FEDERAL REPUBLIC OF GERMANY</v>
      </c>
      <c r="R4">
        <f t="shared" si="5"/>
        <v>4</v>
      </c>
      <c r="S4">
        <f t="shared" si="6"/>
        <v>79</v>
      </c>
      <c r="T4">
        <v>79</v>
      </c>
      <c r="V4" t="str">
        <f>IF(TIM!F4="","",TIM!F4)</f>
        <v/>
      </c>
      <c r="W4" t="str">
        <f t="shared" si="7"/>
        <v/>
      </c>
      <c r="X4">
        <f t="shared" si="8"/>
        <v>0</v>
      </c>
      <c r="AI4">
        <f>IF(TIM!P4=TIM!P4,TIM!P4,"")</f>
        <v>0</v>
      </c>
      <c r="AJ4" t="str">
        <f t="shared" si="9"/>
        <v/>
      </c>
      <c r="AK4" t="str">
        <f t="shared" si="10"/>
        <v>0</v>
      </c>
      <c r="AL4" t="str">
        <f t="shared" si="11"/>
        <v>0</v>
      </c>
      <c r="AM4">
        <f t="shared" si="12"/>
        <v>543</v>
      </c>
      <c r="AN4" t="str">
        <f t="shared" si="13"/>
        <v>/0/543</v>
      </c>
      <c r="AP4">
        <f>IF(TIM!O4=TIM!O4,TIM!O4,"")</f>
        <v>0</v>
      </c>
      <c r="AQ4" t="str">
        <f t="shared" si="14"/>
        <v/>
      </c>
      <c r="AR4" t="str">
        <f t="shared" si="15"/>
        <v>0</v>
      </c>
      <c r="AS4" t="str">
        <f t="shared" si="16"/>
        <v>0</v>
      </c>
      <c r="AT4">
        <f t="shared" si="17"/>
        <v>543</v>
      </c>
      <c r="AU4" t="str">
        <f t="shared" si="18"/>
        <v>/0/543</v>
      </c>
    </row>
    <row r="5" spans="2:47">
      <c r="B5" s="11">
        <v>2</v>
      </c>
      <c r="C5" s="14" t="s">
        <v>624</v>
      </c>
      <c r="D5" s="14" t="s">
        <v>625</v>
      </c>
      <c r="E5" s="6"/>
      <c r="F5" s="11">
        <v>2</v>
      </c>
      <c r="G5" s="15" t="s">
        <v>624</v>
      </c>
      <c r="H5" s="15" t="s">
        <v>881</v>
      </c>
      <c r="J5" t="s">
        <v>206</v>
      </c>
      <c r="K5" t="str">
        <f t="shared" si="0"/>
        <v>FRANCE</v>
      </c>
      <c r="L5">
        <f t="shared" si="1"/>
        <v>5</v>
      </c>
      <c r="M5">
        <f t="shared" si="2"/>
        <v>11</v>
      </c>
      <c r="N5">
        <v>11</v>
      </c>
      <c r="P5" t="str">
        <f t="shared" si="3"/>
        <v>Austria</v>
      </c>
      <c r="Q5" t="str">
        <f t="shared" si="4"/>
        <v>FRENCH REPUBLIC</v>
      </c>
      <c r="R5">
        <f t="shared" si="5"/>
        <v>5</v>
      </c>
      <c r="S5">
        <f t="shared" si="6"/>
        <v>11</v>
      </c>
      <c r="T5">
        <v>11</v>
      </c>
      <c r="V5" t="str">
        <f>IF(TIM!F5="","",TIM!F5)</f>
        <v/>
      </c>
      <c r="W5" t="str">
        <f t="shared" si="7"/>
        <v/>
      </c>
      <c r="X5">
        <f t="shared" si="8"/>
        <v>0</v>
      </c>
      <c r="AI5">
        <f>IF(TIM!P5=TIM!P5,TIM!P5,"")</f>
        <v>0</v>
      </c>
      <c r="AJ5" t="str">
        <f t="shared" si="9"/>
        <v/>
      </c>
      <c r="AK5" t="str">
        <f t="shared" si="10"/>
        <v>0</v>
      </c>
      <c r="AL5" t="str">
        <f t="shared" si="11"/>
        <v>0</v>
      </c>
      <c r="AM5">
        <f t="shared" si="12"/>
        <v>543</v>
      </c>
      <c r="AN5" t="str">
        <f t="shared" si="13"/>
        <v>/0/543</v>
      </c>
      <c r="AP5">
        <f>IF(TIM!O5=TIM!O5,TIM!O5,"")</f>
        <v>0</v>
      </c>
      <c r="AQ5" t="str">
        <f t="shared" si="14"/>
        <v/>
      </c>
      <c r="AR5" t="str">
        <f t="shared" si="15"/>
        <v>0</v>
      </c>
      <c r="AS5" t="str">
        <f t="shared" si="16"/>
        <v>0</v>
      </c>
      <c r="AT5">
        <f t="shared" si="17"/>
        <v>543</v>
      </c>
      <c r="AU5" t="str">
        <f t="shared" si="18"/>
        <v>/0/543</v>
      </c>
    </row>
    <row r="6" spans="2:47">
      <c r="B6" s="11">
        <v>3</v>
      </c>
      <c r="C6" s="14" t="s">
        <v>27</v>
      </c>
      <c r="D6" s="14" t="s">
        <v>553</v>
      </c>
      <c r="E6" s="6"/>
      <c r="F6" s="11">
        <v>3</v>
      </c>
      <c r="G6" s="15" t="s">
        <v>855</v>
      </c>
      <c r="H6" s="15" t="s">
        <v>856</v>
      </c>
      <c r="J6" t="s">
        <v>207</v>
      </c>
      <c r="K6" t="str">
        <f t="shared" si="0"/>
        <v>DANNISH</v>
      </c>
      <c r="L6">
        <f t="shared" si="1"/>
        <v>6</v>
      </c>
      <c r="M6">
        <f t="shared" si="2"/>
        <v>225</v>
      </c>
      <c r="N6">
        <v>225</v>
      </c>
      <c r="P6" t="str">
        <f t="shared" si="3"/>
        <v>Azerbaijan</v>
      </c>
      <c r="Q6" t="str">
        <f t="shared" si="4"/>
        <v>KINGDOM OF DENMARK</v>
      </c>
      <c r="R6">
        <f t="shared" si="5"/>
        <v>6</v>
      </c>
      <c r="S6">
        <f t="shared" si="6"/>
        <v>225</v>
      </c>
      <c r="T6">
        <v>225</v>
      </c>
      <c r="V6" t="str">
        <f>IF(TIM!F6="","",TIM!F6)</f>
        <v/>
      </c>
      <c r="W6" t="str">
        <f t="shared" si="7"/>
        <v/>
      </c>
      <c r="X6">
        <f t="shared" si="8"/>
        <v>0</v>
      </c>
      <c r="AA6" t="s">
        <v>267</v>
      </c>
      <c r="AB6" t="s">
        <v>269</v>
      </c>
      <c r="AI6">
        <f>IF(TIM!P6=TIM!P6,TIM!P6,"")</f>
        <v>0</v>
      </c>
      <c r="AJ6" t="str">
        <f t="shared" si="9"/>
        <v/>
      </c>
      <c r="AK6" t="str">
        <f t="shared" si="10"/>
        <v>0</v>
      </c>
      <c r="AL6" t="str">
        <f t="shared" si="11"/>
        <v>0</v>
      </c>
      <c r="AM6">
        <f t="shared" si="12"/>
        <v>543</v>
      </c>
      <c r="AN6" t="str">
        <f t="shared" si="13"/>
        <v>/0/543</v>
      </c>
      <c r="AP6">
        <f>IF(TIM!O6=TIM!O6,TIM!O6,"")</f>
        <v>0</v>
      </c>
      <c r="AQ6" t="str">
        <f t="shared" si="14"/>
        <v/>
      </c>
      <c r="AR6" t="str">
        <f t="shared" si="15"/>
        <v>0</v>
      </c>
      <c r="AS6" t="str">
        <f t="shared" si="16"/>
        <v>0</v>
      </c>
      <c r="AT6">
        <f t="shared" si="17"/>
        <v>543</v>
      </c>
      <c r="AU6" t="str">
        <f t="shared" si="18"/>
        <v>/0/543</v>
      </c>
    </row>
    <row r="7" spans="2:47">
      <c r="B7" s="11">
        <v>4</v>
      </c>
      <c r="C7" s="14" t="s">
        <v>669</v>
      </c>
      <c r="D7" s="14" t="s">
        <v>670</v>
      </c>
      <c r="E7" s="6"/>
      <c r="F7" s="11">
        <v>4</v>
      </c>
      <c r="G7" s="15" t="s">
        <v>909</v>
      </c>
      <c r="H7" s="15" t="s">
        <v>910</v>
      </c>
      <c r="J7" t="s">
        <v>208</v>
      </c>
      <c r="K7" t="str">
        <f t="shared" si="0"/>
        <v>SWEDEN</v>
      </c>
      <c r="L7">
        <f t="shared" si="1"/>
        <v>7</v>
      </c>
      <c r="M7">
        <f t="shared" si="2"/>
        <v>233</v>
      </c>
      <c r="N7">
        <v>233</v>
      </c>
      <c r="P7" t="str">
        <f t="shared" si="3"/>
        <v>Belarus</v>
      </c>
      <c r="Q7" t="str">
        <f t="shared" si="4"/>
        <v>KINGDOM OF SWEDEN</v>
      </c>
      <c r="R7">
        <f t="shared" si="5"/>
        <v>7</v>
      </c>
      <c r="S7">
        <f t="shared" si="6"/>
        <v>233</v>
      </c>
      <c r="T7">
        <v>233</v>
      </c>
      <c r="V7" t="str">
        <f>IF(TIM!F7="","",TIM!F7)</f>
        <v/>
      </c>
      <c r="W7" t="str">
        <f t="shared" si="7"/>
        <v/>
      </c>
      <c r="X7">
        <f t="shared" si="8"/>
        <v>0</v>
      </c>
      <c r="AA7" t="s">
        <v>268</v>
      </c>
      <c r="AB7" t="s">
        <v>270</v>
      </c>
      <c r="AI7">
        <f>IF(TIM!P7=TIM!P7,TIM!P7,"")</f>
        <v>0</v>
      </c>
      <c r="AJ7" t="str">
        <f t="shared" si="9"/>
        <v/>
      </c>
      <c r="AK7" t="str">
        <f t="shared" si="10"/>
        <v>0</v>
      </c>
      <c r="AL7" t="str">
        <f t="shared" si="11"/>
        <v>0</v>
      </c>
      <c r="AM7">
        <f t="shared" si="12"/>
        <v>543</v>
      </c>
      <c r="AN7" t="str">
        <f t="shared" si="13"/>
        <v>/0/543</v>
      </c>
      <c r="AP7">
        <f>IF(TIM!O7=TIM!O7,TIM!O7,"")</f>
        <v>0</v>
      </c>
      <c r="AQ7" t="str">
        <f t="shared" si="14"/>
        <v/>
      </c>
      <c r="AR7" t="str">
        <f t="shared" si="15"/>
        <v>0</v>
      </c>
      <c r="AS7" t="str">
        <f t="shared" si="16"/>
        <v>0</v>
      </c>
      <c r="AT7">
        <f t="shared" si="17"/>
        <v>543</v>
      </c>
      <c r="AU7" t="str">
        <f t="shared" si="18"/>
        <v>/0/543</v>
      </c>
    </row>
    <row r="8" spans="2:47">
      <c r="B8" s="11">
        <v>5</v>
      </c>
      <c r="C8" s="14" t="s">
        <v>629</v>
      </c>
      <c r="D8" s="14" t="s">
        <v>630</v>
      </c>
      <c r="E8" s="6"/>
      <c r="F8" s="11">
        <v>5</v>
      </c>
      <c r="G8" s="15" t="s">
        <v>629</v>
      </c>
      <c r="H8" s="15" t="s">
        <v>883</v>
      </c>
      <c r="J8" t="s">
        <v>209</v>
      </c>
      <c r="K8" t="str">
        <f t="shared" si="0"/>
        <v>Swiss</v>
      </c>
      <c r="L8">
        <f t="shared" si="1"/>
        <v>8</v>
      </c>
      <c r="M8" t="e">
        <f t="shared" si="2"/>
        <v>#N/A</v>
      </c>
      <c r="N8">
        <v>14</v>
      </c>
      <c r="P8" t="str">
        <f t="shared" si="3"/>
        <v>Belgium</v>
      </c>
      <c r="Q8" t="str">
        <f t="shared" si="4"/>
        <v>Swiss Confederation</v>
      </c>
      <c r="R8">
        <f t="shared" si="5"/>
        <v>8</v>
      </c>
      <c r="S8">
        <f t="shared" si="6"/>
        <v>14</v>
      </c>
      <c r="T8">
        <v>14</v>
      </c>
      <c r="V8" t="str">
        <f>IF(TIM!F8="","",TIM!F8)</f>
        <v/>
      </c>
      <c r="W8" t="str">
        <f t="shared" si="7"/>
        <v/>
      </c>
      <c r="X8">
        <f t="shared" si="8"/>
        <v>0</v>
      </c>
      <c r="AI8">
        <f>IF(TIM!P8=TIM!P8,TIM!P8,"")</f>
        <v>0</v>
      </c>
      <c r="AJ8" t="str">
        <f t="shared" si="9"/>
        <v/>
      </c>
      <c r="AK8" t="str">
        <f t="shared" si="10"/>
        <v>0</v>
      </c>
      <c r="AL8" t="str">
        <f t="shared" si="11"/>
        <v>0</v>
      </c>
      <c r="AM8">
        <f t="shared" si="12"/>
        <v>543</v>
      </c>
      <c r="AN8" t="str">
        <f t="shared" si="13"/>
        <v>/0/543</v>
      </c>
      <c r="AP8">
        <f>IF(TIM!O8=TIM!O8,TIM!O8,"")</f>
        <v>0</v>
      </c>
      <c r="AQ8" t="str">
        <f t="shared" si="14"/>
        <v/>
      </c>
      <c r="AR8" t="str">
        <f t="shared" si="15"/>
        <v>0</v>
      </c>
      <c r="AS8" t="str">
        <f t="shared" si="16"/>
        <v>0</v>
      </c>
      <c r="AT8">
        <f t="shared" si="17"/>
        <v>543</v>
      </c>
      <c r="AU8" t="str">
        <f t="shared" si="18"/>
        <v>/0/543</v>
      </c>
    </row>
    <row r="9" spans="2:47">
      <c r="B9" s="11">
        <v>6</v>
      </c>
      <c r="C9" s="14" t="s">
        <v>554</v>
      </c>
      <c r="D9" s="14" t="s">
        <v>555</v>
      </c>
      <c r="E9" s="6"/>
      <c r="F9" s="11">
        <v>6</v>
      </c>
      <c r="G9" s="15" t="s">
        <v>554</v>
      </c>
      <c r="H9" s="15" t="s">
        <v>836</v>
      </c>
      <c r="J9" t="s">
        <v>210</v>
      </c>
      <c r="K9" t="str">
        <f t="shared" si="0"/>
        <v>ITALIAN</v>
      </c>
      <c r="L9">
        <f t="shared" si="1"/>
        <v>9</v>
      </c>
      <c r="M9">
        <f t="shared" si="2"/>
        <v>34</v>
      </c>
      <c r="N9">
        <v>34</v>
      </c>
      <c r="P9" t="str">
        <f t="shared" si="3"/>
        <v>Brazil</v>
      </c>
      <c r="Q9" t="str">
        <f t="shared" si="4"/>
        <v>THE ITALIAN REPUBLIC</v>
      </c>
      <c r="R9">
        <f t="shared" si="5"/>
        <v>9</v>
      </c>
      <c r="S9">
        <f t="shared" si="6"/>
        <v>34</v>
      </c>
      <c r="T9">
        <v>34</v>
      </c>
      <c r="V9" t="str">
        <f>IF(TIM!F9="","",TIM!F9)</f>
        <v/>
      </c>
      <c r="W9" t="str">
        <f t="shared" si="7"/>
        <v/>
      </c>
      <c r="X9">
        <f t="shared" si="8"/>
        <v>0</v>
      </c>
      <c r="AI9">
        <f>IF(TIM!P9=TIM!P9,TIM!P9,"")</f>
        <v>0</v>
      </c>
      <c r="AJ9" t="str">
        <f t="shared" si="9"/>
        <v/>
      </c>
      <c r="AK9" t="str">
        <f t="shared" si="10"/>
        <v>0</v>
      </c>
      <c r="AL9" t="str">
        <f t="shared" si="11"/>
        <v>0</v>
      </c>
      <c r="AM9">
        <f t="shared" si="12"/>
        <v>543</v>
      </c>
      <c r="AN9" t="str">
        <f t="shared" si="13"/>
        <v>/0/543</v>
      </c>
      <c r="AP9">
        <f>IF(TIM!O9=TIM!O9,TIM!O9,"")</f>
        <v>0</v>
      </c>
      <c r="AQ9" t="str">
        <f t="shared" si="14"/>
        <v/>
      </c>
      <c r="AR9" t="str">
        <f t="shared" si="15"/>
        <v>0</v>
      </c>
      <c r="AS9" t="str">
        <f t="shared" si="16"/>
        <v>0</v>
      </c>
      <c r="AT9">
        <f t="shared" si="17"/>
        <v>543</v>
      </c>
      <c r="AU9" t="str">
        <f t="shared" si="18"/>
        <v>/0/543</v>
      </c>
    </row>
    <row r="10" spans="2:47">
      <c r="B10" s="11">
        <v>7</v>
      </c>
      <c r="C10" s="14" t="s">
        <v>712</v>
      </c>
      <c r="D10" s="14" t="s">
        <v>713</v>
      </c>
      <c r="E10" s="6"/>
      <c r="F10" s="11">
        <v>7</v>
      </c>
      <c r="G10" s="15" t="s">
        <v>712</v>
      </c>
      <c r="H10" s="15" t="s">
        <v>935</v>
      </c>
      <c r="J10" t="s">
        <v>211</v>
      </c>
      <c r="K10" t="str">
        <f t="shared" si="0"/>
        <v>NORWAY</v>
      </c>
      <c r="L10">
        <f t="shared" si="1"/>
        <v>10</v>
      </c>
      <c r="M10">
        <f t="shared" si="2"/>
        <v>26</v>
      </c>
      <c r="N10">
        <v>26</v>
      </c>
      <c r="P10" t="str">
        <f t="shared" si="3"/>
        <v>Bulgaria</v>
      </c>
      <c r="Q10" t="str">
        <f t="shared" si="4"/>
        <v>KINGDOM OF NORWAY</v>
      </c>
      <c r="R10">
        <f t="shared" si="5"/>
        <v>10</v>
      </c>
      <c r="S10">
        <f t="shared" si="6"/>
        <v>26</v>
      </c>
      <c r="T10">
        <v>26</v>
      </c>
      <c r="V10" t="str">
        <f>IF(TIM!F10="","",TIM!F10)</f>
        <v/>
      </c>
      <c r="W10" t="str">
        <f t="shared" si="7"/>
        <v/>
      </c>
      <c r="X10">
        <f t="shared" si="8"/>
        <v>0</v>
      </c>
      <c r="AI10">
        <f>IF(TIM!P10=TIM!P10,TIM!P10,"")</f>
        <v>0</v>
      </c>
      <c r="AJ10" t="str">
        <f t="shared" si="9"/>
        <v/>
      </c>
      <c r="AK10" t="str">
        <f t="shared" si="10"/>
        <v>0</v>
      </c>
      <c r="AL10" t="str">
        <f t="shared" si="11"/>
        <v>0</v>
      </c>
      <c r="AM10">
        <f t="shared" si="12"/>
        <v>543</v>
      </c>
      <c r="AN10" t="str">
        <f t="shared" si="13"/>
        <v>/0/543</v>
      </c>
      <c r="AP10">
        <f>IF(TIM!O10=TIM!O10,TIM!O10,"")</f>
        <v>0</v>
      </c>
      <c r="AQ10" t="str">
        <f t="shared" si="14"/>
        <v/>
      </c>
      <c r="AR10" t="str">
        <f t="shared" si="15"/>
        <v>0</v>
      </c>
      <c r="AS10" t="str">
        <f t="shared" si="16"/>
        <v>0</v>
      </c>
      <c r="AT10">
        <f t="shared" si="17"/>
        <v>543</v>
      </c>
      <c r="AU10" t="str">
        <f t="shared" si="18"/>
        <v>/0/543</v>
      </c>
    </row>
    <row r="11" spans="2:47">
      <c r="B11" s="11">
        <v>8</v>
      </c>
      <c r="C11" s="14" t="s">
        <v>710</v>
      </c>
      <c r="D11" s="14" t="s">
        <v>711</v>
      </c>
      <c r="E11" s="6"/>
      <c r="F11" s="11">
        <v>8</v>
      </c>
      <c r="G11" s="15" t="s">
        <v>933</v>
      </c>
      <c r="H11" s="15" t="s">
        <v>934</v>
      </c>
      <c r="J11" t="s">
        <v>212</v>
      </c>
      <c r="K11" t="str">
        <f t="shared" si="0"/>
        <v>AUSTRIA</v>
      </c>
      <c r="L11">
        <f t="shared" si="1"/>
        <v>11</v>
      </c>
      <c r="M11" t="e">
        <f t="shared" si="2"/>
        <v>#N/A</v>
      </c>
      <c r="N11">
        <v>30</v>
      </c>
      <c r="P11" t="str">
        <f t="shared" si="3"/>
        <v>Canada</v>
      </c>
      <c r="Q11" t="str">
        <f t="shared" si="4"/>
        <v>REPUBLIC OF AUSTRIA</v>
      </c>
      <c r="R11">
        <f t="shared" si="5"/>
        <v>11</v>
      </c>
      <c r="S11">
        <f t="shared" si="6"/>
        <v>30</v>
      </c>
      <c r="T11">
        <v>30</v>
      </c>
      <c r="V11" t="str">
        <f>IF(TIM!F11="","",TIM!F11)</f>
        <v/>
      </c>
      <c r="W11" t="str">
        <f t="shared" si="7"/>
        <v/>
      </c>
      <c r="X11">
        <f t="shared" si="8"/>
        <v>0</v>
      </c>
      <c r="AI11">
        <f>IF(TIM!P11=TIM!P11,TIM!P11,"")</f>
        <v>0</v>
      </c>
      <c r="AJ11" t="str">
        <f t="shared" si="9"/>
        <v/>
      </c>
      <c r="AK11" t="str">
        <f t="shared" si="10"/>
        <v>0</v>
      </c>
      <c r="AL11" t="str">
        <f t="shared" si="11"/>
        <v>0</v>
      </c>
      <c r="AM11">
        <f t="shared" si="12"/>
        <v>543</v>
      </c>
      <c r="AN11" t="str">
        <f t="shared" si="13"/>
        <v>/0/543</v>
      </c>
      <c r="AP11">
        <f>IF(TIM!O11=TIM!O11,TIM!O11,"")</f>
        <v>0</v>
      </c>
      <c r="AQ11" t="str">
        <f t="shared" si="14"/>
        <v/>
      </c>
      <c r="AR11" t="str">
        <f t="shared" si="15"/>
        <v>0</v>
      </c>
      <c r="AS11" t="str">
        <f t="shared" si="16"/>
        <v>0</v>
      </c>
      <c r="AT11">
        <f t="shared" si="17"/>
        <v>543</v>
      </c>
      <c r="AU11" t="str">
        <f t="shared" si="18"/>
        <v>/0/543</v>
      </c>
    </row>
    <row r="12" spans="2:47">
      <c r="B12" s="11">
        <v>9</v>
      </c>
      <c r="C12" s="14" t="s">
        <v>737</v>
      </c>
      <c r="D12" s="14" t="s">
        <v>738</v>
      </c>
      <c r="E12" s="6"/>
      <c r="F12" s="11">
        <v>9</v>
      </c>
      <c r="G12" s="15" t="s">
        <v>737</v>
      </c>
      <c r="H12" s="15" t="s">
        <v>981</v>
      </c>
      <c r="J12" t="s">
        <v>213</v>
      </c>
      <c r="K12" t="str">
        <f t="shared" si="0"/>
        <v>IRISH</v>
      </c>
      <c r="L12">
        <f t="shared" si="1"/>
        <v>12</v>
      </c>
      <c r="M12">
        <f t="shared" si="2"/>
        <v>220</v>
      </c>
      <c r="N12">
        <v>220</v>
      </c>
      <c r="P12" t="str">
        <f t="shared" si="3"/>
        <v>China</v>
      </c>
      <c r="Q12" t="str">
        <f t="shared" si="4"/>
        <v>IRELAND</v>
      </c>
      <c r="R12">
        <f t="shared" si="5"/>
        <v>12</v>
      </c>
      <c r="S12">
        <f t="shared" si="6"/>
        <v>44</v>
      </c>
      <c r="T12">
        <v>44</v>
      </c>
      <c r="V12" t="str">
        <f>IF(TIM!F12="","",TIM!F12)</f>
        <v/>
      </c>
      <c r="W12" t="str">
        <f t="shared" si="7"/>
        <v/>
      </c>
      <c r="X12">
        <f t="shared" si="8"/>
        <v>0</v>
      </c>
      <c r="AI12">
        <f>IF(TIM!P12=TIM!P12,TIM!P12,"")</f>
        <v>0</v>
      </c>
      <c r="AJ12" t="str">
        <f t="shared" si="9"/>
        <v/>
      </c>
      <c r="AK12" t="str">
        <f t="shared" si="10"/>
        <v>0</v>
      </c>
      <c r="AL12" t="str">
        <f t="shared" si="11"/>
        <v>0</v>
      </c>
      <c r="AM12">
        <f t="shared" si="12"/>
        <v>543</v>
      </c>
      <c r="AN12" t="str">
        <f t="shared" si="13"/>
        <v>/0/543</v>
      </c>
      <c r="AP12">
        <f>IF(TIM!O12=TIM!O12,TIM!O12,"")</f>
        <v>0</v>
      </c>
      <c r="AQ12" t="str">
        <f t="shared" si="14"/>
        <v/>
      </c>
      <c r="AR12" t="str">
        <f t="shared" si="15"/>
        <v>0</v>
      </c>
      <c r="AS12" t="str">
        <f t="shared" si="16"/>
        <v>0</v>
      </c>
      <c r="AT12">
        <f t="shared" si="17"/>
        <v>543</v>
      </c>
      <c r="AU12" t="str">
        <f t="shared" si="18"/>
        <v>/0/543</v>
      </c>
    </row>
    <row r="13" spans="2:47">
      <c r="B13" s="11">
        <v>10</v>
      </c>
      <c r="C13" s="14" t="s">
        <v>577</v>
      </c>
      <c r="D13" s="14" t="s">
        <v>578</v>
      </c>
      <c r="E13" s="6"/>
      <c r="F13" s="11">
        <v>10</v>
      </c>
      <c r="G13" s="15" t="s">
        <v>577</v>
      </c>
      <c r="H13" s="15" t="s">
        <v>851</v>
      </c>
      <c r="J13" t="s">
        <v>214</v>
      </c>
      <c r="K13" t="str">
        <f t="shared" si="0"/>
        <v>FINLAND</v>
      </c>
      <c r="L13">
        <f t="shared" si="1"/>
        <v>13</v>
      </c>
      <c r="M13">
        <f t="shared" si="2"/>
        <v>28</v>
      </c>
      <c r="N13">
        <v>28</v>
      </c>
      <c r="P13" t="str">
        <f t="shared" si="3"/>
        <v>Cyprus</v>
      </c>
      <c r="Q13" t="str">
        <f t="shared" si="4"/>
        <v>REPUBLIC OF FINLAND</v>
      </c>
      <c r="R13">
        <f t="shared" si="5"/>
        <v>13</v>
      </c>
      <c r="S13">
        <f t="shared" si="6"/>
        <v>28</v>
      </c>
      <c r="T13">
        <v>28</v>
      </c>
      <c r="V13" t="str">
        <f>IF(TIM!F13="","",TIM!F13)</f>
        <v/>
      </c>
      <c r="W13" t="str">
        <f t="shared" si="7"/>
        <v/>
      </c>
      <c r="X13">
        <f t="shared" si="8"/>
        <v>0</v>
      </c>
      <c r="AI13">
        <f>IF(TIM!P13=TIM!P13,TIM!P13,"")</f>
        <v>0</v>
      </c>
      <c r="AJ13" t="str">
        <f t="shared" si="9"/>
        <v/>
      </c>
      <c r="AK13" t="str">
        <f t="shared" si="10"/>
        <v>0</v>
      </c>
      <c r="AL13" t="str">
        <f t="shared" si="11"/>
        <v>0</v>
      </c>
      <c r="AM13">
        <f t="shared" si="12"/>
        <v>543</v>
      </c>
      <c r="AN13" t="str">
        <f t="shared" si="13"/>
        <v>/0/543</v>
      </c>
      <c r="AP13">
        <f>IF(TIM!O13=TIM!O13,TIM!O13,"")</f>
        <v>0</v>
      </c>
      <c r="AQ13" t="str">
        <f t="shared" si="14"/>
        <v/>
      </c>
      <c r="AR13" t="str">
        <f t="shared" si="15"/>
        <v>0</v>
      </c>
      <c r="AS13" t="str">
        <f t="shared" si="16"/>
        <v>0</v>
      </c>
      <c r="AT13">
        <f t="shared" si="17"/>
        <v>543</v>
      </c>
      <c r="AU13" t="str">
        <f t="shared" si="18"/>
        <v>/0/543</v>
      </c>
    </row>
    <row r="14" spans="2:47">
      <c r="B14" s="11">
        <v>11</v>
      </c>
      <c r="C14" s="14" t="s">
        <v>726</v>
      </c>
      <c r="D14" s="14" t="s">
        <v>727</v>
      </c>
      <c r="E14" s="6"/>
      <c r="F14" s="11">
        <v>11</v>
      </c>
      <c r="G14" s="15" t="s">
        <v>726</v>
      </c>
      <c r="H14" s="15" t="s">
        <v>971</v>
      </c>
      <c r="J14" t="s">
        <v>1005</v>
      </c>
      <c r="K14" t="str">
        <f t="shared" si="0"/>
        <v>BELGIAN</v>
      </c>
      <c r="L14">
        <f t="shared" si="1"/>
        <v>14</v>
      </c>
      <c r="M14" t="e">
        <f t="shared" si="2"/>
        <v>#N/A</v>
      </c>
      <c r="N14">
        <v>18</v>
      </c>
      <c r="P14" t="str">
        <f t="shared" si="3"/>
        <v>Czechia</v>
      </c>
      <c r="Q14" t="str">
        <f t="shared" si="4"/>
        <v>KINGDOM OF BELGIUM</v>
      </c>
      <c r="R14">
        <f t="shared" si="5"/>
        <v>14</v>
      </c>
      <c r="S14" t="e">
        <f t="shared" si="6"/>
        <v>#N/A</v>
      </c>
      <c r="T14">
        <v>18</v>
      </c>
      <c r="V14" t="str">
        <f>IF(TIM!F14="","",TIM!F14)</f>
        <v/>
      </c>
      <c r="W14" t="str">
        <f t="shared" si="7"/>
        <v/>
      </c>
      <c r="X14">
        <f t="shared" si="8"/>
        <v>0</v>
      </c>
      <c r="AI14">
        <f>IF(TIM!P14=TIM!P14,TIM!P14,"")</f>
        <v>0</v>
      </c>
      <c r="AJ14" t="str">
        <f t="shared" si="9"/>
        <v/>
      </c>
      <c r="AK14" t="str">
        <f t="shared" si="10"/>
        <v>0</v>
      </c>
      <c r="AL14" t="str">
        <f t="shared" si="11"/>
        <v>0</v>
      </c>
      <c r="AM14">
        <f t="shared" si="12"/>
        <v>543</v>
      </c>
      <c r="AN14" t="str">
        <f t="shared" si="13"/>
        <v>/0/543</v>
      </c>
      <c r="AP14">
        <f>IF(TIM!O14=TIM!O14,TIM!O14,"")</f>
        <v>0</v>
      </c>
      <c r="AQ14" t="str">
        <f t="shared" si="14"/>
        <v/>
      </c>
      <c r="AR14" t="str">
        <f t="shared" si="15"/>
        <v>0</v>
      </c>
      <c r="AS14" t="str">
        <f t="shared" si="16"/>
        <v>0</v>
      </c>
      <c r="AT14">
        <f t="shared" si="17"/>
        <v>543</v>
      </c>
      <c r="AU14" t="str">
        <f t="shared" si="18"/>
        <v>/0/543</v>
      </c>
    </row>
    <row r="15" spans="2:47">
      <c r="B15" s="11">
        <v>12</v>
      </c>
      <c r="C15" s="14" t="s">
        <v>770</v>
      </c>
      <c r="D15" s="14" t="s">
        <v>771</v>
      </c>
      <c r="E15" s="6"/>
      <c r="F15" s="11">
        <v>12</v>
      </c>
      <c r="G15" s="15" t="s">
        <v>1001</v>
      </c>
      <c r="H15" s="15" t="s">
        <v>1002</v>
      </c>
      <c r="J15" t="s">
        <v>215</v>
      </c>
      <c r="K15" t="str">
        <f t="shared" si="0"/>
        <v>SPAIN</v>
      </c>
      <c r="L15">
        <f t="shared" si="1"/>
        <v>15</v>
      </c>
      <c r="M15" t="e">
        <f t="shared" si="2"/>
        <v>#N/A</v>
      </c>
      <c r="N15">
        <v>6</v>
      </c>
      <c r="P15" t="str">
        <f t="shared" si="3"/>
        <v>Denmark</v>
      </c>
      <c r="Q15" t="str">
        <f t="shared" si="4"/>
        <v>KINGDOM OF SPAIN</v>
      </c>
      <c r="R15">
        <f t="shared" si="5"/>
        <v>15</v>
      </c>
      <c r="S15">
        <f t="shared" si="6"/>
        <v>6</v>
      </c>
      <c r="T15">
        <v>6</v>
      </c>
      <c r="V15" t="str">
        <f>IF(TIM!F15="","",TIM!F15)</f>
        <v/>
      </c>
      <c r="W15" t="str">
        <f t="shared" si="7"/>
        <v/>
      </c>
      <c r="X15">
        <f t="shared" si="8"/>
        <v>0</v>
      </c>
      <c r="AI15">
        <f>IF(TIM!P15=TIM!P15,TIM!P15,"")</f>
        <v>0</v>
      </c>
      <c r="AJ15" t="str">
        <f t="shared" si="9"/>
        <v/>
      </c>
      <c r="AK15" t="str">
        <f t="shared" si="10"/>
        <v>0</v>
      </c>
      <c r="AL15" t="str">
        <f t="shared" si="11"/>
        <v>0</v>
      </c>
      <c r="AM15">
        <f t="shared" si="12"/>
        <v>543</v>
      </c>
      <c r="AN15" t="str">
        <f t="shared" si="13"/>
        <v>/0/543</v>
      </c>
      <c r="AP15">
        <f>IF(TIM!O15=TIM!O15,TIM!O15,"")</f>
        <v>0</v>
      </c>
      <c r="AQ15" t="str">
        <f t="shared" si="14"/>
        <v/>
      </c>
      <c r="AR15" t="str">
        <f t="shared" si="15"/>
        <v>0</v>
      </c>
      <c r="AS15" t="str">
        <f t="shared" si="16"/>
        <v>0</v>
      </c>
      <c r="AT15">
        <f t="shared" si="17"/>
        <v>543</v>
      </c>
      <c r="AU15" t="str">
        <f t="shared" si="18"/>
        <v>/0/543</v>
      </c>
    </row>
    <row r="16" spans="2:47">
      <c r="B16" s="11">
        <v>13</v>
      </c>
      <c r="C16" s="14" t="s">
        <v>632</v>
      </c>
      <c r="D16" s="14" t="s">
        <v>633</v>
      </c>
      <c r="E16" s="6"/>
      <c r="F16" s="11">
        <v>13</v>
      </c>
      <c r="G16" s="15" t="s">
        <v>632</v>
      </c>
      <c r="H16" s="15" t="s">
        <v>884</v>
      </c>
      <c r="J16" t="s">
        <v>216</v>
      </c>
      <c r="K16" t="str">
        <f t="shared" si="0"/>
        <v>THE RUSSIAN FEDERATION</v>
      </c>
      <c r="L16">
        <f t="shared" si="1"/>
        <v>16</v>
      </c>
      <c r="M16">
        <f t="shared" si="2"/>
        <v>74</v>
      </c>
      <c r="N16">
        <v>74</v>
      </c>
      <c r="P16" t="str">
        <f t="shared" si="3"/>
        <v>Egypt</v>
      </c>
      <c r="Q16" t="str">
        <f t="shared" si="4"/>
        <v>RUSSIAN FEDERATION</v>
      </c>
      <c r="R16">
        <f t="shared" si="5"/>
        <v>16</v>
      </c>
      <c r="S16">
        <f t="shared" si="6"/>
        <v>74</v>
      </c>
      <c r="T16">
        <v>74</v>
      </c>
      <c r="V16" t="str">
        <f>IF(TIM!F16="","",TIM!F16)</f>
        <v/>
      </c>
      <c r="W16" t="str">
        <f t="shared" si="7"/>
        <v/>
      </c>
      <c r="X16">
        <f t="shared" si="8"/>
        <v>0</v>
      </c>
      <c r="AI16">
        <f>IF(TIM!P16=TIM!P16,TIM!P16,"")</f>
        <v>0</v>
      </c>
      <c r="AJ16" t="str">
        <f t="shared" si="9"/>
        <v/>
      </c>
      <c r="AK16" t="str">
        <f t="shared" si="10"/>
        <v>0</v>
      </c>
      <c r="AL16" t="str">
        <f t="shared" si="11"/>
        <v>0</v>
      </c>
      <c r="AM16">
        <f t="shared" si="12"/>
        <v>543</v>
      </c>
      <c r="AN16" t="str">
        <f t="shared" si="13"/>
        <v>/0/543</v>
      </c>
      <c r="AP16">
        <f>IF(TIM!O16=TIM!O16,TIM!O16,"")</f>
        <v>0</v>
      </c>
      <c r="AQ16" t="str">
        <f t="shared" si="14"/>
        <v/>
      </c>
      <c r="AR16" t="str">
        <f t="shared" si="15"/>
        <v>0</v>
      </c>
      <c r="AS16" t="str">
        <f t="shared" si="16"/>
        <v>0</v>
      </c>
      <c r="AT16">
        <f t="shared" si="17"/>
        <v>543</v>
      </c>
      <c r="AU16" t="str">
        <f t="shared" si="18"/>
        <v>/0/543</v>
      </c>
    </row>
    <row r="17" spans="2:47">
      <c r="B17" s="11">
        <v>14</v>
      </c>
      <c r="C17" s="14" t="s">
        <v>605</v>
      </c>
      <c r="D17" s="14" t="s">
        <v>606</v>
      </c>
      <c r="E17" s="6"/>
      <c r="F17" s="11">
        <v>14</v>
      </c>
      <c r="G17" s="15" t="s">
        <v>605</v>
      </c>
      <c r="H17" s="15" t="s">
        <v>871</v>
      </c>
      <c r="J17" t="s">
        <v>217</v>
      </c>
      <c r="K17" t="str">
        <f t="shared" si="0"/>
        <v>POLAND</v>
      </c>
      <c r="L17">
        <f t="shared" si="1"/>
        <v>17</v>
      </c>
      <c r="M17" t="e">
        <f t="shared" si="2"/>
        <v>#N/A</v>
      </c>
      <c r="N17">
        <v>179</v>
      </c>
      <c r="P17" t="str">
        <f t="shared" si="3"/>
        <v>El Salvador</v>
      </c>
      <c r="Q17" t="str">
        <f t="shared" si="4"/>
        <v>REPUBLIC OF POLAND</v>
      </c>
      <c r="R17">
        <f t="shared" si="5"/>
        <v>17</v>
      </c>
      <c r="S17">
        <f t="shared" si="6"/>
        <v>179</v>
      </c>
      <c r="T17">
        <v>179</v>
      </c>
      <c r="V17" t="str">
        <f>IF(TIM!F17="","",TIM!F17)</f>
        <v/>
      </c>
      <c r="W17" t="str">
        <f t="shared" si="7"/>
        <v/>
      </c>
      <c r="X17">
        <f t="shared" si="8"/>
        <v>0</v>
      </c>
      <c r="AI17">
        <f>IF(TIM!P17=TIM!P17,TIM!P17,"")</f>
        <v>0</v>
      </c>
      <c r="AJ17" t="str">
        <f t="shared" si="9"/>
        <v/>
      </c>
      <c r="AK17" t="str">
        <f t="shared" si="10"/>
        <v>0</v>
      </c>
      <c r="AL17" t="str">
        <f t="shared" si="11"/>
        <v>0</v>
      </c>
      <c r="AM17">
        <f t="shared" si="12"/>
        <v>543</v>
      </c>
      <c r="AN17" t="str">
        <f t="shared" si="13"/>
        <v>/0/543</v>
      </c>
      <c r="AP17">
        <f>IF(TIM!O17=TIM!O17,TIM!O17,"")</f>
        <v>0</v>
      </c>
      <c r="AQ17" t="str">
        <f t="shared" si="14"/>
        <v/>
      </c>
      <c r="AR17" t="str">
        <f t="shared" si="15"/>
        <v>0</v>
      </c>
      <c r="AS17" t="str">
        <f t="shared" si="16"/>
        <v>0</v>
      </c>
      <c r="AT17">
        <f t="shared" si="17"/>
        <v>543</v>
      </c>
      <c r="AU17" t="str">
        <f t="shared" si="18"/>
        <v>/0/543</v>
      </c>
    </row>
    <row r="18" spans="2:47">
      <c r="B18" s="11">
        <v>15</v>
      </c>
      <c r="C18" s="14" t="s">
        <v>704</v>
      </c>
      <c r="D18" s="14" t="s">
        <v>705</v>
      </c>
      <c r="E18" s="6"/>
      <c r="F18" s="11">
        <v>15</v>
      </c>
      <c r="G18" s="15" t="s">
        <v>704</v>
      </c>
      <c r="H18" s="15" t="s">
        <v>928</v>
      </c>
      <c r="J18" t="s">
        <v>218</v>
      </c>
      <c r="K18" t="str">
        <f t="shared" si="0"/>
        <v>CZECH</v>
      </c>
      <c r="L18">
        <f t="shared" si="1"/>
        <v>18</v>
      </c>
      <c r="M18">
        <f t="shared" si="2"/>
        <v>236</v>
      </c>
      <c r="N18">
        <v>236</v>
      </c>
      <c r="P18" t="str">
        <f t="shared" si="3"/>
        <v>Estonia</v>
      </c>
      <c r="Q18" t="str">
        <f t="shared" si="4"/>
        <v>CZECH REPUBLIC</v>
      </c>
      <c r="R18">
        <f t="shared" si="5"/>
        <v>18</v>
      </c>
      <c r="S18">
        <f t="shared" si="6"/>
        <v>236</v>
      </c>
      <c r="T18">
        <v>236</v>
      </c>
      <c r="V18" t="str">
        <f>IF(TIM!F18="","",TIM!F18)</f>
        <v/>
      </c>
      <c r="W18" t="str">
        <f t="shared" si="7"/>
        <v/>
      </c>
      <c r="X18">
        <f t="shared" si="8"/>
        <v>0</v>
      </c>
      <c r="AI18">
        <f>IF(TIM!P18=TIM!P18,TIM!P18,"")</f>
        <v>0</v>
      </c>
      <c r="AJ18" t="str">
        <f t="shared" si="9"/>
        <v/>
      </c>
      <c r="AK18" t="str">
        <f t="shared" si="10"/>
        <v>0</v>
      </c>
      <c r="AL18" t="str">
        <f t="shared" si="11"/>
        <v>0</v>
      </c>
      <c r="AM18">
        <f t="shared" si="12"/>
        <v>543</v>
      </c>
      <c r="AN18" t="str">
        <f t="shared" si="13"/>
        <v>/0/543</v>
      </c>
      <c r="AP18">
        <f>IF(TIM!O18=TIM!O18,TIM!O18,"")</f>
        <v>0</v>
      </c>
      <c r="AQ18" t="str">
        <f t="shared" si="14"/>
        <v/>
      </c>
      <c r="AR18" t="str">
        <f t="shared" si="15"/>
        <v>0</v>
      </c>
      <c r="AS18" t="str">
        <f t="shared" si="16"/>
        <v>0</v>
      </c>
      <c r="AT18">
        <f t="shared" si="17"/>
        <v>543</v>
      </c>
      <c r="AU18" t="str">
        <f t="shared" si="18"/>
        <v>/0/543</v>
      </c>
    </row>
    <row r="19" spans="2:47">
      <c r="B19" s="11">
        <v>16</v>
      </c>
      <c r="C19" s="14" t="s">
        <v>672</v>
      </c>
      <c r="D19" s="14" t="s">
        <v>673</v>
      </c>
      <c r="E19" s="6"/>
      <c r="F19" s="11">
        <v>16</v>
      </c>
      <c r="G19" s="15" t="s">
        <v>672</v>
      </c>
      <c r="H19" s="15" t="s">
        <v>912</v>
      </c>
      <c r="J19" t="s">
        <v>219</v>
      </c>
      <c r="K19" t="str">
        <f t="shared" si="0"/>
        <v>HUNGARY</v>
      </c>
      <c r="L19">
        <f t="shared" si="1"/>
        <v>19</v>
      </c>
      <c r="M19">
        <f t="shared" si="2"/>
        <v>75</v>
      </c>
      <c r="N19">
        <v>75</v>
      </c>
      <c r="P19" t="str">
        <f t="shared" si="3"/>
        <v>Ethiopia</v>
      </c>
      <c r="Q19" t="str">
        <f t="shared" si="4"/>
        <v>HUNGARY</v>
      </c>
      <c r="R19">
        <f t="shared" si="5"/>
        <v>19</v>
      </c>
      <c r="S19">
        <f t="shared" si="6"/>
        <v>75</v>
      </c>
      <c r="T19">
        <v>75</v>
      </c>
      <c r="V19" t="str">
        <f>IF(TIM!F19="","",TIM!F19)</f>
        <v/>
      </c>
      <c r="W19" t="str">
        <f t="shared" si="7"/>
        <v/>
      </c>
      <c r="X19">
        <f t="shared" si="8"/>
        <v>0</v>
      </c>
      <c r="AI19">
        <f>IF(TIM!P19=TIM!P19,TIM!P19,"")</f>
        <v>0</v>
      </c>
      <c r="AJ19" t="str">
        <f t="shared" si="9"/>
        <v/>
      </c>
      <c r="AK19" t="str">
        <f t="shared" si="10"/>
        <v>0</v>
      </c>
      <c r="AL19" t="str">
        <f t="shared" si="11"/>
        <v>0</v>
      </c>
      <c r="AM19">
        <f t="shared" si="12"/>
        <v>543</v>
      </c>
      <c r="AN19" t="str">
        <f t="shared" si="13"/>
        <v>/0/543</v>
      </c>
      <c r="AP19">
        <f>IF(TIM!O19=TIM!O19,TIM!O19,"")</f>
        <v>0</v>
      </c>
      <c r="AQ19" t="str">
        <f t="shared" si="14"/>
        <v/>
      </c>
      <c r="AR19" t="str">
        <f t="shared" si="15"/>
        <v>0</v>
      </c>
      <c r="AS19" t="str">
        <f t="shared" si="16"/>
        <v>0</v>
      </c>
      <c r="AT19">
        <f t="shared" si="17"/>
        <v>543</v>
      </c>
      <c r="AU19" t="str">
        <f t="shared" si="18"/>
        <v>/0/543</v>
      </c>
    </row>
    <row r="20" spans="2:47">
      <c r="B20" s="11">
        <v>17</v>
      </c>
      <c r="C20" s="14" t="s">
        <v>626</v>
      </c>
      <c r="D20" s="14" t="s">
        <v>627</v>
      </c>
      <c r="E20" s="6"/>
      <c r="F20" s="11">
        <v>17</v>
      </c>
      <c r="G20" s="15" t="s">
        <v>626</v>
      </c>
      <c r="H20" s="15" t="s">
        <v>882</v>
      </c>
      <c r="J20" t="s">
        <v>220</v>
      </c>
      <c r="K20" t="str">
        <f t="shared" si="0"/>
        <v>GREECE</v>
      </c>
      <c r="L20">
        <f t="shared" si="1"/>
        <v>20</v>
      </c>
      <c r="M20">
        <f t="shared" si="2"/>
        <v>111</v>
      </c>
      <c r="N20">
        <v>111</v>
      </c>
      <c r="P20" t="str">
        <f t="shared" si="3"/>
        <v>Fiji</v>
      </c>
      <c r="Q20" t="str">
        <f t="shared" si="4"/>
        <v>HELLENIC REPUBLIC</v>
      </c>
      <c r="R20">
        <f t="shared" si="5"/>
        <v>20</v>
      </c>
      <c r="S20">
        <f t="shared" si="6"/>
        <v>111</v>
      </c>
      <c r="T20">
        <v>111</v>
      </c>
      <c r="V20" t="str">
        <f>IF(TIM!F20="","",TIM!F20)</f>
        <v/>
      </c>
      <c r="W20" t="str">
        <f t="shared" si="7"/>
        <v/>
      </c>
      <c r="X20">
        <f t="shared" si="8"/>
        <v>0</v>
      </c>
      <c r="AI20">
        <f>IF(TIM!P20=TIM!P20,TIM!P20,"")</f>
        <v>0</v>
      </c>
      <c r="AJ20" t="str">
        <f t="shared" si="9"/>
        <v/>
      </c>
      <c r="AK20" t="str">
        <f t="shared" si="10"/>
        <v>0</v>
      </c>
      <c r="AL20" t="str">
        <f t="shared" si="11"/>
        <v>0</v>
      </c>
      <c r="AM20">
        <f t="shared" si="12"/>
        <v>543</v>
      </c>
      <c r="AN20" t="str">
        <f t="shared" si="13"/>
        <v>/0/543</v>
      </c>
      <c r="AP20">
        <f>IF(TIM!O20=TIM!O20,TIM!O20,"")</f>
        <v>0</v>
      </c>
      <c r="AQ20" t="str">
        <f t="shared" si="14"/>
        <v/>
      </c>
      <c r="AR20" t="str">
        <f t="shared" si="15"/>
        <v>0</v>
      </c>
      <c r="AS20" t="str">
        <f t="shared" si="16"/>
        <v>0</v>
      </c>
      <c r="AT20">
        <f t="shared" si="17"/>
        <v>543</v>
      </c>
      <c r="AU20" t="str">
        <f t="shared" si="18"/>
        <v>/0/543</v>
      </c>
    </row>
    <row r="21" spans="2:47">
      <c r="B21" s="11">
        <v>18</v>
      </c>
      <c r="C21" s="14" t="s">
        <v>525</v>
      </c>
      <c r="D21" s="14" t="s">
        <v>526</v>
      </c>
      <c r="E21" s="6"/>
      <c r="F21" s="11">
        <v>18</v>
      </c>
      <c r="G21" s="15" t="s">
        <v>947</v>
      </c>
      <c r="H21" s="15" t="s">
        <v>948</v>
      </c>
      <c r="J21" t="s">
        <v>221</v>
      </c>
      <c r="K21" t="str">
        <f t="shared" si="0"/>
        <v>YUGOSLAV</v>
      </c>
      <c r="L21">
        <f t="shared" si="1"/>
        <v>21</v>
      </c>
      <c r="M21">
        <f t="shared" si="2"/>
        <v>13</v>
      </c>
      <c r="N21">
        <v>13</v>
      </c>
      <c r="P21" t="str">
        <f t="shared" si="3"/>
        <v>Finland</v>
      </c>
      <c r="Q21" t="str">
        <f t="shared" si="4"/>
        <v>FEDERAL REPUBLIC OF YUGOSLAVIA</v>
      </c>
      <c r="R21">
        <f t="shared" si="5"/>
        <v>21</v>
      </c>
      <c r="S21">
        <f t="shared" si="6"/>
        <v>13</v>
      </c>
      <c r="T21">
        <v>13</v>
      </c>
      <c r="V21" t="str">
        <f>IF(TIM!F21="","",TIM!F21)</f>
        <v/>
      </c>
      <c r="W21" t="str">
        <f t="shared" si="7"/>
        <v/>
      </c>
      <c r="X21">
        <f t="shared" si="8"/>
        <v>0</v>
      </c>
      <c r="AI21">
        <f>IF(TIM!P21=TIM!P21,TIM!P21,"")</f>
        <v>0</v>
      </c>
      <c r="AJ21" t="str">
        <f t="shared" si="9"/>
        <v/>
      </c>
      <c r="AK21" t="str">
        <f t="shared" si="10"/>
        <v>0</v>
      </c>
      <c r="AL21" t="str">
        <f t="shared" si="11"/>
        <v>0</v>
      </c>
      <c r="AM21">
        <f t="shared" si="12"/>
        <v>543</v>
      </c>
      <c r="AN21" t="str">
        <f t="shared" si="13"/>
        <v>/0/543</v>
      </c>
      <c r="AP21">
        <f>IF(TIM!O21=TIM!O21,TIM!O21,"")</f>
        <v>0</v>
      </c>
      <c r="AQ21" t="str">
        <f t="shared" si="14"/>
        <v/>
      </c>
      <c r="AR21" t="str">
        <f t="shared" si="15"/>
        <v>0</v>
      </c>
      <c r="AS21" t="str">
        <f t="shared" si="16"/>
        <v>0</v>
      </c>
      <c r="AT21">
        <f t="shared" si="17"/>
        <v>543</v>
      </c>
      <c r="AU21" t="str">
        <f t="shared" si="18"/>
        <v>/0/543</v>
      </c>
    </row>
    <row r="22" spans="2:47">
      <c r="B22" s="11">
        <v>19</v>
      </c>
      <c r="C22" s="14" t="s">
        <v>774</v>
      </c>
      <c r="D22" s="14" t="s">
        <v>775</v>
      </c>
      <c r="E22" s="6"/>
      <c r="F22" s="11">
        <v>19</v>
      </c>
      <c r="G22" s="15" t="s">
        <v>774</v>
      </c>
      <c r="H22" s="15" t="s">
        <v>775</v>
      </c>
      <c r="J22" t="s">
        <v>222</v>
      </c>
      <c r="K22" t="str">
        <f t="shared" si="0"/>
        <v>LUXEMBOURGE</v>
      </c>
      <c r="L22">
        <f t="shared" si="1"/>
        <v>22</v>
      </c>
      <c r="M22">
        <f t="shared" si="2"/>
        <v>5</v>
      </c>
      <c r="N22">
        <v>5</v>
      </c>
      <c r="P22" t="str">
        <f t="shared" si="3"/>
        <v>France</v>
      </c>
      <c r="Q22" t="str">
        <f t="shared" si="4"/>
        <v>GRAND DUCHY OF LUXEMBLURG</v>
      </c>
      <c r="R22">
        <f t="shared" si="5"/>
        <v>22</v>
      </c>
      <c r="S22" t="e">
        <f t="shared" si="6"/>
        <v>#N/A</v>
      </c>
      <c r="T22">
        <v>5</v>
      </c>
      <c r="V22" t="str">
        <f>IF(TIM!F22="","",TIM!F22)</f>
        <v/>
      </c>
      <c r="W22" t="str">
        <f t="shared" si="7"/>
        <v/>
      </c>
      <c r="X22">
        <f t="shared" si="8"/>
        <v>0</v>
      </c>
      <c r="AI22">
        <f>IF(TIM!P22=TIM!P22,TIM!P22,"")</f>
        <v>0</v>
      </c>
      <c r="AJ22" t="str">
        <f t="shared" si="9"/>
        <v/>
      </c>
      <c r="AK22" t="str">
        <f t="shared" si="10"/>
        <v>0</v>
      </c>
      <c r="AL22" t="str">
        <f t="shared" si="11"/>
        <v>0</v>
      </c>
      <c r="AM22">
        <f t="shared" si="12"/>
        <v>543</v>
      </c>
      <c r="AN22" t="str">
        <f t="shared" si="13"/>
        <v>/0/543</v>
      </c>
      <c r="AP22">
        <f>IF(TIM!O22=TIM!O22,TIM!O22,"")</f>
        <v>0</v>
      </c>
      <c r="AQ22" t="str">
        <f t="shared" si="14"/>
        <v/>
      </c>
      <c r="AR22" t="str">
        <f t="shared" si="15"/>
        <v>0</v>
      </c>
      <c r="AS22" t="str">
        <f t="shared" si="16"/>
        <v>0</v>
      </c>
      <c r="AT22">
        <f t="shared" si="17"/>
        <v>543</v>
      </c>
      <c r="AU22" t="str">
        <f t="shared" si="18"/>
        <v>/0/543</v>
      </c>
    </row>
    <row r="23" spans="2:47">
      <c r="B23" s="11">
        <v>20</v>
      </c>
      <c r="C23" s="14" t="s">
        <v>463</v>
      </c>
      <c r="D23" s="14" t="s">
        <v>464</v>
      </c>
      <c r="E23" s="6"/>
      <c r="F23" s="11">
        <v>20</v>
      </c>
      <c r="G23" s="15" t="s">
        <v>781</v>
      </c>
      <c r="H23" s="15" t="s">
        <v>782</v>
      </c>
      <c r="J23" t="s">
        <v>223</v>
      </c>
      <c r="K23" t="str">
        <f t="shared" si="0"/>
        <v>VATIGAN</v>
      </c>
      <c r="L23">
        <f t="shared" si="1"/>
        <v>23</v>
      </c>
      <c r="M23">
        <f t="shared" si="2"/>
        <v>226</v>
      </c>
      <c r="N23">
        <v>226</v>
      </c>
      <c r="P23" t="str">
        <f t="shared" si="3"/>
        <v>Georgia</v>
      </c>
      <c r="Q23" t="str">
        <f t="shared" si="4"/>
        <v>VATICAN CITY STATE ; THE HOLY SEE</v>
      </c>
      <c r="R23">
        <f t="shared" si="5"/>
        <v>23</v>
      </c>
      <c r="S23">
        <f t="shared" si="6"/>
        <v>226</v>
      </c>
      <c r="T23">
        <v>226</v>
      </c>
      <c r="V23" t="str">
        <f>IF(TIM!F23="","",TIM!F23)</f>
        <v/>
      </c>
      <c r="W23" t="str">
        <f t="shared" si="7"/>
        <v/>
      </c>
      <c r="X23">
        <f t="shared" si="8"/>
        <v>0</v>
      </c>
      <c r="AI23">
        <f>IF(TIM!P23=TIM!P23,TIM!P23,"")</f>
        <v>0</v>
      </c>
      <c r="AJ23" t="str">
        <f t="shared" si="9"/>
        <v/>
      </c>
      <c r="AK23" t="str">
        <f t="shared" si="10"/>
        <v>0</v>
      </c>
      <c r="AL23" t="str">
        <f t="shared" si="11"/>
        <v>0</v>
      </c>
      <c r="AM23">
        <f t="shared" si="12"/>
        <v>543</v>
      </c>
      <c r="AN23" t="str">
        <f t="shared" si="13"/>
        <v>/0/543</v>
      </c>
      <c r="AP23">
        <f>IF(TIM!O23=TIM!O23,TIM!O23,"")</f>
        <v>0</v>
      </c>
      <c r="AQ23" t="str">
        <f t="shared" si="14"/>
        <v/>
      </c>
      <c r="AR23" t="str">
        <f t="shared" si="15"/>
        <v>0</v>
      </c>
      <c r="AS23" t="str">
        <f t="shared" si="16"/>
        <v>0</v>
      </c>
      <c r="AT23">
        <f t="shared" si="17"/>
        <v>543</v>
      </c>
      <c r="AU23" t="str">
        <f t="shared" si="18"/>
        <v>/0/543</v>
      </c>
    </row>
    <row r="24" spans="2:47">
      <c r="B24" s="11">
        <v>21</v>
      </c>
      <c r="C24" s="14" t="s">
        <v>28</v>
      </c>
      <c r="D24" s="14" t="s">
        <v>665</v>
      </c>
      <c r="E24" s="6"/>
      <c r="F24" s="11">
        <v>21</v>
      </c>
      <c r="G24" s="15" t="s">
        <v>906</v>
      </c>
      <c r="H24" s="15" t="s">
        <v>907</v>
      </c>
      <c r="J24" t="s">
        <v>224</v>
      </c>
      <c r="K24" t="str">
        <f t="shared" si="0"/>
        <v>MALTESE</v>
      </c>
      <c r="L24">
        <f t="shared" si="1"/>
        <v>24</v>
      </c>
      <c r="M24" t="e">
        <f t="shared" si="2"/>
        <v>#N/A</v>
      </c>
      <c r="N24">
        <v>4</v>
      </c>
      <c r="P24" t="str">
        <f t="shared" si="3"/>
        <v>Germany</v>
      </c>
      <c r="Q24" t="str">
        <f t="shared" si="4"/>
        <v>REPUBLIC OF MALTA</v>
      </c>
      <c r="R24">
        <f t="shared" si="5"/>
        <v>24</v>
      </c>
      <c r="S24">
        <f t="shared" si="6"/>
        <v>4</v>
      </c>
      <c r="T24">
        <v>4</v>
      </c>
      <c r="V24" t="str">
        <f>IF(TIM!F24="","",TIM!F24)</f>
        <v/>
      </c>
      <c r="W24" t="str">
        <f t="shared" si="7"/>
        <v/>
      </c>
      <c r="X24">
        <f t="shared" si="8"/>
        <v>0</v>
      </c>
      <c r="AI24">
        <f>IF(TIM!P24=TIM!P24,TIM!P24,"")</f>
        <v>0</v>
      </c>
      <c r="AJ24" t="str">
        <f t="shared" si="9"/>
        <v/>
      </c>
      <c r="AK24" t="str">
        <f t="shared" si="10"/>
        <v>0</v>
      </c>
      <c r="AL24" t="str">
        <f t="shared" si="11"/>
        <v>0</v>
      </c>
      <c r="AM24">
        <f t="shared" si="12"/>
        <v>543</v>
      </c>
      <c r="AN24" t="str">
        <f t="shared" si="13"/>
        <v>/0/543</v>
      </c>
      <c r="AP24">
        <f>IF(TIM!O24=TIM!O24,TIM!O24,"")</f>
        <v>0</v>
      </c>
      <c r="AQ24" t="str">
        <f t="shared" si="14"/>
        <v/>
      </c>
      <c r="AR24" t="str">
        <f t="shared" si="15"/>
        <v>0</v>
      </c>
      <c r="AS24" t="str">
        <f t="shared" si="16"/>
        <v>0</v>
      </c>
      <c r="AT24">
        <f t="shared" si="17"/>
        <v>543</v>
      </c>
      <c r="AU24" t="str">
        <f t="shared" si="18"/>
        <v>/0/543</v>
      </c>
    </row>
    <row r="25" spans="2:47">
      <c r="B25" s="11">
        <v>22</v>
      </c>
      <c r="C25" s="14" t="s">
        <v>678</v>
      </c>
      <c r="D25" s="14" t="s">
        <v>679</v>
      </c>
      <c r="E25" s="6"/>
      <c r="F25" s="11">
        <v>22</v>
      </c>
      <c r="G25" s="15" t="s">
        <v>678</v>
      </c>
      <c r="H25" s="15" t="s">
        <v>914</v>
      </c>
      <c r="J25" t="s">
        <v>225</v>
      </c>
      <c r="K25" t="str">
        <f t="shared" si="0"/>
        <v>Lisu</v>
      </c>
      <c r="L25">
        <f t="shared" si="1"/>
        <v>25</v>
      </c>
      <c r="M25">
        <f t="shared" si="2"/>
        <v>20</v>
      </c>
      <c r="N25">
        <v>20</v>
      </c>
      <c r="P25" t="str">
        <f t="shared" si="3"/>
        <v>Greece</v>
      </c>
      <c r="Q25" t="str">
        <f t="shared" si="4"/>
        <v>REPUBLIC OF BULGARIA</v>
      </c>
      <c r="R25">
        <f t="shared" si="5"/>
        <v>26</v>
      </c>
      <c r="S25" t="e">
        <f t="shared" si="6"/>
        <v>#N/A</v>
      </c>
      <c r="T25">
        <v>20</v>
      </c>
      <c r="V25" t="str">
        <f>IF(TIM!F25="","",TIM!F25)</f>
        <v/>
      </c>
      <c r="W25" t="str">
        <f t="shared" si="7"/>
        <v/>
      </c>
      <c r="X25">
        <f t="shared" si="8"/>
        <v>0</v>
      </c>
      <c r="AI25">
        <f>IF(TIM!P25=TIM!P25,TIM!P25,"")</f>
        <v>0</v>
      </c>
      <c r="AJ25" t="str">
        <f t="shared" si="9"/>
        <v/>
      </c>
      <c r="AK25" t="str">
        <f t="shared" si="10"/>
        <v>0</v>
      </c>
      <c r="AL25" t="str">
        <f t="shared" si="11"/>
        <v>0</v>
      </c>
      <c r="AM25">
        <f t="shared" si="12"/>
        <v>543</v>
      </c>
      <c r="AN25" t="str">
        <f t="shared" si="13"/>
        <v>/0/543</v>
      </c>
      <c r="AP25">
        <f>IF(TIM!O25=TIM!O25,TIM!O25,"")</f>
        <v>0</v>
      </c>
      <c r="AQ25" t="str">
        <f t="shared" si="14"/>
        <v/>
      </c>
      <c r="AR25" t="str">
        <f t="shared" si="15"/>
        <v>0</v>
      </c>
      <c r="AS25" t="str">
        <f t="shared" si="16"/>
        <v>0</v>
      </c>
      <c r="AT25">
        <f t="shared" si="17"/>
        <v>543</v>
      </c>
      <c r="AU25" t="str">
        <f t="shared" si="18"/>
        <v>/0/543</v>
      </c>
    </row>
    <row r="26" spans="2:47">
      <c r="B26" s="11">
        <v>23</v>
      </c>
      <c r="C26" s="14" t="s">
        <v>29</v>
      </c>
      <c r="D26" s="14" t="s">
        <v>696</v>
      </c>
      <c r="E26" s="6"/>
      <c r="F26" s="11">
        <v>23</v>
      </c>
      <c r="G26" s="15" t="s">
        <v>29</v>
      </c>
      <c r="H26" s="15" t="s">
        <v>923</v>
      </c>
      <c r="J26" t="s">
        <v>226</v>
      </c>
      <c r="K26" t="str">
        <f t="shared" si="0"/>
        <v>BULGARIA</v>
      </c>
      <c r="L26">
        <f t="shared" si="1"/>
        <v>26</v>
      </c>
      <c r="M26" t="e">
        <f t="shared" si="2"/>
        <v>#N/A</v>
      </c>
      <c r="N26">
        <v>219</v>
      </c>
      <c r="P26" t="str">
        <f t="shared" si="3"/>
        <v>Hong Kong</v>
      </c>
      <c r="Q26" t="str">
        <f t="shared" si="4"/>
        <v>ROMANIA</v>
      </c>
      <c r="R26">
        <f t="shared" si="5"/>
        <v>27</v>
      </c>
      <c r="S26">
        <f t="shared" si="6"/>
        <v>931</v>
      </c>
      <c r="T26">
        <v>931</v>
      </c>
      <c r="V26" t="str">
        <f>IF(TIM!F26="","",TIM!F26)</f>
        <v/>
      </c>
      <c r="W26" t="str">
        <f t="shared" si="7"/>
        <v/>
      </c>
      <c r="X26">
        <f t="shared" si="8"/>
        <v>0</v>
      </c>
      <c r="AI26">
        <f>IF(TIM!P26=TIM!P26,TIM!P26,"")</f>
        <v>0</v>
      </c>
      <c r="AJ26" t="str">
        <f t="shared" si="9"/>
        <v/>
      </c>
      <c r="AK26" t="str">
        <f t="shared" si="10"/>
        <v>0</v>
      </c>
      <c r="AL26" t="str">
        <f t="shared" si="11"/>
        <v>0</v>
      </c>
      <c r="AM26">
        <f t="shared" si="12"/>
        <v>543</v>
      </c>
      <c r="AN26" t="str">
        <f t="shared" si="13"/>
        <v>/0/543</v>
      </c>
      <c r="AP26">
        <f>IF(TIM!O26=TIM!O26,TIM!O26,"")</f>
        <v>0</v>
      </c>
      <c r="AQ26" t="str">
        <f t="shared" si="14"/>
        <v/>
      </c>
      <c r="AR26" t="str">
        <f t="shared" si="15"/>
        <v>0</v>
      </c>
      <c r="AS26" t="str">
        <f t="shared" si="16"/>
        <v>0</v>
      </c>
      <c r="AT26">
        <f t="shared" si="17"/>
        <v>543</v>
      </c>
      <c r="AU26" t="str">
        <f t="shared" si="18"/>
        <v>/0/543</v>
      </c>
    </row>
    <row r="27" spans="2:47">
      <c r="B27" s="11">
        <v>24</v>
      </c>
      <c r="C27" s="14" t="s">
        <v>30</v>
      </c>
      <c r="D27" s="14" t="s">
        <v>645</v>
      </c>
      <c r="E27" s="6"/>
      <c r="F27" s="11">
        <v>24</v>
      </c>
      <c r="G27" s="15" t="s">
        <v>30</v>
      </c>
      <c r="H27" s="15" t="s">
        <v>891</v>
      </c>
      <c r="J27" t="s">
        <v>227</v>
      </c>
      <c r="K27" t="str">
        <f t="shared" si="0"/>
        <v>ROMANIAN</v>
      </c>
      <c r="L27">
        <f t="shared" si="1"/>
        <v>27</v>
      </c>
      <c r="M27">
        <f t="shared" si="2"/>
        <v>19</v>
      </c>
      <c r="N27">
        <v>19</v>
      </c>
      <c r="P27" t="str">
        <f t="shared" si="3"/>
        <v>Hungary</v>
      </c>
      <c r="Q27" t="str">
        <f t="shared" si="4"/>
        <v>REPUBLIC OF CYPRUS</v>
      </c>
      <c r="R27">
        <f t="shared" si="5"/>
        <v>28</v>
      </c>
      <c r="S27">
        <f t="shared" si="6"/>
        <v>19</v>
      </c>
      <c r="T27">
        <v>19</v>
      </c>
      <c r="V27" t="str">
        <f>IF(TIM!F27="","",TIM!F27)</f>
        <v/>
      </c>
      <c r="W27" t="str">
        <f t="shared" si="7"/>
        <v/>
      </c>
      <c r="X27">
        <f t="shared" si="8"/>
        <v>0</v>
      </c>
      <c r="AI27">
        <f>IF(TIM!P27=TIM!P27,TIM!P27,"")</f>
        <v>0</v>
      </c>
      <c r="AJ27" t="str">
        <f t="shared" si="9"/>
        <v/>
      </c>
      <c r="AK27" t="str">
        <f t="shared" si="10"/>
        <v>0</v>
      </c>
      <c r="AL27" t="str">
        <f t="shared" si="11"/>
        <v>0</v>
      </c>
      <c r="AM27">
        <f t="shared" si="12"/>
        <v>543</v>
      </c>
      <c r="AN27" t="str">
        <f t="shared" si="13"/>
        <v>/0/543</v>
      </c>
      <c r="AP27">
        <f>IF(TIM!O27=TIM!O27,TIM!O27,"")</f>
        <v>0</v>
      </c>
      <c r="AQ27" t="str">
        <f t="shared" si="14"/>
        <v/>
      </c>
      <c r="AR27" t="str">
        <f t="shared" si="15"/>
        <v>0</v>
      </c>
      <c r="AS27" t="str">
        <f t="shared" si="16"/>
        <v>0</v>
      </c>
      <c r="AT27">
        <f t="shared" si="17"/>
        <v>543</v>
      </c>
      <c r="AU27" t="str">
        <f t="shared" si="18"/>
        <v>/0/543</v>
      </c>
    </row>
    <row r="28" spans="2:47">
      <c r="B28" s="11">
        <v>25</v>
      </c>
      <c r="C28" s="14" t="s">
        <v>31</v>
      </c>
      <c r="D28" s="14" t="s">
        <v>690</v>
      </c>
      <c r="E28" s="6"/>
      <c r="F28" s="11">
        <v>26</v>
      </c>
      <c r="G28" s="15" t="s">
        <v>32</v>
      </c>
      <c r="H28" s="15" t="s">
        <v>866</v>
      </c>
      <c r="J28" t="s">
        <v>228</v>
      </c>
      <c r="K28" t="str">
        <f t="shared" si="0"/>
        <v>CYPRUS</v>
      </c>
      <c r="L28">
        <f t="shared" si="1"/>
        <v>28</v>
      </c>
      <c r="M28">
        <f t="shared" si="2"/>
        <v>45</v>
      </c>
      <c r="N28">
        <v>45</v>
      </c>
      <c r="P28" t="str">
        <f t="shared" si="3"/>
        <v>India</v>
      </c>
      <c r="Q28" t="str">
        <f t="shared" si="4"/>
        <v>UNITED STATES OF AMERICA</v>
      </c>
      <c r="R28">
        <f t="shared" si="5"/>
        <v>29</v>
      </c>
      <c r="S28">
        <f t="shared" si="6"/>
        <v>45</v>
      </c>
      <c r="T28">
        <v>45</v>
      </c>
      <c r="V28" t="str">
        <f>IF(TIM!F28="","",TIM!F28)</f>
        <v/>
      </c>
      <c r="W28" t="str">
        <f t="shared" si="7"/>
        <v/>
      </c>
      <c r="X28">
        <f t="shared" si="8"/>
        <v>0</v>
      </c>
      <c r="AI28">
        <f>IF(TIM!P28=TIM!P28,TIM!P28,"")</f>
        <v>0</v>
      </c>
      <c r="AJ28" t="str">
        <f t="shared" si="9"/>
        <v/>
      </c>
      <c r="AK28" t="str">
        <f t="shared" si="10"/>
        <v>0</v>
      </c>
      <c r="AL28" t="str">
        <f t="shared" si="11"/>
        <v>0</v>
      </c>
      <c r="AM28">
        <f t="shared" si="12"/>
        <v>543</v>
      </c>
      <c r="AN28" t="str">
        <f t="shared" si="13"/>
        <v>/0/543</v>
      </c>
      <c r="AP28">
        <f>IF(TIM!O28=TIM!O28,TIM!O28,"")</f>
        <v>0</v>
      </c>
      <c r="AQ28" t="str">
        <f t="shared" si="14"/>
        <v/>
      </c>
      <c r="AR28" t="str">
        <f t="shared" si="15"/>
        <v>0</v>
      </c>
      <c r="AS28" t="str">
        <f t="shared" si="16"/>
        <v>0</v>
      </c>
      <c r="AT28">
        <f t="shared" si="17"/>
        <v>543</v>
      </c>
      <c r="AU28" t="str">
        <f t="shared" si="18"/>
        <v>/0/543</v>
      </c>
    </row>
    <row r="29" spans="2:47">
      <c r="B29" s="11">
        <v>26</v>
      </c>
      <c r="C29" s="14" t="s">
        <v>32</v>
      </c>
      <c r="D29" s="14" t="s">
        <v>598</v>
      </c>
      <c r="E29" s="6"/>
      <c r="F29" s="11">
        <v>27</v>
      </c>
      <c r="G29" s="15" t="s">
        <v>674</v>
      </c>
      <c r="H29" s="15" t="s">
        <v>913</v>
      </c>
      <c r="J29" t="s">
        <v>229</v>
      </c>
      <c r="K29" t="str">
        <f t="shared" si="0"/>
        <v>AMERICAN</v>
      </c>
      <c r="L29">
        <f t="shared" si="1"/>
        <v>29</v>
      </c>
      <c r="M29">
        <f t="shared" si="2"/>
        <v>51</v>
      </c>
      <c r="N29">
        <v>51</v>
      </c>
      <c r="P29" t="str">
        <f t="shared" si="3"/>
        <v>Indonesia</v>
      </c>
      <c r="Q29" t="str">
        <f t="shared" si="4"/>
        <v>CANADA</v>
      </c>
      <c r="R29">
        <f t="shared" si="5"/>
        <v>30</v>
      </c>
      <c r="S29">
        <f t="shared" si="6"/>
        <v>51</v>
      </c>
      <c r="T29">
        <v>51</v>
      </c>
      <c r="V29" t="str">
        <f>IF(TIM!F29="","",TIM!F29)</f>
        <v/>
      </c>
      <c r="W29" t="str">
        <f t="shared" si="7"/>
        <v/>
      </c>
      <c r="X29">
        <f t="shared" si="8"/>
        <v>0</v>
      </c>
      <c r="AI29">
        <f>IF(TIM!P29=TIM!P29,TIM!P29,"")</f>
        <v>0</v>
      </c>
      <c r="AJ29" t="str">
        <f t="shared" si="9"/>
        <v/>
      </c>
      <c r="AK29" t="str">
        <f t="shared" si="10"/>
        <v>0</v>
      </c>
      <c r="AL29" t="str">
        <f t="shared" si="11"/>
        <v>0</v>
      </c>
      <c r="AM29">
        <f t="shared" si="12"/>
        <v>543</v>
      </c>
      <c r="AN29" t="str">
        <f t="shared" si="13"/>
        <v>/0/543</v>
      </c>
      <c r="AP29">
        <f>IF(TIM!O29=TIM!O29,TIM!O29,"")</f>
        <v>0</v>
      </c>
      <c r="AQ29" t="str">
        <f t="shared" si="14"/>
        <v/>
      </c>
      <c r="AR29" t="str">
        <f t="shared" si="15"/>
        <v>0</v>
      </c>
      <c r="AS29" t="str">
        <f t="shared" si="16"/>
        <v>0</v>
      </c>
      <c r="AT29">
        <f t="shared" si="17"/>
        <v>543</v>
      </c>
      <c r="AU29" t="str">
        <f t="shared" si="18"/>
        <v>/0/543</v>
      </c>
    </row>
    <row r="30" spans="2:47">
      <c r="B30" s="11">
        <v>27</v>
      </c>
      <c r="C30" s="14" t="s">
        <v>674</v>
      </c>
      <c r="D30" s="14" t="s">
        <v>675</v>
      </c>
      <c r="E30" s="6"/>
      <c r="F30" s="11">
        <v>28</v>
      </c>
      <c r="G30" s="15" t="s">
        <v>33</v>
      </c>
      <c r="H30" s="15" t="s">
        <v>835</v>
      </c>
      <c r="J30" t="s">
        <v>230</v>
      </c>
      <c r="K30" t="str">
        <f t="shared" si="0"/>
        <v>CANADIAN</v>
      </c>
      <c r="L30">
        <f t="shared" si="1"/>
        <v>30</v>
      </c>
      <c r="M30" t="e">
        <f t="shared" si="2"/>
        <v>#N/A</v>
      </c>
      <c r="N30">
        <v>12</v>
      </c>
      <c r="P30" t="str">
        <f t="shared" si="3"/>
        <v>Ireland</v>
      </c>
      <c r="Q30" t="str">
        <f t="shared" si="4"/>
        <v>UNITED MEXICAN STATES</v>
      </c>
      <c r="R30">
        <f t="shared" si="5"/>
        <v>31</v>
      </c>
      <c r="S30">
        <f t="shared" si="6"/>
        <v>12</v>
      </c>
      <c r="T30">
        <v>12</v>
      </c>
      <c r="V30" t="str">
        <f>IF(TIM!F30="","",TIM!F30)</f>
        <v/>
      </c>
      <c r="W30" t="str">
        <f t="shared" si="7"/>
        <v/>
      </c>
      <c r="X30">
        <f t="shared" si="8"/>
        <v>0</v>
      </c>
      <c r="AI30">
        <f>IF(TIM!P30=TIM!P30,TIM!P30,"")</f>
        <v>0</v>
      </c>
      <c r="AJ30" t="str">
        <f t="shared" si="9"/>
        <v/>
      </c>
      <c r="AK30" t="str">
        <f t="shared" si="10"/>
        <v>0</v>
      </c>
      <c r="AL30" t="str">
        <f t="shared" si="11"/>
        <v>0</v>
      </c>
      <c r="AM30">
        <f t="shared" si="12"/>
        <v>543</v>
      </c>
      <c r="AN30" t="str">
        <f t="shared" si="13"/>
        <v>/0/543</v>
      </c>
      <c r="AP30">
        <f>IF(TIM!O30=TIM!O30,TIM!O30,"")</f>
        <v>0</v>
      </c>
      <c r="AQ30" t="str">
        <f t="shared" si="14"/>
        <v/>
      </c>
      <c r="AR30" t="str">
        <f t="shared" si="15"/>
        <v>0</v>
      </c>
      <c r="AS30" t="str">
        <f t="shared" si="16"/>
        <v>0</v>
      </c>
      <c r="AT30">
        <f t="shared" si="17"/>
        <v>543</v>
      </c>
      <c r="AU30" t="str">
        <f t="shared" si="18"/>
        <v>/0/543</v>
      </c>
    </row>
    <row r="31" spans="2:47">
      <c r="B31" s="11">
        <v>28</v>
      </c>
      <c r="C31" s="14" t="s">
        <v>33</v>
      </c>
      <c r="D31" s="14" t="s">
        <v>550</v>
      </c>
      <c r="E31" s="6"/>
      <c r="F31" s="11">
        <v>29</v>
      </c>
      <c r="G31" s="15" t="s">
        <v>936</v>
      </c>
      <c r="H31" s="15" t="s">
        <v>937</v>
      </c>
      <c r="J31" t="s">
        <v>231</v>
      </c>
      <c r="K31" t="str">
        <f t="shared" si="0"/>
        <v>MEXICAN</v>
      </c>
      <c r="L31">
        <f t="shared" si="1"/>
        <v>31</v>
      </c>
      <c r="M31">
        <f t="shared" si="2"/>
        <v>60</v>
      </c>
      <c r="N31">
        <v>60</v>
      </c>
      <c r="P31" t="str">
        <f t="shared" si="3"/>
        <v>Israel</v>
      </c>
      <c r="Q31" t="str">
        <f t="shared" si="4"/>
        <v>REPUBLIC OF CUBA</v>
      </c>
      <c r="R31">
        <f t="shared" si="5"/>
        <v>32</v>
      </c>
      <c r="S31">
        <f t="shared" si="6"/>
        <v>60</v>
      </c>
      <c r="T31">
        <v>60</v>
      </c>
      <c r="V31" t="str">
        <f>IF(TIM!F31="","",TIM!F31)</f>
        <v/>
      </c>
      <c r="W31" t="str">
        <f t="shared" si="7"/>
        <v/>
      </c>
      <c r="X31">
        <f t="shared" si="8"/>
        <v>0</v>
      </c>
      <c r="AI31">
        <f>IF(TIM!P31=TIM!P31,TIM!P31,"")</f>
        <v>0</v>
      </c>
      <c r="AJ31" t="str">
        <f t="shared" si="9"/>
        <v/>
      </c>
      <c r="AK31" t="str">
        <f t="shared" si="10"/>
        <v>0</v>
      </c>
      <c r="AL31" t="str">
        <f t="shared" si="11"/>
        <v>0</v>
      </c>
      <c r="AM31">
        <f t="shared" si="12"/>
        <v>543</v>
      </c>
      <c r="AN31" t="str">
        <f t="shared" si="13"/>
        <v>/0/543</v>
      </c>
      <c r="AP31">
        <f>IF(TIM!O31=TIM!O31,TIM!O31,"")</f>
        <v>0</v>
      </c>
      <c r="AQ31" t="str">
        <f t="shared" si="14"/>
        <v/>
      </c>
      <c r="AR31" t="str">
        <f t="shared" si="15"/>
        <v>0</v>
      </c>
      <c r="AS31" t="str">
        <f t="shared" si="16"/>
        <v>0</v>
      </c>
      <c r="AT31">
        <f t="shared" si="17"/>
        <v>543</v>
      </c>
      <c r="AU31" t="str">
        <f t="shared" si="18"/>
        <v>/0/543</v>
      </c>
    </row>
    <row r="32" spans="2:47">
      <c r="B32" s="11">
        <v>29</v>
      </c>
      <c r="C32" s="14" t="s">
        <v>722</v>
      </c>
      <c r="D32" s="14" t="s">
        <v>723</v>
      </c>
      <c r="E32" s="6"/>
      <c r="F32" s="11">
        <v>30</v>
      </c>
      <c r="G32" s="15" t="s">
        <v>503</v>
      </c>
      <c r="H32" s="15" t="s">
        <v>810</v>
      </c>
      <c r="J32" t="s">
        <v>232</v>
      </c>
      <c r="K32" t="str">
        <f t="shared" si="0"/>
        <v>CUBA</v>
      </c>
      <c r="L32">
        <f t="shared" si="1"/>
        <v>32</v>
      </c>
      <c r="M32" t="e">
        <f t="shared" si="2"/>
        <v>#N/A</v>
      </c>
      <c r="N32">
        <v>9</v>
      </c>
      <c r="P32" t="str">
        <f t="shared" si="3"/>
        <v>Italy</v>
      </c>
      <c r="Q32" t="str">
        <f t="shared" si="4"/>
        <v>ARGENTINE REPUBLIC</v>
      </c>
      <c r="R32">
        <f t="shared" si="5"/>
        <v>33</v>
      </c>
      <c r="S32" t="e">
        <f t="shared" si="6"/>
        <v>#N/A</v>
      </c>
      <c r="T32">
        <v>9</v>
      </c>
      <c r="V32" t="str">
        <f>IF(TIM!F32="","",TIM!F32)</f>
        <v/>
      </c>
      <c r="W32" t="str">
        <f t="shared" si="7"/>
        <v/>
      </c>
      <c r="X32">
        <f t="shared" si="8"/>
        <v>0</v>
      </c>
      <c r="AI32">
        <f>IF(TIM!P32=TIM!P32,TIM!P32,"")</f>
        <v>0</v>
      </c>
      <c r="AJ32" t="str">
        <f t="shared" si="9"/>
        <v/>
      </c>
      <c r="AK32" t="str">
        <f t="shared" si="10"/>
        <v>0</v>
      </c>
      <c r="AL32" t="str">
        <f t="shared" si="11"/>
        <v>0</v>
      </c>
      <c r="AM32">
        <f t="shared" si="12"/>
        <v>543</v>
      </c>
      <c r="AN32" t="str">
        <f t="shared" si="13"/>
        <v>/0/543</v>
      </c>
      <c r="AP32">
        <f>IF(TIM!O32=TIM!O32,TIM!O32,"")</f>
        <v>0</v>
      </c>
      <c r="AQ32" t="str">
        <f t="shared" si="14"/>
        <v/>
      </c>
      <c r="AR32" t="str">
        <f t="shared" si="15"/>
        <v>0</v>
      </c>
      <c r="AS32" t="str">
        <f t="shared" si="16"/>
        <v>0</v>
      </c>
      <c r="AT32">
        <f t="shared" si="17"/>
        <v>543</v>
      </c>
      <c r="AU32" t="str">
        <f t="shared" si="18"/>
        <v>/0/543</v>
      </c>
    </row>
    <row r="33" spans="2:47">
      <c r="B33" s="11">
        <v>30</v>
      </c>
      <c r="C33" s="14" t="s">
        <v>503</v>
      </c>
      <c r="D33" s="14" t="s">
        <v>504</v>
      </c>
      <c r="E33" s="6"/>
      <c r="F33" s="11">
        <v>31</v>
      </c>
      <c r="G33" s="15" t="s">
        <v>899</v>
      </c>
      <c r="H33" s="15" t="s">
        <v>900</v>
      </c>
      <c r="J33" t="s">
        <v>233</v>
      </c>
      <c r="K33" t="str">
        <f t="shared" si="0"/>
        <v>ARGENTINA</v>
      </c>
      <c r="L33">
        <f t="shared" si="1"/>
        <v>33</v>
      </c>
      <c r="M33">
        <f t="shared" si="2"/>
        <v>47</v>
      </c>
      <c r="N33">
        <v>47</v>
      </c>
      <c r="P33" t="str">
        <f t="shared" si="3"/>
        <v>Japan</v>
      </c>
      <c r="Q33" t="str">
        <f t="shared" si="4"/>
        <v>FEDERATIVE REPUBLIC OF BRAZIL</v>
      </c>
      <c r="R33">
        <f t="shared" si="5"/>
        <v>34</v>
      </c>
      <c r="S33">
        <f t="shared" si="6"/>
        <v>47</v>
      </c>
      <c r="T33">
        <v>47</v>
      </c>
      <c r="V33" t="str">
        <f>IF(TIM!F33="","",TIM!F33)</f>
        <v/>
      </c>
      <c r="W33" t="str">
        <f t="shared" si="7"/>
        <v/>
      </c>
      <c r="X33">
        <f t="shared" si="8"/>
        <v>0</v>
      </c>
      <c r="AI33">
        <f>IF(TIM!P33=TIM!P33,TIM!P33,"")</f>
        <v>0</v>
      </c>
      <c r="AJ33" t="str">
        <f t="shared" si="9"/>
        <v/>
      </c>
      <c r="AK33" t="str">
        <f t="shared" si="10"/>
        <v>0</v>
      </c>
      <c r="AL33" t="str">
        <f t="shared" si="11"/>
        <v>0</v>
      </c>
      <c r="AM33">
        <f t="shared" si="12"/>
        <v>543</v>
      </c>
      <c r="AN33" t="str">
        <f t="shared" si="13"/>
        <v>/0/543</v>
      </c>
      <c r="AP33">
        <f>IF(TIM!O33=TIM!O33,TIM!O33,"")</f>
        <v>0</v>
      </c>
      <c r="AQ33" t="str">
        <f t="shared" si="14"/>
        <v/>
      </c>
      <c r="AR33" t="str">
        <f t="shared" si="15"/>
        <v>0</v>
      </c>
      <c r="AS33" t="str">
        <f t="shared" si="16"/>
        <v>0</v>
      </c>
      <c r="AT33">
        <f t="shared" si="17"/>
        <v>543</v>
      </c>
      <c r="AU33" t="str">
        <f t="shared" si="18"/>
        <v>/0/543</v>
      </c>
    </row>
    <row r="34" spans="2:47">
      <c r="B34" s="11">
        <v>31</v>
      </c>
      <c r="C34" s="14" t="s">
        <v>654</v>
      </c>
      <c r="D34" s="14" t="s">
        <v>655</v>
      </c>
      <c r="E34" s="6"/>
      <c r="F34" s="11">
        <v>32</v>
      </c>
      <c r="G34" s="15" t="s">
        <v>496</v>
      </c>
      <c r="H34" s="15" t="s">
        <v>805</v>
      </c>
      <c r="J34" t="s">
        <v>234</v>
      </c>
      <c r="K34" t="str">
        <f t="shared" si="0"/>
        <v>BRAZIL</v>
      </c>
      <c r="L34">
        <f t="shared" si="1"/>
        <v>34</v>
      </c>
      <c r="M34" t="e">
        <f t="shared" si="2"/>
        <v>#N/A</v>
      </c>
      <c r="N34">
        <v>223</v>
      </c>
      <c r="P34" t="str">
        <f t="shared" si="3"/>
        <v>Kazakhstan</v>
      </c>
      <c r="Q34" t="str">
        <f t="shared" si="4"/>
        <v>REPUBLIC OF CHILE</v>
      </c>
      <c r="R34">
        <f t="shared" si="5"/>
        <v>35</v>
      </c>
      <c r="S34">
        <f t="shared" si="6"/>
        <v>223</v>
      </c>
      <c r="T34">
        <v>223</v>
      </c>
      <c r="V34" t="str">
        <f>IF(TIM!F34="","",TIM!F34)</f>
        <v/>
      </c>
      <c r="W34" t="str">
        <f t="shared" si="7"/>
        <v/>
      </c>
      <c r="X34">
        <f t="shared" si="8"/>
        <v>0</v>
      </c>
      <c r="AI34">
        <f>IF(TIM!P34=TIM!P34,TIM!P34,"")</f>
        <v>0</v>
      </c>
      <c r="AJ34" t="str">
        <f t="shared" si="9"/>
        <v/>
      </c>
      <c r="AK34" t="str">
        <f t="shared" si="10"/>
        <v>0</v>
      </c>
      <c r="AL34" t="str">
        <f t="shared" si="11"/>
        <v>0</v>
      </c>
      <c r="AM34">
        <f t="shared" si="12"/>
        <v>543</v>
      </c>
      <c r="AN34" t="str">
        <f t="shared" si="13"/>
        <v>/0/543</v>
      </c>
      <c r="AP34">
        <f>IF(TIM!O34=TIM!O34,TIM!O34,"")</f>
        <v>0</v>
      </c>
      <c r="AQ34" t="str">
        <f t="shared" si="14"/>
        <v/>
      </c>
      <c r="AR34" t="str">
        <f t="shared" si="15"/>
        <v>0</v>
      </c>
      <c r="AS34" t="str">
        <f t="shared" si="16"/>
        <v>0</v>
      </c>
      <c r="AT34">
        <f t="shared" si="17"/>
        <v>543</v>
      </c>
      <c r="AU34" t="str">
        <f t="shared" si="18"/>
        <v>/0/543</v>
      </c>
    </row>
    <row r="35" spans="2:47">
      <c r="B35" s="11">
        <v>32</v>
      </c>
      <c r="C35" s="14" t="s">
        <v>496</v>
      </c>
      <c r="D35" s="14" t="s">
        <v>497</v>
      </c>
      <c r="E35" s="6"/>
      <c r="F35" s="11">
        <v>33</v>
      </c>
      <c r="G35" s="15" t="s">
        <v>732</v>
      </c>
      <c r="H35" s="15" t="s">
        <v>976</v>
      </c>
      <c r="J35" t="s">
        <v>1008</v>
      </c>
      <c r="K35" t="str">
        <f t="shared" si="0"/>
        <v>CHILE</v>
      </c>
      <c r="L35">
        <f t="shared" si="1"/>
        <v>35</v>
      </c>
      <c r="M35" t="e">
        <f t="shared" si="2"/>
        <v>#N/A</v>
      </c>
      <c r="N35">
        <v>271</v>
      </c>
      <c r="P35" t="str">
        <f t="shared" si="3"/>
        <v>Kosovan</v>
      </c>
      <c r="Q35" t="str">
        <f t="shared" si="4"/>
        <v>REPUBLIC OF COLOMBIA</v>
      </c>
      <c r="R35">
        <f t="shared" si="5"/>
        <v>37</v>
      </c>
      <c r="S35" t="e">
        <f t="shared" si="6"/>
        <v>#N/A</v>
      </c>
      <c r="T35">
        <v>271</v>
      </c>
      <c r="V35" t="str">
        <f>IF(TIM!F35="","",TIM!F35)</f>
        <v/>
      </c>
      <c r="W35" t="str">
        <f t="shared" si="7"/>
        <v/>
      </c>
      <c r="X35">
        <f t="shared" si="8"/>
        <v>0</v>
      </c>
      <c r="AI35">
        <f>IF(TIM!P35=TIM!P35,TIM!P35,"")</f>
        <v>0</v>
      </c>
      <c r="AJ35" t="str">
        <f t="shared" si="9"/>
        <v/>
      </c>
      <c r="AK35" t="str">
        <f t="shared" si="10"/>
        <v>0</v>
      </c>
      <c r="AL35" t="str">
        <f t="shared" si="11"/>
        <v>0</v>
      </c>
      <c r="AM35">
        <f t="shared" si="12"/>
        <v>543</v>
      </c>
      <c r="AN35" t="str">
        <f t="shared" si="13"/>
        <v>/0/543</v>
      </c>
      <c r="AP35">
        <f>IF(TIM!O35=TIM!O35,TIM!O35,"")</f>
        <v>0</v>
      </c>
      <c r="AQ35" t="str">
        <f t="shared" si="14"/>
        <v/>
      </c>
      <c r="AR35" t="str">
        <f t="shared" si="15"/>
        <v>0</v>
      </c>
      <c r="AS35" t="str">
        <f t="shared" si="16"/>
        <v>0</v>
      </c>
      <c r="AT35">
        <f t="shared" si="17"/>
        <v>543</v>
      </c>
      <c r="AU35" t="str">
        <f t="shared" si="18"/>
        <v>/0/543</v>
      </c>
    </row>
    <row r="36" spans="2:47">
      <c r="B36" s="11">
        <v>33</v>
      </c>
      <c r="C36" s="14" t="s">
        <v>732</v>
      </c>
      <c r="D36" s="14" t="s">
        <v>733</v>
      </c>
      <c r="E36" s="6"/>
      <c r="F36" s="11">
        <v>34</v>
      </c>
      <c r="G36" s="15" t="s">
        <v>589</v>
      </c>
      <c r="H36" s="15" t="s">
        <v>860</v>
      </c>
      <c r="J36" t="s">
        <v>1006</v>
      </c>
      <c r="K36" t="str">
        <f t="shared" si="0"/>
        <v>Akha</v>
      </c>
      <c r="L36">
        <f t="shared" si="1"/>
        <v>36</v>
      </c>
      <c r="M36" t="e">
        <f t="shared" si="2"/>
        <v>#N/A</v>
      </c>
      <c r="N36">
        <v>227</v>
      </c>
      <c r="P36" t="str">
        <f t="shared" si="3"/>
        <v>Kyrgyzstan</v>
      </c>
      <c r="Q36" t="str">
        <f t="shared" si="4"/>
        <v>REPUBLIC OF PERU</v>
      </c>
      <c r="R36">
        <f t="shared" si="5"/>
        <v>39</v>
      </c>
      <c r="S36" t="e">
        <f t="shared" si="6"/>
        <v>#N/A</v>
      </c>
      <c r="T36">
        <v>227</v>
      </c>
      <c r="V36" t="str">
        <f>IF(TIM!F36="","",TIM!F36)</f>
        <v/>
      </c>
      <c r="W36" t="str">
        <f t="shared" si="7"/>
        <v/>
      </c>
      <c r="X36">
        <f t="shared" si="8"/>
        <v>0</v>
      </c>
      <c r="AI36">
        <f>IF(TIM!P36=TIM!P36,TIM!P36,"")</f>
        <v>0</v>
      </c>
      <c r="AJ36" t="str">
        <f t="shared" si="9"/>
        <v/>
      </c>
      <c r="AK36" t="str">
        <f t="shared" si="10"/>
        <v>0</v>
      </c>
      <c r="AL36" t="str">
        <f t="shared" si="11"/>
        <v>0</v>
      </c>
      <c r="AM36">
        <f t="shared" si="12"/>
        <v>543</v>
      </c>
      <c r="AN36" t="str">
        <f t="shared" si="13"/>
        <v>/0/543</v>
      </c>
      <c r="AP36">
        <f>IF(TIM!O36=TIM!O36,TIM!O36,"")</f>
        <v>0</v>
      </c>
      <c r="AQ36" t="str">
        <f t="shared" si="14"/>
        <v/>
      </c>
      <c r="AR36" t="str">
        <f t="shared" si="15"/>
        <v>0</v>
      </c>
      <c r="AS36" t="str">
        <f t="shared" si="16"/>
        <v>0</v>
      </c>
      <c r="AT36">
        <f t="shared" si="17"/>
        <v>543</v>
      </c>
      <c r="AU36" t="str">
        <f t="shared" si="18"/>
        <v>/0/543</v>
      </c>
    </row>
    <row r="37" spans="2:47">
      <c r="B37" s="11">
        <v>34</v>
      </c>
      <c r="C37" s="14" t="s">
        <v>589</v>
      </c>
      <c r="D37" s="14" t="s">
        <v>590</v>
      </c>
      <c r="E37" s="6"/>
      <c r="F37" s="11">
        <v>35</v>
      </c>
      <c r="G37" s="15" t="s">
        <v>523</v>
      </c>
      <c r="H37" s="15" t="s">
        <v>817</v>
      </c>
      <c r="J37" t="s">
        <v>235</v>
      </c>
      <c r="K37" t="str">
        <f t="shared" si="0"/>
        <v>COLOMBIA</v>
      </c>
      <c r="L37">
        <f t="shared" si="1"/>
        <v>37</v>
      </c>
      <c r="M37">
        <f t="shared" si="2"/>
        <v>61</v>
      </c>
      <c r="N37">
        <v>61</v>
      </c>
      <c r="P37" t="str">
        <f t="shared" si="3"/>
        <v>Lebanon</v>
      </c>
      <c r="Q37" t="str">
        <f t="shared" si="4"/>
        <v>REPUBLIC OF PANAMA</v>
      </c>
      <c r="R37">
        <f t="shared" si="5"/>
        <v>40</v>
      </c>
      <c r="S37">
        <f t="shared" si="6"/>
        <v>61</v>
      </c>
      <c r="T37">
        <v>61</v>
      </c>
      <c r="V37" t="str">
        <f>IF(TIM!F37="","",TIM!F37)</f>
        <v/>
      </c>
      <c r="W37" t="str">
        <f t="shared" si="7"/>
        <v/>
      </c>
      <c r="X37">
        <f t="shared" si="8"/>
        <v>0</v>
      </c>
      <c r="AI37">
        <f>IF(TIM!P37=TIM!P37,TIM!P37,"")</f>
        <v>0</v>
      </c>
      <c r="AJ37" t="str">
        <f t="shared" si="9"/>
        <v/>
      </c>
      <c r="AK37" t="str">
        <f t="shared" si="10"/>
        <v>0</v>
      </c>
      <c r="AL37" t="str">
        <f t="shared" si="11"/>
        <v>0</v>
      </c>
      <c r="AM37">
        <f t="shared" si="12"/>
        <v>543</v>
      </c>
      <c r="AN37" t="str">
        <f t="shared" si="13"/>
        <v>/0/543</v>
      </c>
      <c r="AP37">
        <f>IF(TIM!O37=TIM!O37,TIM!O37,"")</f>
        <v>0</v>
      </c>
      <c r="AQ37" t="str">
        <f t="shared" si="14"/>
        <v/>
      </c>
      <c r="AR37" t="str">
        <f t="shared" si="15"/>
        <v>0</v>
      </c>
      <c r="AS37" t="str">
        <f t="shared" si="16"/>
        <v>0</v>
      </c>
      <c r="AT37">
        <f t="shared" si="17"/>
        <v>543</v>
      </c>
      <c r="AU37" t="str">
        <f t="shared" si="18"/>
        <v>/0/543</v>
      </c>
    </row>
    <row r="38" spans="2:47">
      <c r="B38" s="11">
        <v>35</v>
      </c>
      <c r="C38" s="14" t="s">
        <v>523</v>
      </c>
      <c r="D38" s="14" t="s">
        <v>524</v>
      </c>
      <c r="E38" s="6"/>
      <c r="F38" s="11">
        <v>37</v>
      </c>
      <c r="G38" s="15" t="s">
        <v>507</v>
      </c>
      <c r="H38" s="15" t="s">
        <v>812</v>
      </c>
      <c r="J38" t="s">
        <v>236</v>
      </c>
      <c r="K38" t="str">
        <f t="shared" si="0"/>
        <v>Lua</v>
      </c>
      <c r="L38">
        <f t="shared" si="1"/>
        <v>38</v>
      </c>
      <c r="M38">
        <f t="shared" si="2"/>
        <v>238</v>
      </c>
      <c r="N38">
        <v>238</v>
      </c>
      <c r="P38" t="str">
        <f t="shared" si="3"/>
        <v>Lithuania</v>
      </c>
      <c r="Q38" t="str">
        <f t="shared" si="4"/>
        <v>URUGUAY</v>
      </c>
      <c r="R38">
        <f t="shared" si="5"/>
        <v>41</v>
      </c>
      <c r="S38">
        <f t="shared" si="6"/>
        <v>238</v>
      </c>
      <c r="T38">
        <v>238</v>
      </c>
      <c r="V38" t="str">
        <f>IF(TIM!F38="","",TIM!F38)</f>
        <v/>
      </c>
      <c r="W38" t="str">
        <f t="shared" si="7"/>
        <v/>
      </c>
      <c r="X38">
        <f t="shared" si="8"/>
        <v>0</v>
      </c>
      <c r="AI38">
        <f>IF(TIM!P38=TIM!P38,TIM!P38,"")</f>
        <v>0</v>
      </c>
      <c r="AJ38" t="str">
        <f t="shared" si="9"/>
        <v/>
      </c>
      <c r="AK38" t="str">
        <f t="shared" si="10"/>
        <v>0</v>
      </c>
      <c r="AL38" t="str">
        <f t="shared" si="11"/>
        <v>0</v>
      </c>
      <c r="AM38">
        <f t="shared" si="12"/>
        <v>543</v>
      </c>
      <c r="AN38" t="str">
        <f t="shared" si="13"/>
        <v>/0/543</v>
      </c>
      <c r="AP38">
        <f>IF(TIM!O38=TIM!O38,TIM!O38,"")</f>
        <v>0</v>
      </c>
      <c r="AQ38" t="str">
        <f t="shared" si="14"/>
        <v/>
      </c>
      <c r="AR38" t="str">
        <f t="shared" si="15"/>
        <v>0</v>
      </c>
      <c r="AS38" t="str">
        <f t="shared" si="16"/>
        <v>0</v>
      </c>
      <c r="AT38">
        <f t="shared" si="17"/>
        <v>543</v>
      </c>
      <c r="AU38" t="str">
        <f t="shared" si="18"/>
        <v>/0/543</v>
      </c>
    </row>
    <row r="39" spans="2:47">
      <c r="B39" s="11">
        <v>36</v>
      </c>
      <c r="C39" s="14" t="s">
        <v>34</v>
      </c>
      <c r="D39" s="14" t="s">
        <v>730</v>
      </c>
      <c r="E39" s="6"/>
      <c r="F39" s="11">
        <v>39</v>
      </c>
      <c r="G39" s="15" t="s">
        <v>622</v>
      </c>
      <c r="H39" s="15" t="s">
        <v>879</v>
      </c>
      <c r="J39" t="s">
        <v>237</v>
      </c>
      <c r="K39" t="str">
        <f t="shared" si="0"/>
        <v>PERU</v>
      </c>
      <c r="L39">
        <f t="shared" si="1"/>
        <v>39</v>
      </c>
      <c r="M39">
        <f t="shared" si="2"/>
        <v>22</v>
      </c>
      <c r="N39">
        <v>22</v>
      </c>
      <c r="P39" t="str">
        <f t="shared" si="3"/>
        <v>Luxembourg</v>
      </c>
      <c r="Q39" t="str">
        <f t="shared" si="4"/>
        <v>REPUBLIC OF VENEZUELA</v>
      </c>
      <c r="R39">
        <f t="shared" si="5"/>
        <v>42</v>
      </c>
      <c r="S39" t="e">
        <f t="shared" si="6"/>
        <v>#N/A</v>
      </c>
      <c r="T39">
        <v>22</v>
      </c>
      <c r="V39" t="str">
        <f>IF(TIM!F39="","",TIM!F39)</f>
        <v/>
      </c>
      <c r="W39" t="str">
        <f t="shared" si="7"/>
        <v/>
      </c>
      <c r="X39">
        <f t="shared" si="8"/>
        <v>0</v>
      </c>
      <c r="AI39">
        <f>IF(TIM!P39=TIM!P39,TIM!P39,"")</f>
        <v>0</v>
      </c>
      <c r="AJ39" t="str">
        <f t="shared" si="9"/>
        <v/>
      </c>
      <c r="AK39" t="str">
        <f t="shared" si="10"/>
        <v>0</v>
      </c>
      <c r="AL39" t="str">
        <f t="shared" si="11"/>
        <v>0</v>
      </c>
      <c r="AM39">
        <f t="shared" si="12"/>
        <v>543</v>
      </c>
      <c r="AN39" t="str">
        <f t="shared" si="13"/>
        <v>/0/543</v>
      </c>
      <c r="AP39">
        <f>IF(TIM!O39=TIM!O39,TIM!O39,"")</f>
        <v>0</v>
      </c>
      <c r="AQ39" t="str">
        <f t="shared" si="14"/>
        <v/>
      </c>
      <c r="AR39" t="str">
        <f t="shared" si="15"/>
        <v>0</v>
      </c>
      <c r="AS39" t="str">
        <f t="shared" si="16"/>
        <v>0</v>
      </c>
      <c r="AT39">
        <f t="shared" si="17"/>
        <v>543</v>
      </c>
      <c r="AU39" t="str">
        <f t="shared" si="18"/>
        <v>/0/543</v>
      </c>
    </row>
    <row r="40" spans="2:47">
      <c r="B40" s="11">
        <v>37</v>
      </c>
      <c r="C40" s="14" t="s">
        <v>507</v>
      </c>
      <c r="D40" s="14" t="s">
        <v>508</v>
      </c>
      <c r="E40" s="6"/>
      <c r="F40" s="11">
        <v>40</v>
      </c>
      <c r="G40" s="15" t="s">
        <v>616</v>
      </c>
      <c r="H40" s="15" t="s">
        <v>876</v>
      </c>
      <c r="J40" t="s">
        <v>238</v>
      </c>
      <c r="K40" t="str">
        <f t="shared" si="0"/>
        <v>PANAMA</v>
      </c>
      <c r="L40">
        <f t="shared" si="1"/>
        <v>40</v>
      </c>
      <c r="M40">
        <f t="shared" si="2"/>
        <v>50</v>
      </c>
      <c r="N40">
        <v>50</v>
      </c>
      <c r="P40" t="str">
        <f t="shared" si="3"/>
        <v>Malaysia</v>
      </c>
      <c r="Q40" t="str">
        <f t="shared" si="4"/>
        <v>PUERTORICO</v>
      </c>
      <c r="R40">
        <f t="shared" si="5"/>
        <v>43</v>
      </c>
      <c r="S40">
        <f t="shared" si="6"/>
        <v>50</v>
      </c>
      <c r="T40">
        <v>50</v>
      </c>
      <c r="V40" t="str">
        <f>IF(TIM!F40="","",TIM!F40)</f>
        <v/>
      </c>
      <c r="W40" t="str">
        <f t="shared" si="7"/>
        <v/>
      </c>
      <c r="X40">
        <f t="shared" si="8"/>
        <v>0</v>
      </c>
      <c r="AI40">
        <f>IF(TIM!P40=TIM!P40,TIM!P40,"")</f>
        <v>0</v>
      </c>
      <c r="AJ40" t="str">
        <f t="shared" si="9"/>
        <v/>
      </c>
      <c r="AK40" t="str">
        <f t="shared" si="10"/>
        <v>0</v>
      </c>
      <c r="AL40" t="str">
        <f t="shared" si="11"/>
        <v>0</v>
      </c>
      <c r="AM40">
        <f t="shared" si="12"/>
        <v>543</v>
      </c>
      <c r="AN40" t="str">
        <f t="shared" si="13"/>
        <v>/0/543</v>
      </c>
      <c r="AP40">
        <f>IF(TIM!O40=TIM!O40,TIM!O40,"")</f>
        <v>0</v>
      </c>
      <c r="AQ40" t="str">
        <f t="shared" si="14"/>
        <v/>
      </c>
      <c r="AR40" t="str">
        <f t="shared" si="15"/>
        <v>0</v>
      </c>
      <c r="AS40" t="str">
        <f t="shared" si="16"/>
        <v>0</v>
      </c>
      <c r="AT40">
        <f t="shared" si="17"/>
        <v>543</v>
      </c>
      <c r="AU40" t="str">
        <f t="shared" si="18"/>
        <v>/0/543</v>
      </c>
    </row>
    <row r="41" spans="2:47">
      <c r="B41" s="11">
        <v>38</v>
      </c>
      <c r="C41" s="14" t="s">
        <v>35</v>
      </c>
      <c r="D41" s="14" t="s">
        <v>681</v>
      </c>
      <c r="E41" s="6"/>
      <c r="F41" s="11">
        <v>41</v>
      </c>
      <c r="G41" s="15" t="s">
        <v>753</v>
      </c>
      <c r="H41" s="15" t="s">
        <v>754</v>
      </c>
      <c r="J41" t="s">
        <v>239</v>
      </c>
      <c r="K41" t="str">
        <f t="shared" si="0"/>
        <v>URUGUAY</v>
      </c>
      <c r="L41">
        <f t="shared" si="1"/>
        <v>41</v>
      </c>
      <c r="M41">
        <f t="shared" si="2"/>
        <v>153</v>
      </c>
      <c r="N41">
        <v>153</v>
      </c>
      <c r="P41" t="str">
        <f t="shared" si="3"/>
        <v>Mauritius</v>
      </c>
      <c r="Q41" t="str">
        <f t="shared" si="4"/>
        <v>PEOPLE'S REPUBLIC OF CHINA</v>
      </c>
      <c r="R41">
        <f t="shared" si="5"/>
        <v>44</v>
      </c>
      <c r="S41">
        <f t="shared" si="6"/>
        <v>153</v>
      </c>
      <c r="T41">
        <v>153</v>
      </c>
      <c r="V41" t="str">
        <f>IF(TIM!F41="","",TIM!F41)</f>
        <v/>
      </c>
      <c r="W41" t="str">
        <f t="shared" si="7"/>
        <v/>
      </c>
      <c r="X41">
        <f t="shared" si="8"/>
        <v>0</v>
      </c>
      <c r="AI41">
        <f>IF(TIM!P41=TIM!P41,TIM!P41,"")</f>
        <v>0</v>
      </c>
      <c r="AJ41" t="str">
        <f t="shared" si="9"/>
        <v/>
      </c>
      <c r="AK41" t="str">
        <f t="shared" si="10"/>
        <v>0</v>
      </c>
      <c r="AL41" t="str">
        <f t="shared" si="11"/>
        <v>0</v>
      </c>
      <c r="AM41">
        <f t="shared" si="12"/>
        <v>543</v>
      </c>
      <c r="AN41" t="str">
        <f t="shared" si="13"/>
        <v>/0/543</v>
      </c>
      <c r="AP41">
        <f>IF(TIM!O41=TIM!O41,TIM!O41,"")</f>
        <v>0</v>
      </c>
      <c r="AQ41" t="str">
        <f t="shared" si="14"/>
        <v/>
      </c>
      <c r="AR41" t="str">
        <f t="shared" si="15"/>
        <v>0</v>
      </c>
      <c r="AS41" t="str">
        <f t="shared" si="16"/>
        <v>0</v>
      </c>
      <c r="AT41">
        <f t="shared" si="17"/>
        <v>543</v>
      </c>
      <c r="AU41" t="str">
        <f t="shared" si="18"/>
        <v>/0/543</v>
      </c>
    </row>
    <row r="42" spans="2:47">
      <c r="B42" s="11">
        <v>39</v>
      </c>
      <c r="C42" s="14" t="s">
        <v>622</v>
      </c>
      <c r="D42" s="14" t="s">
        <v>623</v>
      </c>
      <c r="E42" s="6"/>
      <c r="F42" s="11">
        <v>42</v>
      </c>
      <c r="G42" s="15" t="s">
        <v>698</v>
      </c>
      <c r="H42" s="15" t="s">
        <v>925</v>
      </c>
      <c r="J42" t="s">
        <v>240</v>
      </c>
      <c r="K42" t="str">
        <f t="shared" si="0"/>
        <v>VENEZUELA</v>
      </c>
      <c r="L42">
        <f t="shared" si="1"/>
        <v>42</v>
      </c>
      <c r="M42">
        <f t="shared" si="2"/>
        <v>106</v>
      </c>
      <c r="N42">
        <v>106</v>
      </c>
      <c r="P42" t="str">
        <f t="shared" si="3"/>
        <v>Mongolia</v>
      </c>
      <c r="Q42" t="str">
        <f t="shared" si="4"/>
        <v>REPUBLIC OF INDIA</v>
      </c>
      <c r="R42">
        <f t="shared" si="5"/>
        <v>45</v>
      </c>
      <c r="S42">
        <f t="shared" si="6"/>
        <v>106</v>
      </c>
      <c r="T42">
        <v>106</v>
      </c>
      <c r="V42" t="str">
        <f>IF(TIM!F42="","",TIM!F42)</f>
        <v/>
      </c>
      <c r="W42" t="str">
        <f t="shared" si="7"/>
        <v/>
      </c>
      <c r="X42">
        <f t="shared" si="8"/>
        <v>0</v>
      </c>
      <c r="AI42">
        <f>IF(TIM!P42=TIM!P42,TIM!P42,"")</f>
        <v>0</v>
      </c>
      <c r="AJ42" t="str">
        <f t="shared" si="9"/>
        <v/>
      </c>
      <c r="AK42" t="str">
        <f t="shared" si="10"/>
        <v>0</v>
      </c>
      <c r="AL42" t="str">
        <f t="shared" si="11"/>
        <v>0</v>
      </c>
      <c r="AM42">
        <f t="shared" si="12"/>
        <v>543</v>
      </c>
      <c r="AN42" t="str">
        <f t="shared" si="13"/>
        <v>/0/543</v>
      </c>
      <c r="AP42">
        <f>IF(TIM!O42=TIM!O42,TIM!O42,"")</f>
        <v>0</v>
      </c>
      <c r="AQ42" t="str">
        <f t="shared" si="14"/>
        <v/>
      </c>
      <c r="AR42" t="str">
        <f t="shared" si="15"/>
        <v>0</v>
      </c>
      <c r="AS42" t="str">
        <f t="shared" si="16"/>
        <v>0</v>
      </c>
      <c r="AT42">
        <f t="shared" si="17"/>
        <v>543</v>
      </c>
      <c r="AU42" t="str">
        <f t="shared" si="18"/>
        <v>/0/543</v>
      </c>
    </row>
    <row r="43" spans="2:47">
      <c r="B43" s="11">
        <v>40</v>
      </c>
      <c r="C43" s="14" t="s">
        <v>616</v>
      </c>
      <c r="D43" s="14" t="s">
        <v>617</v>
      </c>
      <c r="E43" s="6"/>
      <c r="F43" s="11">
        <v>43</v>
      </c>
      <c r="G43" s="15" t="s">
        <v>36</v>
      </c>
      <c r="H43" s="15" t="s">
        <v>880</v>
      </c>
      <c r="J43" t="s">
        <v>242</v>
      </c>
      <c r="K43" t="str">
        <f t="shared" si="0"/>
        <v>CHINESE</v>
      </c>
      <c r="L43">
        <f t="shared" si="1"/>
        <v>44</v>
      </c>
      <c r="M43">
        <f t="shared" si="2"/>
        <v>55</v>
      </c>
      <c r="N43">
        <v>55</v>
      </c>
      <c r="P43" t="str">
        <f t="shared" si="3"/>
        <v>Nepal</v>
      </c>
      <c r="Q43" t="str">
        <f t="shared" si="4"/>
        <v>SOCIALIST REPUBLIC OF VIETNAM</v>
      </c>
      <c r="R43">
        <f t="shared" si="5"/>
        <v>46</v>
      </c>
      <c r="S43">
        <f t="shared" si="6"/>
        <v>55</v>
      </c>
      <c r="T43">
        <v>55</v>
      </c>
      <c r="V43" t="str">
        <f>IF(TIM!F43="","",TIM!F43)</f>
        <v/>
      </c>
      <c r="W43" t="str">
        <f t="shared" si="7"/>
        <v/>
      </c>
      <c r="X43">
        <f t="shared" si="8"/>
        <v>0</v>
      </c>
      <c r="AI43">
        <f>IF(TIM!P43=TIM!P43,TIM!P43,"")</f>
        <v>0</v>
      </c>
      <c r="AJ43" t="str">
        <f t="shared" si="9"/>
        <v/>
      </c>
      <c r="AK43" t="str">
        <f t="shared" si="10"/>
        <v>0</v>
      </c>
      <c r="AL43" t="str">
        <f t="shared" si="11"/>
        <v>0</v>
      </c>
      <c r="AM43">
        <f t="shared" si="12"/>
        <v>543</v>
      </c>
      <c r="AN43" t="str">
        <f t="shared" si="13"/>
        <v>/0/543</v>
      </c>
      <c r="AP43">
        <f>IF(TIM!O43=TIM!O43,TIM!O43,"")</f>
        <v>0</v>
      </c>
      <c r="AQ43" t="str">
        <f t="shared" si="14"/>
        <v/>
      </c>
      <c r="AR43" t="str">
        <f t="shared" si="15"/>
        <v>0</v>
      </c>
      <c r="AS43" t="str">
        <f t="shared" si="16"/>
        <v>0</v>
      </c>
      <c r="AT43">
        <f t="shared" si="17"/>
        <v>543</v>
      </c>
      <c r="AU43" t="str">
        <f t="shared" si="18"/>
        <v>/0/543</v>
      </c>
    </row>
    <row r="44" spans="2:47">
      <c r="B44" s="11">
        <v>41</v>
      </c>
      <c r="C44" s="14" t="s">
        <v>753</v>
      </c>
      <c r="D44" s="14" t="s">
        <v>754</v>
      </c>
      <c r="E44" s="6"/>
      <c r="F44" s="11">
        <v>44</v>
      </c>
      <c r="G44" s="15" t="s">
        <v>953</v>
      </c>
      <c r="H44" s="15" t="s">
        <v>954</v>
      </c>
      <c r="J44" t="s">
        <v>243</v>
      </c>
      <c r="K44" t="str">
        <f t="shared" si="0"/>
        <v>INDIA</v>
      </c>
      <c r="L44">
        <f t="shared" si="1"/>
        <v>45</v>
      </c>
      <c r="M44" t="e">
        <f t="shared" si="2"/>
        <v>#N/A</v>
      </c>
      <c r="N44">
        <v>3</v>
      </c>
      <c r="P44" t="str">
        <f t="shared" si="3"/>
        <v>Netherlands</v>
      </c>
      <c r="Q44" t="str">
        <f t="shared" si="4"/>
        <v>JAPAN</v>
      </c>
      <c r="R44">
        <f t="shared" si="5"/>
        <v>47</v>
      </c>
      <c r="S44">
        <f t="shared" si="6"/>
        <v>3</v>
      </c>
      <c r="T44">
        <v>3</v>
      </c>
      <c r="V44" t="str">
        <f>IF(TIM!F44="","",TIM!F44)</f>
        <v/>
      </c>
      <c r="W44" t="str">
        <f t="shared" si="7"/>
        <v/>
      </c>
      <c r="X44">
        <f t="shared" si="8"/>
        <v>0</v>
      </c>
      <c r="AI44">
        <f>IF(TIM!P44=TIM!P44,TIM!P44,"")</f>
        <v>0</v>
      </c>
      <c r="AJ44" t="str">
        <f t="shared" si="9"/>
        <v/>
      </c>
      <c r="AK44" t="str">
        <f t="shared" si="10"/>
        <v>0</v>
      </c>
      <c r="AL44" t="str">
        <f t="shared" si="11"/>
        <v>0</v>
      </c>
      <c r="AM44">
        <f t="shared" si="12"/>
        <v>543</v>
      </c>
      <c r="AN44" t="str">
        <f t="shared" si="13"/>
        <v>/0/543</v>
      </c>
      <c r="AP44">
        <f>IF(TIM!O44=TIM!O44,TIM!O44,"")</f>
        <v>0</v>
      </c>
      <c r="AQ44" t="str">
        <f t="shared" si="14"/>
        <v/>
      </c>
      <c r="AR44" t="str">
        <f t="shared" si="15"/>
        <v>0</v>
      </c>
      <c r="AS44" t="str">
        <f t="shared" si="16"/>
        <v>0</v>
      </c>
      <c r="AT44">
        <f t="shared" si="17"/>
        <v>543</v>
      </c>
      <c r="AU44" t="str">
        <f t="shared" si="18"/>
        <v>/0/543</v>
      </c>
    </row>
    <row r="45" spans="2:47">
      <c r="B45" s="11">
        <v>42</v>
      </c>
      <c r="C45" s="14" t="s">
        <v>698</v>
      </c>
      <c r="D45" s="14" t="s">
        <v>699</v>
      </c>
      <c r="E45" s="6"/>
      <c r="F45" s="11">
        <v>45</v>
      </c>
      <c r="G45" s="15" t="s">
        <v>739</v>
      </c>
      <c r="H45" s="15" t="s">
        <v>982</v>
      </c>
      <c r="J45" t="s">
        <v>244</v>
      </c>
      <c r="K45" t="str">
        <f t="shared" si="0"/>
        <v>VIETNAMESE</v>
      </c>
      <c r="L45">
        <f t="shared" si="1"/>
        <v>46</v>
      </c>
      <c r="M45">
        <f t="shared" si="2"/>
        <v>80</v>
      </c>
      <c r="N45">
        <v>80</v>
      </c>
      <c r="P45" t="str">
        <f t="shared" si="3"/>
        <v>New Zealand</v>
      </c>
      <c r="Q45" t="str">
        <f t="shared" si="4"/>
        <v>UNION OF MYANMAR</v>
      </c>
      <c r="R45">
        <f t="shared" si="5"/>
        <v>48</v>
      </c>
      <c r="S45">
        <f t="shared" si="6"/>
        <v>80</v>
      </c>
      <c r="T45">
        <v>80</v>
      </c>
      <c r="V45" t="str">
        <f>IF(TIM!F45="","",TIM!F45)</f>
        <v/>
      </c>
      <c r="W45" t="str">
        <f t="shared" si="7"/>
        <v/>
      </c>
      <c r="X45">
        <f t="shared" si="8"/>
        <v>0</v>
      </c>
      <c r="AI45">
        <f>IF(TIM!P45=TIM!P45,TIM!P45,"")</f>
        <v>0</v>
      </c>
      <c r="AJ45" t="str">
        <f t="shared" si="9"/>
        <v/>
      </c>
      <c r="AK45" t="str">
        <f t="shared" si="10"/>
        <v>0</v>
      </c>
      <c r="AL45" t="str">
        <f t="shared" si="11"/>
        <v>0</v>
      </c>
      <c r="AM45">
        <f t="shared" si="12"/>
        <v>543</v>
      </c>
      <c r="AN45" t="str">
        <f t="shared" si="13"/>
        <v>/0/543</v>
      </c>
      <c r="AP45">
        <f>IF(TIM!O45=TIM!O45,TIM!O45,"")</f>
        <v>0</v>
      </c>
      <c r="AQ45" t="str">
        <f t="shared" si="14"/>
        <v/>
      </c>
      <c r="AR45" t="str">
        <f t="shared" si="15"/>
        <v>0</v>
      </c>
      <c r="AS45" t="str">
        <f t="shared" si="16"/>
        <v>0</v>
      </c>
      <c r="AT45">
        <f t="shared" si="17"/>
        <v>543</v>
      </c>
      <c r="AU45" t="str">
        <f t="shared" si="18"/>
        <v>/0/543</v>
      </c>
    </row>
    <row r="46" spans="2:47">
      <c r="B46" s="11">
        <v>44</v>
      </c>
      <c r="C46" s="14" t="s">
        <v>37</v>
      </c>
      <c r="D46" s="14" t="s">
        <v>513</v>
      </c>
      <c r="E46" s="6"/>
      <c r="F46" s="11">
        <v>46</v>
      </c>
      <c r="G46" s="15" t="s">
        <v>700</v>
      </c>
      <c r="H46" s="15" t="s">
        <v>926</v>
      </c>
      <c r="J46" t="s">
        <v>245</v>
      </c>
      <c r="K46" t="str">
        <f t="shared" si="0"/>
        <v>JAPAN</v>
      </c>
      <c r="L46">
        <f t="shared" si="1"/>
        <v>47</v>
      </c>
      <c r="M46">
        <f t="shared" si="2"/>
        <v>10</v>
      </c>
      <c r="N46">
        <v>10</v>
      </c>
      <c r="P46" t="str">
        <f t="shared" si="3"/>
        <v>Norway</v>
      </c>
      <c r="Q46" t="str">
        <f t="shared" si="4"/>
        <v>REPUBLIC OF THE PHILIPPINES</v>
      </c>
      <c r="R46">
        <f t="shared" si="5"/>
        <v>49</v>
      </c>
      <c r="S46">
        <f t="shared" si="6"/>
        <v>10</v>
      </c>
      <c r="T46">
        <v>10</v>
      </c>
      <c r="V46" t="str">
        <f>IF(TIM!F46="","",TIM!F46)</f>
        <v/>
      </c>
      <c r="W46" t="str">
        <f t="shared" si="7"/>
        <v/>
      </c>
      <c r="X46">
        <f t="shared" si="8"/>
        <v>0</v>
      </c>
      <c r="AI46">
        <f>IF(TIM!P46=TIM!P46,TIM!P46,"")</f>
        <v>0</v>
      </c>
      <c r="AJ46" t="str">
        <f t="shared" si="9"/>
        <v/>
      </c>
      <c r="AK46" t="str">
        <f t="shared" si="10"/>
        <v>0</v>
      </c>
      <c r="AL46" t="str">
        <f t="shared" si="11"/>
        <v>0</v>
      </c>
      <c r="AM46">
        <f t="shared" si="12"/>
        <v>543</v>
      </c>
      <c r="AN46" t="str">
        <f t="shared" si="13"/>
        <v>/0/543</v>
      </c>
      <c r="AP46">
        <f>IF(TIM!O46=TIM!O46,TIM!O46,"")</f>
        <v>0</v>
      </c>
      <c r="AQ46" t="str">
        <f t="shared" si="14"/>
        <v/>
      </c>
      <c r="AR46" t="str">
        <f t="shared" si="15"/>
        <v>0</v>
      </c>
      <c r="AS46" t="str">
        <f t="shared" si="16"/>
        <v>0</v>
      </c>
      <c r="AT46">
        <f t="shared" si="17"/>
        <v>543</v>
      </c>
      <c r="AU46" t="str">
        <f t="shared" si="18"/>
        <v>/0/543</v>
      </c>
    </row>
    <row r="47" spans="2:47">
      <c r="B47" s="11">
        <v>45</v>
      </c>
      <c r="C47" s="14" t="s">
        <v>739</v>
      </c>
      <c r="D47" s="14" t="s">
        <v>740</v>
      </c>
      <c r="E47" s="6"/>
      <c r="F47" s="11">
        <v>47</v>
      </c>
      <c r="G47" s="15" t="s">
        <v>551</v>
      </c>
      <c r="H47" s="15" t="s">
        <v>552</v>
      </c>
      <c r="J47" t="s">
        <v>246</v>
      </c>
      <c r="K47" t="str">
        <f t="shared" si="0"/>
        <v>Myanmar</v>
      </c>
      <c r="L47">
        <f t="shared" si="1"/>
        <v>48</v>
      </c>
      <c r="M47" t="e">
        <f t="shared" si="2"/>
        <v>#N/A</v>
      </c>
      <c r="N47">
        <v>49</v>
      </c>
      <c r="P47" t="str">
        <f t="shared" si="3"/>
        <v>Philippines</v>
      </c>
      <c r="Q47" t="str">
        <f t="shared" si="4"/>
        <v>MALAYSIA</v>
      </c>
      <c r="R47">
        <f t="shared" si="5"/>
        <v>50</v>
      </c>
      <c r="S47">
        <f t="shared" si="6"/>
        <v>49</v>
      </c>
      <c r="T47">
        <v>49</v>
      </c>
      <c r="V47" t="str">
        <f>IF(TIM!F47="","",TIM!F47)</f>
        <v/>
      </c>
      <c r="W47" t="str">
        <f t="shared" si="7"/>
        <v/>
      </c>
      <c r="X47">
        <f t="shared" si="8"/>
        <v>0</v>
      </c>
      <c r="AI47">
        <f>IF(TIM!P47=TIM!P47,TIM!P47,"")</f>
        <v>0</v>
      </c>
      <c r="AJ47" t="str">
        <f t="shared" si="9"/>
        <v/>
      </c>
      <c r="AK47" t="str">
        <f t="shared" si="10"/>
        <v>0</v>
      </c>
      <c r="AL47" t="str">
        <f t="shared" si="11"/>
        <v>0</v>
      </c>
      <c r="AM47">
        <f t="shared" si="12"/>
        <v>543</v>
      </c>
      <c r="AN47" t="str">
        <f t="shared" si="13"/>
        <v>/0/543</v>
      </c>
      <c r="AP47">
        <f>IF(TIM!O47=TIM!O47,TIM!O47,"")</f>
        <v>0</v>
      </c>
      <c r="AQ47" t="str">
        <f t="shared" si="14"/>
        <v/>
      </c>
      <c r="AR47" t="str">
        <f t="shared" si="15"/>
        <v>0</v>
      </c>
      <c r="AS47" t="str">
        <f t="shared" si="16"/>
        <v>0</v>
      </c>
      <c r="AT47">
        <f t="shared" si="17"/>
        <v>543</v>
      </c>
      <c r="AU47" t="str">
        <f t="shared" si="18"/>
        <v>/0/543</v>
      </c>
    </row>
    <row r="48" spans="2:47">
      <c r="B48" s="11">
        <v>46</v>
      </c>
      <c r="C48" s="14" t="s">
        <v>700</v>
      </c>
      <c r="D48" s="14" t="s">
        <v>701</v>
      </c>
      <c r="E48" s="6"/>
      <c r="F48" s="11">
        <v>48</v>
      </c>
      <c r="G48" s="15" t="s">
        <v>657</v>
      </c>
      <c r="H48" s="15" t="s">
        <v>901</v>
      </c>
      <c r="J48" t="s">
        <v>247</v>
      </c>
      <c r="K48" t="str">
        <f t="shared" si="0"/>
        <v>PHILIPPINE</v>
      </c>
      <c r="L48">
        <f t="shared" si="1"/>
        <v>49</v>
      </c>
      <c r="M48">
        <f t="shared" si="2"/>
        <v>17</v>
      </c>
      <c r="N48">
        <v>17</v>
      </c>
      <c r="P48" t="str">
        <f t="shared" si="3"/>
        <v>Poland</v>
      </c>
      <c r="Q48" t="str">
        <f t="shared" si="4"/>
        <v>REPUBLIC OF INDONESIA</v>
      </c>
      <c r="R48">
        <f t="shared" si="5"/>
        <v>51</v>
      </c>
      <c r="S48">
        <f t="shared" si="6"/>
        <v>17</v>
      </c>
      <c r="T48">
        <v>17</v>
      </c>
      <c r="V48" t="str">
        <f>IF(TIM!F48="","",TIM!F48)</f>
        <v/>
      </c>
      <c r="W48" t="str">
        <f t="shared" si="7"/>
        <v/>
      </c>
      <c r="X48">
        <f t="shared" si="8"/>
        <v>0</v>
      </c>
      <c r="AI48">
        <f>IF(TIM!P48=TIM!P48,TIM!P48,"")</f>
        <v>0</v>
      </c>
      <c r="AJ48" t="str">
        <f t="shared" si="9"/>
        <v/>
      </c>
      <c r="AK48" t="str">
        <f t="shared" si="10"/>
        <v>0</v>
      </c>
      <c r="AL48" t="str">
        <f t="shared" si="11"/>
        <v>0</v>
      </c>
      <c r="AM48">
        <f t="shared" si="12"/>
        <v>543</v>
      </c>
      <c r="AN48" t="str">
        <f t="shared" si="13"/>
        <v>/0/543</v>
      </c>
      <c r="AP48">
        <f>IF(TIM!O48=TIM!O48,TIM!O48,"")</f>
        <v>0</v>
      </c>
      <c r="AQ48" t="str">
        <f t="shared" si="14"/>
        <v/>
      </c>
      <c r="AR48" t="str">
        <f t="shared" si="15"/>
        <v>0</v>
      </c>
      <c r="AS48" t="str">
        <f t="shared" si="16"/>
        <v>0</v>
      </c>
      <c r="AT48">
        <f t="shared" si="17"/>
        <v>543</v>
      </c>
      <c r="AU48" t="str">
        <f t="shared" si="18"/>
        <v>/0/543</v>
      </c>
    </row>
    <row r="49" spans="2:47">
      <c r="B49" s="11">
        <v>47</v>
      </c>
      <c r="C49" s="14" t="s">
        <v>551</v>
      </c>
      <c r="D49" s="14" t="s">
        <v>552</v>
      </c>
      <c r="E49" s="6"/>
      <c r="F49" s="11">
        <v>49</v>
      </c>
      <c r="G49" s="15" t="s">
        <v>885</v>
      </c>
      <c r="H49" s="15" t="s">
        <v>886</v>
      </c>
      <c r="J49" t="s">
        <v>248</v>
      </c>
      <c r="K49" t="str">
        <f t="shared" si="0"/>
        <v>MALAYSIAN</v>
      </c>
      <c r="L49">
        <f t="shared" si="1"/>
        <v>50</v>
      </c>
      <c r="M49" t="e">
        <f t="shared" si="2"/>
        <v>#N/A</v>
      </c>
      <c r="N49">
        <v>2</v>
      </c>
      <c r="P49" t="str">
        <f t="shared" si="3"/>
        <v>Portugal</v>
      </c>
      <c r="Q49" t="str">
        <f t="shared" si="4"/>
        <v>ISLAMIC REPUBLIC OF PAKISTAN</v>
      </c>
      <c r="R49">
        <f t="shared" si="5"/>
        <v>52</v>
      </c>
      <c r="S49">
        <f t="shared" si="6"/>
        <v>2</v>
      </c>
      <c r="T49">
        <v>2</v>
      </c>
      <c r="V49" t="str">
        <f>IF(TIM!F49="","",TIM!F49)</f>
        <v/>
      </c>
      <c r="W49" t="str">
        <f t="shared" si="7"/>
        <v/>
      </c>
      <c r="X49">
        <f t="shared" si="8"/>
        <v>0</v>
      </c>
      <c r="AI49">
        <f>IF(TIM!P49=TIM!P49,TIM!P49,"")</f>
        <v>0</v>
      </c>
      <c r="AJ49" t="str">
        <f t="shared" si="9"/>
        <v/>
      </c>
      <c r="AK49" t="str">
        <f t="shared" si="10"/>
        <v>0</v>
      </c>
      <c r="AL49" t="str">
        <f t="shared" si="11"/>
        <v>0</v>
      </c>
      <c r="AM49">
        <f t="shared" si="12"/>
        <v>543</v>
      </c>
      <c r="AN49" t="str">
        <f t="shared" si="13"/>
        <v>/0/543</v>
      </c>
      <c r="AP49">
        <f>IF(TIM!O49=TIM!O49,TIM!O49,"")</f>
        <v>0</v>
      </c>
      <c r="AQ49" t="str">
        <f t="shared" si="14"/>
        <v/>
      </c>
      <c r="AR49" t="str">
        <f t="shared" si="15"/>
        <v>0</v>
      </c>
      <c r="AS49" t="str">
        <f t="shared" si="16"/>
        <v>0</v>
      </c>
      <c r="AT49">
        <f t="shared" si="17"/>
        <v>543</v>
      </c>
      <c r="AU49" t="str">
        <f t="shared" si="18"/>
        <v>/0/543</v>
      </c>
    </row>
    <row r="50" spans="2:47">
      <c r="B50" s="11">
        <v>48</v>
      </c>
      <c r="C50" s="14" t="s">
        <v>657</v>
      </c>
      <c r="D50" s="14" t="s">
        <v>241</v>
      </c>
      <c r="E50" s="6"/>
      <c r="F50" s="11">
        <v>50</v>
      </c>
      <c r="G50" s="15" t="s">
        <v>652</v>
      </c>
      <c r="H50" s="15" t="s">
        <v>898</v>
      </c>
      <c r="J50" t="s">
        <v>249</v>
      </c>
      <c r="K50" t="str">
        <f t="shared" si="0"/>
        <v>INDONESIA</v>
      </c>
      <c r="L50">
        <f t="shared" si="1"/>
        <v>51</v>
      </c>
      <c r="M50">
        <f t="shared" si="2"/>
        <v>27</v>
      </c>
      <c r="N50">
        <v>27</v>
      </c>
      <c r="P50" t="str">
        <f t="shared" si="3"/>
        <v>Romania</v>
      </c>
      <c r="Q50" t="str">
        <f t="shared" si="4"/>
        <v>REPUBLIC OF KOREA</v>
      </c>
      <c r="R50">
        <f t="shared" si="5"/>
        <v>53</v>
      </c>
      <c r="S50">
        <f t="shared" si="6"/>
        <v>27</v>
      </c>
      <c r="T50">
        <v>27</v>
      </c>
      <c r="V50" t="str">
        <f>IF(TIM!F50="","",TIM!F50)</f>
        <v/>
      </c>
      <c r="W50" t="str">
        <f t="shared" si="7"/>
        <v/>
      </c>
      <c r="X50">
        <f t="shared" si="8"/>
        <v>0</v>
      </c>
      <c r="AI50">
        <f>IF(TIM!P50=TIM!P50,TIM!P50,"")</f>
        <v>0</v>
      </c>
      <c r="AJ50" t="str">
        <f t="shared" si="9"/>
        <v/>
      </c>
      <c r="AK50" t="str">
        <f t="shared" si="10"/>
        <v>0</v>
      </c>
      <c r="AL50" t="str">
        <f t="shared" si="11"/>
        <v>0</v>
      </c>
      <c r="AM50">
        <f t="shared" si="12"/>
        <v>543</v>
      </c>
      <c r="AN50" t="str">
        <f t="shared" si="13"/>
        <v>/0/543</v>
      </c>
      <c r="AP50">
        <f>IF(TIM!O50=TIM!O50,TIM!O50,"")</f>
        <v>0</v>
      </c>
      <c r="AQ50" t="str">
        <f t="shared" si="14"/>
        <v/>
      </c>
      <c r="AR50" t="str">
        <f t="shared" si="15"/>
        <v>0</v>
      </c>
      <c r="AS50" t="str">
        <f t="shared" si="16"/>
        <v>0</v>
      </c>
      <c r="AT50">
        <f t="shared" si="17"/>
        <v>543</v>
      </c>
      <c r="AU50" t="str">
        <f t="shared" si="18"/>
        <v>/0/543</v>
      </c>
    </row>
    <row r="51" spans="2:47">
      <c r="B51" s="11">
        <v>49</v>
      </c>
      <c r="C51" s="14" t="s">
        <v>634</v>
      </c>
      <c r="D51" s="14" t="s">
        <v>635</v>
      </c>
      <c r="E51" s="6"/>
      <c r="F51" s="11">
        <v>51</v>
      </c>
      <c r="G51" s="15" t="s">
        <v>741</v>
      </c>
      <c r="H51" s="15" t="s">
        <v>983</v>
      </c>
      <c r="J51" t="s">
        <v>250</v>
      </c>
      <c r="K51" t="str">
        <f t="shared" si="0"/>
        <v>PAKISTAN</v>
      </c>
      <c r="L51">
        <f t="shared" si="1"/>
        <v>52</v>
      </c>
      <c r="M51">
        <f t="shared" si="2"/>
        <v>16</v>
      </c>
      <c r="N51">
        <v>16</v>
      </c>
      <c r="P51" t="str">
        <f t="shared" si="3"/>
        <v>Russia</v>
      </c>
      <c r="Q51" t="str">
        <f t="shared" si="4"/>
        <v>REPUBLIC OF SINGAPORE</v>
      </c>
      <c r="R51">
        <f t="shared" si="5"/>
        <v>54</v>
      </c>
      <c r="S51">
        <f t="shared" si="6"/>
        <v>16</v>
      </c>
      <c r="T51">
        <v>16</v>
      </c>
      <c r="V51" t="str">
        <f>IF(TIM!F51="","",TIM!F51)</f>
        <v/>
      </c>
      <c r="W51" t="str">
        <f t="shared" si="7"/>
        <v/>
      </c>
      <c r="X51">
        <f t="shared" si="8"/>
        <v>0</v>
      </c>
      <c r="AI51">
        <f>IF(TIM!P51=TIM!P51,TIM!P51,"")</f>
        <v>0</v>
      </c>
      <c r="AJ51" t="str">
        <f t="shared" si="9"/>
        <v/>
      </c>
      <c r="AK51" t="str">
        <f t="shared" si="10"/>
        <v>0</v>
      </c>
      <c r="AL51" t="str">
        <f t="shared" si="11"/>
        <v>0</v>
      </c>
      <c r="AM51">
        <f t="shared" si="12"/>
        <v>543</v>
      </c>
      <c r="AN51" t="str">
        <f t="shared" si="13"/>
        <v>/0/543</v>
      </c>
      <c r="AP51">
        <f>IF(TIM!O51=TIM!O51,TIM!O51,"")</f>
        <v>0</v>
      </c>
      <c r="AQ51" t="str">
        <f t="shared" si="14"/>
        <v/>
      </c>
      <c r="AR51" t="str">
        <f t="shared" si="15"/>
        <v>0</v>
      </c>
      <c r="AS51" t="str">
        <f t="shared" si="16"/>
        <v>0</v>
      </c>
      <c r="AT51">
        <f t="shared" si="17"/>
        <v>543</v>
      </c>
      <c r="AU51" t="str">
        <f t="shared" si="18"/>
        <v>/0/543</v>
      </c>
    </row>
    <row r="52" spans="2:47">
      <c r="B52" s="11">
        <v>50</v>
      </c>
      <c r="C52" s="14" t="s">
        <v>652</v>
      </c>
      <c r="D52" s="14" t="s">
        <v>653</v>
      </c>
      <c r="E52" s="6"/>
      <c r="F52" s="11">
        <v>52</v>
      </c>
      <c r="G52" s="15" t="s">
        <v>614</v>
      </c>
      <c r="H52" s="15" t="s">
        <v>875</v>
      </c>
      <c r="J52" t="s">
        <v>1007</v>
      </c>
      <c r="K52" t="str">
        <f t="shared" si="0"/>
        <v>THE REPUBLIC OF KOREA</v>
      </c>
      <c r="L52">
        <f t="shared" si="1"/>
        <v>53</v>
      </c>
      <c r="M52" t="e">
        <f t="shared" si="2"/>
        <v>#N/A</v>
      </c>
      <c r="N52">
        <v>5</v>
      </c>
      <c r="P52" t="str">
        <f t="shared" si="3"/>
        <v>Saint Barthélemy</v>
      </c>
      <c r="Q52" t="str">
        <f t="shared" si="4"/>
        <v>KINGDOM OF NEPAL</v>
      </c>
      <c r="R52">
        <f t="shared" si="5"/>
        <v>55</v>
      </c>
      <c r="S52" t="e">
        <f t="shared" si="6"/>
        <v>#N/A</v>
      </c>
      <c r="T52">
        <v>5</v>
      </c>
      <c r="V52" t="str">
        <f>IF(TIM!F52="","",TIM!F52)</f>
        <v/>
      </c>
      <c r="W52" t="str">
        <f t="shared" si="7"/>
        <v/>
      </c>
      <c r="X52">
        <f t="shared" si="8"/>
        <v>0</v>
      </c>
      <c r="AI52">
        <f>IF(TIM!P52=TIM!P52,TIM!P52,"")</f>
        <v>0</v>
      </c>
      <c r="AJ52" t="str">
        <f t="shared" si="9"/>
        <v/>
      </c>
      <c r="AK52" t="str">
        <f t="shared" si="10"/>
        <v>0</v>
      </c>
      <c r="AL52" t="str">
        <f t="shared" si="11"/>
        <v>0</v>
      </c>
      <c r="AM52">
        <f t="shared" si="12"/>
        <v>543</v>
      </c>
      <c r="AN52" t="str">
        <f t="shared" si="13"/>
        <v>/0/543</v>
      </c>
      <c r="AP52">
        <f>IF(TIM!O52=TIM!O52,TIM!O52,"")</f>
        <v>0</v>
      </c>
      <c r="AQ52" t="str">
        <f t="shared" si="14"/>
        <v/>
      </c>
      <c r="AR52" t="str">
        <f t="shared" si="15"/>
        <v>0</v>
      </c>
      <c r="AS52" t="str">
        <f t="shared" si="16"/>
        <v>0</v>
      </c>
      <c r="AT52">
        <f t="shared" si="17"/>
        <v>543</v>
      </c>
      <c r="AU52" t="str">
        <f t="shared" si="18"/>
        <v>/0/543</v>
      </c>
    </row>
    <row r="53" spans="2:47">
      <c r="B53" s="11">
        <v>51</v>
      </c>
      <c r="C53" s="14" t="s">
        <v>741</v>
      </c>
      <c r="D53" s="14" t="s">
        <v>742</v>
      </c>
      <c r="E53" s="6"/>
      <c r="F53" s="11">
        <v>53</v>
      </c>
      <c r="G53" s="15" t="s">
        <v>482</v>
      </c>
      <c r="H53" s="15" t="s">
        <v>792</v>
      </c>
      <c r="J53" t="s">
        <v>251</v>
      </c>
      <c r="K53" t="str">
        <f t="shared" si="0"/>
        <v>SINGAPORE</v>
      </c>
      <c r="L53">
        <f t="shared" si="1"/>
        <v>54</v>
      </c>
      <c r="M53">
        <f t="shared" si="2"/>
        <v>59</v>
      </c>
      <c r="N53">
        <v>59</v>
      </c>
      <c r="P53" t="str">
        <f t="shared" si="3"/>
        <v>Saudi Arabia</v>
      </c>
      <c r="Q53" t="str">
        <f t="shared" si="4"/>
        <v>LAO PEOPLE'S DEMOCRATIC REPUBLIC</v>
      </c>
      <c r="R53">
        <f t="shared" si="5"/>
        <v>56</v>
      </c>
      <c r="S53">
        <f t="shared" si="6"/>
        <v>59</v>
      </c>
      <c r="T53">
        <v>59</v>
      </c>
      <c r="V53" t="str">
        <f>IF(TIM!F53="","",TIM!F53)</f>
        <v/>
      </c>
      <c r="W53" t="str">
        <f t="shared" si="7"/>
        <v/>
      </c>
      <c r="X53">
        <f t="shared" si="8"/>
        <v>0</v>
      </c>
      <c r="AI53">
        <f>IF(TIM!P53=TIM!P53,TIM!P53,"")</f>
        <v>0</v>
      </c>
      <c r="AJ53" t="str">
        <f t="shared" si="9"/>
        <v/>
      </c>
      <c r="AK53" t="str">
        <f t="shared" si="10"/>
        <v>0</v>
      </c>
      <c r="AL53" t="str">
        <f t="shared" si="11"/>
        <v>0</v>
      </c>
      <c r="AM53">
        <f t="shared" si="12"/>
        <v>543</v>
      </c>
      <c r="AN53" t="str">
        <f t="shared" si="13"/>
        <v>/0/543</v>
      </c>
      <c r="AP53">
        <f>IF(TIM!O53=TIM!O53,TIM!O53,"")</f>
        <v>0</v>
      </c>
      <c r="AQ53" t="str">
        <f t="shared" si="14"/>
        <v/>
      </c>
      <c r="AR53" t="str">
        <f t="shared" si="15"/>
        <v>0</v>
      </c>
      <c r="AS53" t="str">
        <f t="shared" si="16"/>
        <v>0</v>
      </c>
      <c r="AT53">
        <f t="shared" si="17"/>
        <v>543</v>
      </c>
      <c r="AU53" t="str">
        <f t="shared" si="18"/>
        <v>/0/543</v>
      </c>
    </row>
    <row r="54" spans="2:47">
      <c r="B54" s="11">
        <v>52</v>
      </c>
      <c r="C54" s="14" t="s">
        <v>614</v>
      </c>
      <c r="D54" s="14" t="s">
        <v>615</v>
      </c>
      <c r="E54" s="6"/>
      <c r="F54" s="11">
        <v>54</v>
      </c>
      <c r="G54" s="15" t="s">
        <v>716</v>
      </c>
      <c r="H54" s="15" t="s">
        <v>968</v>
      </c>
      <c r="J54" t="s">
        <v>252</v>
      </c>
      <c r="K54" t="str">
        <f t="shared" si="0"/>
        <v>NEPAL</v>
      </c>
      <c r="L54">
        <f t="shared" si="1"/>
        <v>55</v>
      </c>
      <c r="M54">
        <f t="shared" si="2"/>
        <v>263</v>
      </c>
      <c r="N54">
        <v>263</v>
      </c>
      <c r="P54" t="str">
        <f t="shared" si="3"/>
        <v>Serbia</v>
      </c>
      <c r="Q54" t="str">
        <f t="shared" si="4"/>
        <v>KINGDOM OF CAMBODIA</v>
      </c>
      <c r="R54">
        <f t="shared" si="5"/>
        <v>57</v>
      </c>
      <c r="S54">
        <f t="shared" si="6"/>
        <v>263</v>
      </c>
      <c r="T54">
        <v>263</v>
      </c>
      <c r="V54" t="str">
        <f>IF(TIM!F54="","",TIM!F54)</f>
        <v/>
      </c>
      <c r="W54" t="str">
        <f t="shared" si="7"/>
        <v/>
      </c>
      <c r="X54">
        <f t="shared" si="8"/>
        <v>0</v>
      </c>
      <c r="AI54">
        <f>IF(TIM!P54=TIM!P54,TIM!P54,"")</f>
        <v>0</v>
      </c>
      <c r="AJ54" t="str">
        <f t="shared" si="9"/>
        <v/>
      </c>
      <c r="AK54" t="str">
        <f t="shared" si="10"/>
        <v>0</v>
      </c>
      <c r="AL54" t="str">
        <f t="shared" si="11"/>
        <v>0</v>
      </c>
      <c r="AM54">
        <f t="shared" si="12"/>
        <v>543</v>
      </c>
      <c r="AN54" t="str">
        <f t="shared" si="13"/>
        <v>/0/543</v>
      </c>
      <c r="AP54">
        <f>IF(TIM!O54=TIM!O54,TIM!O54,"")</f>
        <v>0</v>
      </c>
      <c r="AQ54" t="str">
        <f t="shared" si="14"/>
        <v/>
      </c>
      <c r="AR54" t="str">
        <f t="shared" si="15"/>
        <v>0</v>
      </c>
      <c r="AS54" t="str">
        <f t="shared" si="16"/>
        <v>0</v>
      </c>
      <c r="AT54">
        <f t="shared" si="17"/>
        <v>543</v>
      </c>
      <c r="AU54" t="str">
        <f t="shared" si="18"/>
        <v>/0/543</v>
      </c>
    </row>
    <row r="55" spans="2:47">
      <c r="B55" s="11">
        <v>53</v>
      </c>
      <c r="C55" s="14" t="s">
        <v>482</v>
      </c>
      <c r="D55" s="14" t="s">
        <v>483</v>
      </c>
      <c r="E55" s="6"/>
      <c r="F55" s="11">
        <v>55</v>
      </c>
      <c r="G55" s="15" t="s">
        <v>38</v>
      </c>
      <c r="H55" s="15" t="s">
        <v>857</v>
      </c>
      <c r="J55" t="s">
        <v>253</v>
      </c>
      <c r="K55" t="str">
        <f t="shared" si="0"/>
        <v>LAO</v>
      </c>
      <c r="L55">
        <f t="shared" si="1"/>
        <v>56</v>
      </c>
      <c r="M55">
        <f t="shared" si="2"/>
        <v>54</v>
      </c>
      <c r="N55">
        <v>54</v>
      </c>
      <c r="P55" t="str">
        <f t="shared" si="3"/>
        <v>Singapore</v>
      </c>
      <c r="Q55" t="str">
        <f t="shared" si="4"/>
        <v>DEMOCRATIC SOCIALIST REPUBLIC OF SRI LANKA</v>
      </c>
      <c r="R55">
        <f t="shared" si="5"/>
        <v>58</v>
      </c>
      <c r="S55">
        <f t="shared" si="6"/>
        <v>54</v>
      </c>
      <c r="T55">
        <v>54</v>
      </c>
      <c r="V55" t="str">
        <f>IF(TIM!F55="","",TIM!F55)</f>
        <v/>
      </c>
      <c r="W55" t="str">
        <f t="shared" si="7"/>
        <v/>
      </c>
      <c r="X55">
        <f t="shared" si="8"/>
        <v>0</v>
      </c>
      <c r="AI55">
        <f>IF(TIM!P55=TIM!P55,TIM!P55,"")</f>
        <v>0</v>
      </c>
      <c r="AJ55" t="str">
        <f t="shared" si="9"/>
        <v/>
      </c>
      <c r="AK55" t="str">
        <f t="shared" si="10"/>
        <v>0</v>
      </c>
      <c r="AL55" t="str">
        <f t="shared" si="11"/>
        <v>0</v>
      </c>
      <c r="AM55">
        <f t="shared" si="12"/>
        <v>543</v>
      </c>
      <c r="AN55" t="str">
        <f t="shared" si="13"/>
        <v>/0/543</v>
      </c>
      <c r="AP55">
        <f>IF(TIM!O55=TIM!O55,TIM!O55,"")</f>
        <v>0</v>
      </c>
      <c r="AQ55" t="str">
        <f t="shared" si="14"/>
        <v/>
      </c>
      <c r="AR55" t="str">
        <f t="shared" si="15"/>
        <v>0</v>
      </c>
      <c r="AS55" t="str">
        <f t="shared" si="16"/>
        <v>0</v>
      </c>
      <c r="AT55">
        <f t="shared" si="17"/>
        <v>543</v>
      </c>
      <c r="AU55" t="str">
        <f t="shared" si="18"/>
        <v>/0/543</v>
      </c>
    </row>
    <row r="56" spans="2:47">
      <c r="B56" s="11">
        <v>54</v>
      </c>
      <c r="C56" s="14" t="s">
        <v>716</v>
      </c>
      <c r="D56" s="14" t="s">
        <v>717</v>
      </c>
      <c r="E56" s="6"/>
      <c r="F56" s="11">
        <v>56</v>
      </c>
      <c r="G56" s="15" t="s">
        <v>682</v>
      </c>
      <c r="H56" s="15" t="s">
        <v>916</v>
      </c>
      <c r="J56" t="s">
        <v>254</v>
      </c>
      <c r="K56" t="str">
        <f t="shared" si="0"/>
        <v>Cambodian</v>
      </c>
      <c r="L56">
        <f t="shared" si="1"/>
        <v>57</v>
      </c>
      <c r="M56" t="e">
        <f t="shared" si="2"/>
        <v>#N/A</v>
      </c>
      <c r="N56">
        <v>241</v>
      </c>
      <c r="P56" t="str">
        <f t="shared" si="3"/>
        <v>Slovakia</v>
      </c>
      <c r="Q56" t="str">
        <f t="shared" si="4"/>
        <v>KINGDOM OF SAUDI ARABIA</v>
      </c>
      <c r="R56">
        <f t="shared" si="5"/>
        <v>59</v>
      </c>
      <c r="S56" t="e">
        <f t="shared" si="6"/>
        <v>#N/A</v>
      </c>
      <c r="T56">
        <v>241</v>
      </c>
      <c r="V56" t="str">
        <f>IF(TIM!F56="","",TIM!F56)</f>
        <v/>
      </c>
      <c r="W56" t="str">
        <f t="shared" si="7"/>
        <v/>
      </c>
      <c r="X56">
        <f t="shared" si="8"/>
        <v>0</v>
      </c>
      <c r="AI56">
        <f>IF(TIM!P56=TIM!P56,TIM!P56,"")</f>
        <v>0</v>
      </c>
      <c r="AJ56" t="str">
        <f t="shared" si="9"/>
        <v/>
      </c>
      <c r="AK56" t="str">
        <f t="shared" si="10"/>
        <v>0</v>
      </c>
      <c r="AL56" t="str">
        <f t="shared" si="11"/>
        <v>0</v>
      </c>
      <c r="AM56">
        <f t="shared" si="12"/>
        <v>543</v>
      </c>
      <c r="AN56" t="str">
        <f t="shared" si="13"/>
        <v>/0/543</v>
      </c>
      <c r="AP56">
        <f>IF(TIM!O56=TIM!O56,TIM!O56,"")</f>
        <v>0</v>
      </c>
      <c r="AQ56" t="str">
        <f t="shared" si="14"/>
        <v/>
      </c>
      <c r="AR56" t="str">
        <f t="shared" si="15"/>
        <v>0</v>
      </c>
      <c r="AS56" t="str">
        <f t="shared" si="16"/>
        <v>0</v>
      </c>
      <c r="AT56">
        <f t="shared" si="17"/>
        <v>543</v>
      </c>
      <c r="AU56" t="str">
        <f t="shared" si="18"/>
        <v>/0/543</v>
      </c>
    </row>
    <row r="57" spans="2:47">
      <c r="B57" s="11">
        <v>55</v>
      </c>
      <c r="C57" s="14" t="s">
        <v>38</v>
      </c>
      <c r="D57" s="14" t="s">
        <v>584</v>
      </c>
      <c r="E57" s="6"/>
      <c r="F57" s="11">
        <v>57</v>
      </c>
      <c r="G57" s="15" t="s">
        <v>467</v>
      </c>
      <c r="H57" s="15" t="s">
        <v>783</v>
      </c>
      <c r="J57" t="s">
        <v>255</v>
      </c>
      <c r="K57" t="str">
        <f t="shared" si="0"/>
        <v>SRI LANKA</v>
      </c>
      <c r="L57">
        <f t="shared" si="1"/>
        <v>58</v>
      </c>
      <c r="M57">
        <f t="shared" si="2"/>
        <v>70</v>
      </c>
      <c r="N57">
        <v>70</v>
      </c>
      <c r="P57" t="str">
        <f t="shared" si="3"/>
        <v>South Africa</v>
      </c>
      <c r="Q57" t="str">
        <f t="shared" si="4"/>
        <v>STATE OF ISRAEL</v>
      </c>
      <c r="R57">
        <f t="shared" si="5"/>
        <v>60</v>
      </c>
      <c r="S57">
        <f t="shared" si="6"/>
        <v>70</v>
      </c>
      <c r="T57">
        <v>70</v>
      </c>
      <c r="V57" t="str">
        <f>IF(TIM!F57="","",TIM!F57)</f>
        <v/>
      </c>
      <c r="W57" t="str">
        <f t="shared" si="7"/>
        <v/>
      </c>
      <c r="X57">
        <f t="shared" si="8"/>
        <v>0</v>
      </c>
      <c r="AI57">
        <f>IF(TIM!P57=TIM!P57,TIM!P57,"")</f>
        <v>0</v>
      </c>
      <c r="AJ57" t="str">
        <f t="shared" si="9"/>
        <v/>
      </c>
      <c r="AK57" t="str">
        <f t="shared" si="10"/>
        <v>0</v>
      </c>
      <c r="AL57" t="str">
        <f t="shared" si="11"/>
        <v>0</v>
      </c>
      <c r="AM57">
        <f t="shared" si="12"/>
        <v>543</v>
      </c>
      <c r="AN57" t="str">
        <f t="shared" si="13"/>
        <v>/0/543</v>
      </c>
      <c r="AP57">
        <f>IF(TIM!O57=TIM!O57,TIM!O57,"")</f>
        <v>0</v>
      </c>
      <c r="AQ57" t="str">
        <f t="shared" si="14"/>
        <v/>
      </c>
      <c r="AR57" t="str">
        <f t="shared" si="15"/>
        <v>0</v>
      </c>
      <c r="AS57" t="str">
        <f t="shared" si="16"/>
        <v>0</v>
      </c>
      <c r="AT57">
        <f t="shared" si="17"/>
        <v>543</v>
      </c>
      <c r="AU57" t="str">
        <f t="shared" si="18"/>
        <v>/0/543</v>
      </c>
    </row>
    <row r="58" spans="2:47">
      <c r="B58" s="11">
        <v>56</v>
      </c>
      <c r="C58" s="14" t="s">
        <v>682</v>
      </c>
      <c r="D58" s="14" t="s">
        <v>683</v>
      </c>
      <c r="E58" s="6"/>
      <c r="F58" s="11">
        <v>58</v>
      </c>
      <c r="G58" s="15" t="s">
        <v>702</v>
      </c>
      <c r="H58" s="15" t="s">
        <v>927</v>
      </c>
      <c r="J58" t="s">
        <v>272</v>
      </c>
      <c r="K58" t="str">
        <f t="shared" si="0"/>
        <v>SAUDI ARABIAN</v>
      </c>
      <c r="L58">
        <f t="shared" si="1"/>
        <v>59</v>
      </c>
      <c r="M58" t="e">
        <f t="shared" si="2"/>
        <v>#N/A</v>
      </c>
      <c r="N58">
        <v>53</v>
      </c>
      <c r="P58" t="str">
        <f t="shared" si="3"/>
        <v>South Korea</v>
      </c>
      <c r="Q58" t="str">
        <f t="shared" si="4"/>
        <v>REPUBLIC OF LEBANON</v>
      </c>
      <c r="R58">
        <f t="shared" si="5"/>
        <v>61</v>
      </c>
      <c r="S58" t="e">
        <f t="shared" si="6"/>
        <v>#N/A</v>
      </c>
      <c r="T58">
        <v>53</v>
      </c>
      <c r="V58" t="str">
        <f>IF(TIM!F58="","",TIM!F58)</f>
        <v/>
      </c>
      <c r="W58" t="str">
        <f t="shared" si="7"/>
        <v/>
      </c>
      <c r="X58">
        <f t="shared" si="8"/>
        <v>0</v>
      </c>
      <c r="AI58">
        <f>IF(TIM!P58=TIM!P58,TIM!P58,"")</f>
        <v>0</v>
      </c>
      <c r="AJ58" t="str">
        <f t="shared" si="9"/>
        <v/>
      </c>
      <c r="AK58" t="str">
        <f t="shared" si="10"/>
        <v>0</v>
      </c>
      <c r="AL58" t="str">
        <f t="shared" si="11"/>
        <v>0</v>
      </c>
      <c r="AM58">
        <f t="shared" si="12"/>
        <v>543</v>
      </c>
      <c r="AN58" t="str">
        <f t="shared" si="13"/>
        <v>/0/543</v>
      </c>
      <c r="AP58">
        <f>IF(TIM!O58=TIM!O58,TIM!O58,"")</f>
        <v>0</v>
      </c>
      <c r="AQ58" t="str">
        <f t="shared" si="14"/>
        <v/>
      </c>
      <c r="AR58" t="str">
        <f t="shared" si="15"/>
        <v>0</v>
      </c>
      <c r="AS58" t="str">
        <f t="shared" si="16"/>
        <v>0</v>
      </c>
      <c r="AT58">
        <f t="shared" si="17"/>
        <v>543</v>
      </c>
      <c r="AU58" t="str">
        <f t="shared" si="18"/>
        <v>/0/543</v>
      </c>
    </row>
    <row r="59" spans="2:47">
      <c r="B59" s="11">
        <v>57</v>
      </c>
      <c r="C59" s="14" t="s">
        <v>467</v>
      </c>
      <c r="D59" s="14" t="s">
        <v>468</v>
      </c>
      <c r="E59" s="6"/>
      <c r="F59" s="11">
        <v>59</v>
      </c>
      <c r="G59" s="15" t="s">
        <v>530</v>
      </c>
      <c r="H59" s="15" t="s">
        <v>820</v>
      </c>
      <c r="J59" t="s">
        <v>257</v>
      </c>
      <c r="K59" t="str">
        <f t="shared" si="0"/>
        <v>ISRAEL</v>
      </c>
      <c r="L59">
        <f t="shared" si="1"/>
        <v>60</v>
      </c>
      <c r="M59">
        <f t="shared" si="2"/>
        <v>15</v>
      </c>
      <c r="N59">
        <v>15</v>
      </c>
      <c r="P59" t="str">
        <f t="shared" si="3"/>
        <v>Spain</v>
      </c>
      <c r="Q59" t="str">
        <f t="shared" si="4"/>
        <v>ISLAMIC REPUBLIC OF IRAN</v>
      </c>
      <c r="R59">
        <f t="shared" si="5"/>
        <v>62</v>
      </c>
      <c r="S59">
        <f t="shared" si="6"/>
        <v>15</v>
      </c>
      <c r="T59">
        <v>15</v>
      </c>
      <c r="V59" t="str">
        <f>IF(TIM!F59="","",TIM!F59)</f>
        <v/>
      </c>
      <c r="W59" t="str">
        <f t="shared" si="7"/>
        <v/>
      </c>
      <c r="X59">
        <f t="shared" si="8"/>
        <v>0</v>
      </c>
      <c r="AI59">
        <f>IF(TIM!P59=TIM!P59,TIM!P59,"")</f>
        <v>0</v>
      </c>
      <c r="AJ59" t="str">
        <f t="shared" si="9"/>
        <v/>
      </c>
      <c r="AK59" t="str">
        <f t="shared" si="10"/>
        <v>0</v>
      </c>
      <c r="AL59" t="str">
        <f t="shared" si="11"/>
        <v>0</v>
      </c>
      <c r="AM59">
        <f t="shared" si="12"/>
        <v>543</v>
      </c>
      <c r="AN59" t="str">
        <f t="shared" si="13"/>
        <v>/0/543</v>
      </c>
      <c r="AP59">
        <f>IF(TIM!O59=TIM!O59,TIM!O59,"")</f>
        <v>0</v>
      </c>
      <c r="AQ59" t="str">
        <f t="shared" si="14"/>
        <v/>
      </c>
      <c r="AR59" t="str">
        <f t="shared" si="15"/>
        <v>0</v>
      </c>
      <c r="AS59" t="str">
        <f t="shared" si="16"/>
        <v>0</v>
      </c>
      <c r="AT59">
        <f t="shared" si="17"/>
        <v>543</v>
      </c>
      <c r="AU59" t="str">
        <f t="shared" si="18"/>
        <v>/0/543</v>
      </c>
    </row>
    <row r="60" spans="2:47">
      <c r="B60" s="11">
        <v>58</v>
      </c>
      <c r="C60" s="14" t="s">
        <v>702</v>
      </c>
      <c r="D60" s="14" t="s">
        <v>703</v>
      </c>
      <c r="E60" s="6"/>
      <c r="F60" s="11">
        <v>60</v>
      </c>
      <c r="G60" s="15" t="s">
        <v>745</v>
      </c>
      <c r="H60" s="15" t="s">
        <v>985</v>
      </c>
      <c r="J60" t="s">
        <v>258</v>
      </c>
      <c r="K60" t="str">
        <f t="shared" si="0"/>
        <v>LEBANON</v>
      </c>
      <c r="L60">
        <f t="shared" si="1"/>
        <v>61</v>
      </c>
      <c r="M60">
        <f t="shared" si="2"/>
        <v>58</v>
      </c>
      <c r="N60">
        <v>58</v>
      </c>
      <c r="P60" t="str">
        <f t="shared" si="3"/>
        <v>Sri Lanka</v>
      </c>
      <c r="Q60" t="str">
        <f t="shared" si="4"/>
        <v>REPUBLIC OF TURKEY</v>
      </c>
      <c r="R60">
        <f t="shared" si="5"/>
        <v>63</v>
      </c>
      <c r="S60">
        <f t="shared" si="6"/>
        <v>58</v>
      </c>
      <c r="T60">
        <v>58</v>
      </c>
      <c r="V60" t="str">
        <f>IF(TIM!F60="","",TIM!F60)</f>
        <v/>
      </c>
      <c r="W60" t="str">
        <f t="shared" si="7"/>
        <v/>
      </c>
      <c r="X60">
        <f t="shared" si="8"/>
        <v>0</v>
      </c>
      <c r="AI60">
        <f>IF(TIM!P60=TIM!P60,TIM!P60,"")</f>
        <v>0</v>
      </c>
      <c r="AJ60" t="str">
        <f t="shared" si="9"/>
        <v/>
      </c>
      <c r="AK60" t="str">
        <f t="shared" si="10"/>
        <v>0</v>
      </c>
      <c r="AL60" t="str">
        <f t="shared" si="11"/>
        <v>0</v>
      </c>
      <c r="AM60">
        <f t="shared" si="12"/>
        <v>543</v>
      </c>
      <c r="AN60" t="str">
        <f t="shared" si="13"/>
        <v>/0/543</v>
      </c>
      <c r="AP60">
        <f>IF(TIM!O60=TIM!O60,TIM!O60,"")</f>
        <v>0</v>
      </c>
      <c r="AQ60" t="str">
        <f t="shared" si="14"/>
        <v/>
      </c>
      <c r="AR60" t="str">
        <f t="shared" si="15"/>
        <v>0</v>
      </c>
      <c r="AS60" t="str">
        <f t="shared" si="16"/>
        <v>0</v>
      </c>
      <c r="AT60">
        <f t="shared" si="17"/>
        <v>543</v>
      </c>
      <c r="AU60" t="str">
        <f t="shared" si="18"/>
        <v>/0/543</v>
      </c>
    </row>
    <row r="61" spans="2:47">
      <c r="B61" s="11">
        <v>59</v>
      </c>
      <c r="C61" s="14" t="s">
        <v>530</v>
      </c>
      <c r="D61" s="14" t="s">
        <v>531</v>
      </c>
      <c r="E61" s="6"/>
      <c r="F61" s="11">
        <v>61</v>
      </c>
      <c r="G61" s="15" t="s">
        <v>692</v>
      </c>
      <c r="H61" s="15" t="s">
        <v>921</v>
      </c>
      <c r="J61" t="s">
        <v>259</v>
      </c>
      <c r="K61" t="str">
        <f t="shared" si="0"/>
        <v>IRAN</v>
      </c>
      <c r="L61">
        <f t="shared" si="1"/>
        <v>62</v>
      </c>
      <c r="M61">
        <f t="shared" si="2"/>
        <v>7</v>
      </c>
      <c r="N61">
        <v>7</v>
      </c>
      <c r="P61" t="str">
        <f t="shared" si="3"/>
        <v>Sweden</v>
      </c>
      <c r="Q61" t="str">
        <f t="shared" si="4"/>
        <v>PEOPLE'S REPUBLIC OF BANGLADESH</v>
      </c>
      <c r="R61">
        <f t="shared" si="5"/>
        <v>64</v>
      </c>
      <c r="S61">
        <f t="shared" si="6"/>
        <v>7</v>
      </c>
      <c r="T61">
        <v>7</v>
      </c>
      <c r="V61" t="str">
        <f>IF(TIM!F61="","",TIM!F61)</f>
        <v/>
      </c>
      <c r="W61" t="str">
        <f t="shared" si="7"/>
        <v/>
      </c>
      <c r="X61">
        <f t="shared" si="8"/>
        <v>0</v>
      </c>
      <c r="AI61">
        <f>IF(TIM!P61=TIM!P61,TIM!P61,"")</f>
        <v>0</v>
      </c>
      <c r="AJ61" t="str">
        <f t="shared" si="9"/>
        <v/>
      </c>
      <c r="AK61" t="str">
        <f t="shared" si="10"/>
        <v>0</v>
      </c>
      <c r="AL61" t="str">
        <f t="shared" si="11"/>
        <v>0</v>
      </c>
      <c r="AM61">
        <f t="shared" si="12"/>
        <v>543</v>
      </c>
      <c r="AN61" t="str">
        <f t="shared" si="13"/>
        <v>/0/543</v>
      </c>
      <c r="AP61">
        <f>IF(TIM!O61=TIM!O61,TIM!O61,"")</f>
        <v>0</v>
      </c>
      <c r="AQ61" t="str">
        <f t="shared" si="14"/>
        <v/>
      </c>
      <c r="AR61" t="str">
        <f t="shared" si="15"/>
        <v>0</v>
      </c>
      <c r="AS61" t="str">
        <f t="shared" si="16"/>
        <v>0</v>
      </c>
      <c r="AT61">
        <f t="shared" si="17"/>
        <v>543</v>
      </c>
      <c r="AU61" t="str">
        <f t="shared" si="18"/>
        <v>/0/543</v>
      </c>
    </row>
    <row r="62" spans="2:47">
      <c r="B62" s="11">
        <v>60</v>
      </c>
      <c r="C62" s="14" t="s">
        <v>745</v>
      </c>
      <c r="D62" s="14" t="s">
        <v>746</v>
      </c>
      <c r="E62" s="6"/>
      <c r="F62" s="11">
        <v>62</v>
      </c>
      <c r="G62" s="15" t="s">
        <v>747</v>
      </c>
      <c r="H62" s="15" t="s">
        <v>986</v>
      </c>
      <c r="J62" t="s">
        <v>260</v>
      </c>
      <c r="K62" t="str">
        <f t="shared" si="0"/>
        <v>TURKEY</v>
      </c>
      <c r="L62">
        <f t="shared" si="1"/>
        <v>63</v>
      </c>
      <c r="M62" t="e">
        <f t="shared" si="2"/>
        <v>#N/A</v>
      </c>
      <c r="N62">
        <v>8</v>
      </c>
      <c r="P62" t="str">
        <f t="shared" si="3"/>
        <v>Switzerland</v>
      </c>
      <c r="Q62" t="str">
        <f t="shared" si="4"/>
        <v>SYRIAN ARAB REPUBLIC</v>
      </c>
      <c r="R62">
        <f t="shared" si="5"/>
        <v>66</v>
      </c>
      <c r="S62" t="e">
        <f t="shared" si="6"/>
        <v>#N/A</v>
      </c>
      <c r="T62">
        <v>8</v>
      </c>
      <c r="V62" t="str">
        <f>IF(TIM!F62="","",TIM!F62)</f>
        <v/>
      </c>
      <c r="W62" t="str">
        <f t="shared" si="7"/>
        <v/>
      </c>
      <c r="X62">
        <f t="shared" si="8"/>
        <v>0</v>
      </c>
      <c r="AI62">
        <f>IF(TIM!P62=TIM!P62,TIM!P62,"")</f>
        <v>0</v>
      </c>
      <c r="AJ62" t="str">
        <f t="shared" si="9"/>
        <v/>
      </c>
      <c r="AK62" t="str">
        <f t="shared" si="10"/>
        <v>0</v>
      </c>
      <c r="AL62" t="str">
        <f t="shared" si="11"/>
        <v>0</v>
      </c>
      <c r="AM62">
        <f t="shared" si="12"/>
        <v>543</v>
      </c>
      <c r="AN62" t="str">
        <f t="shared" si="13"/>
        <v>/0/543</v>
      </c>
      <c r="AP62">
        <f>IF(TIM!O62=TIM!O62,TIM!O62,"")</f>
        <v>0</v>
      </c>
      <c r="AQ62" t="str">
        <f t="shared" si="14"/>
        <v/>
      </c>
      <c r="AR62" t="str">
        <f t="shared" si="15"/>
        <v>0</v>
      </c>
      <c r="AS62" t="str">
        <f t="shared" si="16"/>
        <v>0</v>
      </c>
      <c r="AT62">
        <f t="shared" si="17"/>
        <v>543</v>
      </c>
      <c r="AU62" t="str">
        <f t="shared" si="18"/>
        <v>/0/543</v>
      </c>
    </row>
    <row r="63" spans="2:47">
      <c r="B63" s="11">
        <v>61</v>
      </c>
      <c r="C63" s="14" t="s">
        <v>692</v>
      </c>
      <c r="D63" s="14" t="s">
        <v>693</v>
      </c>
      <c r="E63" s="6"/>
      <c r="F63" s="11">
        <v>63</v>
      </c>
      <c r="G63" s="15" t="s">
        <v>563</v>
      </c>
      <c r="H63" s="15" t="s">
        <v>841</v>
      </c>
      <c r="J63" t="s">
        <v>261</v>
      </c>
      <c r="K63" t="str">
        <f t="shared" si="0"/>
        <v>BANGLADESH</v>
      </c>
      <c r="L63">
        <f t="shared" si="1"/>
        <v>64</v>
      </c>
      <c r="M63">
        <f t="shared" si="2"/>
        <v>66</v>
      </c>
      <c r="N63">
        <v>66</v>
      </c>
      <c r="P63" t="str">
        <f t="shared" si="3"/>
        <v>Syria</v>
      </c>
      <c r="Q63" t="str">
        <f t="shared" si="4"/>
        <v>REPUBLIC OF IRAQ</v>
      </c>
      <c r="R63">
        <f t="shared" si="5"/>
        <v>67</v>
      </c>
      <c r="S63">
        <f t="shared" si="6"/>
        <v>66</v>
      </c>
      <c r="T63">
        <v>66</v>
      </c>
      <c r="V63" t="str">
        <f>IF(TIM!F63="","",TIM!F63)</f>
        <v/>
      </c>
      <c r="W63" t="str">
        <f t="shared" si="7"/>
        <v/>
      </c>
      <c r="X63">
        <f t="shared" si="8"/>
        <v>0</v>
      </c>
      <c r="AI63">
        <f>IF(TIM!P63=TIM!P63,TIM!P63,"")</f>
        <v>0</v>
      </c>
      <c r="AJ63" t="str">
        <f t="shared" si="9"/>
        <v/>
      </c>
      <c r="AK63" t="str">
        <f t="shared" si="10"/>
        <v>0</v>
      </c>
      <c r="AL63" t="str">
        <f t="shared" si="11"/>
        <v>0</v>
      </c>
      <c r="AM63">
        <f t="shared" si="12"/>
        <v>543</v>
      </c>
      <c r="AN63" t="str">
        <f t="shared" si="13"/>
        <v>/0/543</v>
      </c>
      <c r="AP63">
        <f>IF(TIM!O63=TIM!O63,TIM!O63,"")</f>
        <v>0</v>
      </c>
      <c r="AQ63" t="str">
        <f t="shared" si="14"/>
        <v/>
      </c>
      <c r="AR63" t="str">
        <f t="shared" si="15"/>
        <v>0</v>
      </c>
      <c r="AS63" t="str">
        <f t="shared" si="16"/>
        <v>0</v>
      </c>
      <c r="AT63">
        <f t="shared" si="17"/>
        <v>543</v>
      </c>
      <c r="AU63" t="str">
        <f t="shared" si="18"/>
        <v>/0/543</v>
      </c>
    </row>
    <row r="64" spans="2:47">
      <c r="B64" s="11">
        <v>62</v>
      </c>
      <c r="C64" s="14" t="s">
        <v>747</v>
      </c>
      <c r="D64" s="14" t="s">
        <v>748</v>
      </c>
      <c r="E64" s="6"/>
      <c r="F64" s="11">
        <v>64</v>
      </c>
      <c r="G64" s="15" t="s">
        <v>596</v>
      </c>
      <c r="H64" s="15" t="s">
        <v>865</v>
      </c>
      <c r="J64" t="s">
        <v>273</v>
      </c>
      <c r="K64" t="str">
        <f t="shared" si="0"/>
        <v xml:space="preserve"> </v>
      </c>
      <c r="L64">
        <f t="shared" si="1"/>
        <v>65</v>
      </c>
      <c r="M64" t="e">
        <f t="shared" si="2"/>
        <v>#N/A</v>
      </c>
      <c r="N64">
        <v>220</v>
      </c>
      <c r="P64" t="str">
        <f t="shared" si="3"/>
        <v>Taiwan (Chinese Taipei)</v>
      </c>
      <c r="Q64" t="str">
        <f t="shared" si="4"/>
        <v>STATE OF KUWAIT</v>
      </c>
      <c r="R64">
        <f t="shared" si="5"/>
        <v>68</v>
      </c>
      <c r="S64" t="e">
        <f t="shared" si="6"/>
        <v>#N/A</v>
      </c>
      <c r="T64">
        <v>220</v>
      </c>
      <c r="V64" t="str">
        <f>IF(TIM!F64="","",TIM!F64)</f>
        <v/>
      </c>
      <c r="W64" t="str">
        <f t="shared" si="7"/>
        <v/>
      </c>
      <c r="X64">
        <f t="shared" si="8"/>
        <v>0</v>
      </c>
      <c r="AI64">
        <f>IF(TIM!P64=TIM!P64,TIM!P64,"")</f>
        <v>0</v>
      </c>
      <c r="AJ64" t="str">
        <f t="shared" si="9"/>
        <v/>
      </c>
      <c r="AK64" t="str">
        <f t="shared" si="10"/>
        <v>0</v>
      </c>
      <c r="AL64" t="str">
        <f t="shared" si="11"/>
        <v>0</v>
      </c>
      <c r="AM64">
        <f t="shared" si="12"/>
        <v>543</v>
      </c>
      <c r="AN64" t="str">
        <f t="shared" si="13"/>
        <v>/0/543</v>
      </c>
      <c r="AP64">
        <f>IF(TIM!O64=TIM!O64,TIM!O64,"")</f>
        <v>0</v>
      </c>
      <c r="AQ64" t="str">
        <f t="shared" si="14"/>
        <v/>
      </c>
      <c r="AR64" t="str">
        <f t="shared" si="15"/>
        <v>0</v>
      </c>
      <c r="AS64" t="str">
        <f t="shared" si="16"/>
        <v>0</v>
      </c>
      <c r="AT64">
        <f t="shared" si="17"/>
        <v>543</v>
      </c>
      <c r="AU64" t="str">
        <f t="shared" si="18"/>
        <v>/0/543</v>
      </c>
    </row>
    <row r="65" spans="2:47">
      <c r="B65" s="11">
        <v>63</v>
      </c>
      <c r="C65" s="14" t="s">
        <v>563</v>
      </c>
      <c r="D65" s="14" t="s">
        <v>564</v>
      </c>
      <c r="E65" s="6"/>
      <c r="F65" s="11">
        <v>66</v>
      </c>
      <c r="G65" s="15" t="s">
        <v>533</v>
      </c>
      <c r="H65" s="15" t="s">
        <v>822</v>
      </c>
      <c r="J65" t="s">
        <v>262</v>
      </c>
      <c r="K65" t="str">
        <f t="shared" si="0"/>
        <v>SYRIA</v>
      </c>
      <c r="L65">
        <f t="shared" si="1"/>
        <v>66</v>
      </c>
      <c r="M65" t="e">
        <f t="shared" si="2"/>
        <v>#N/A</v>
      </c>
      <c r="N65">
        <v>99</v>
      </c>
      <c r="P65" t="str">
        <f t="shared" si="3"/>
        <v>Thailand</v>
      </c>
      <c r="Q65" t="str">
        <f t="shared" si="4"/>
        <v>NEGARA BRUNEI DARUSSALAM</v>
      </c>
      <c r="R65">
        <f t="shared" si="5"/>
        <v>69</v>
      </c>
      <c r="S65">
        <f t="shared" si="6"/>
        <v>99</v>
      </c>
      <c r="T65">
        <v>99</v>
      </c>
      <c r="V65" t="str">
        <f>IF(TIM!F65="","",TIM!F65)</f>
        <v/>
      </c>
      <c r="W65" t="str">
        <f t="shared" si="7"/>
        <v/>
      </c>
      <c r="X65">
        <f t="shared" si="8"/>
        <v>0</v>
      </c>
      <c r="AI65">
        <f>IF(TIM!P65=TIM!P65,TIM!P65,"")</f>
        <v>0</v>
      </c>
      <c r="AJ65" t="str">
        <f t="shared" si="9"/>
        <v/>
      </c>
      <c r="AK65" t="str">
        <f t="shared" si="10"/>
        <v>0</v>
      </c>
      <c r="AL65" t="str">
        <f t="shared" si="11"/>
        <v>0</v>
      </c>
      <c r="AM65">
        <f t="shared" si="12"/>
        <v>543</v>
      </c>
      <c r="AN65" t="str">
        <f t="shared" si="13"/>
        <v>/0/543</v>
      </c>
      <c r="AP65">
        <f>IF(TIM!O65=TIM!O65,TIM!O65,"")</f>
        <v>0</v>
      </c>
      <c r="AQ65" t="str">
        <f t="shared" si="14"/>
        <v/>
      </c>
      <c r="AR65" t="str">
        <f t="shared" si="15"/>
        <v>0</v>
      </c>
      <c r="AS65" t="str">
        <f t="shared" si="16"/>
        <v>0</v>
      </c>
      <c r="AT65">
        <f t="shared" si="17"/>
        <v>543</v>
      </c>
      <c r="AU65" t="str">
        <f t="shared" si="18"/>
        <v>/0/543</v>
      </c>
    </row>
    <row r="66" spans="2:47">
      <c r="B66" s="11">
        <v>64</v>
      </c>
      <c r="C66" s="14" t="s">
        <v>596</v>
      </c>
      <c r="D66" s="14" t="s">
        <v>597</v>
      </c>
      <c r="E66" s="6"/>
      <c r="F66" s="11">
        <v>67</v>
      </c>
      <c r="G66" s="15" t="s">
        <v>743</v>
      </c>
      <c r="H66" s="15" t="s">
        <v>984</v>
      </c>
      <c r="J66" t="s">
        <v>263</v>
      </c>
      <c r="K66" t="str">
        <f t="shared" si="0"/>
        <v>IRAQI</v>
      </c>
      <c r="L66">
        <f t="shared" si="1"/>
        <v>67</v>
      </c>
      <c r="M66">
        <f t="shared" si="2"/>
        <v>63</v>
      </c>
      <c r="N66">
        <v>63</v>
      </c>
      <c r="P66" t="str">
        <f t="shared" si="3"/>
        <v>Turkey</v>
      </c>
      <c r="Q66" t="str">
        <f t="shared" si="4"/>
        <v>REPUBLIC OF SOUTH AFRICA</v>
      </c>
      <c r="R66">
        <f t="shared" si="5"/>
        <v>70</v>
      </c>
      <c r="S66">
        <f t="shared" si="6"/>
        <v>63</v>
      </c>
      <c r="T66">
        <v>63</v>
      </c>
      <c r="V66" t="str">
        <f>IF(TIM!F66="","",TIM!F66)</f>
        <v/>
      </c>
      <c r="W66" t="str">
        <f t="shared" si="7"/>
        <v/>
      </c>
      <c r="X66">
        <f t="shared" si="8"/>
        <v>0</v>
      </c>
      <c r="AI66">
        <f>IF(TIM!P66=TIM!P66,TIM!P66,"")</f>
        <v>0</v>
      </c>
      <c r="AJ66" t="str">
        <f t="shared" si="9"/>
        <v/>
      </c>
      <c r="AK66" t="str">
        <f t="shared" si="10"/>
        <v>0</v>
      </c>
      <c r="AL66" t="str">
        <f t="shared" si="11"/>
        <v>0</v>
      </c>
      <c r="AM66">
        <f t="shared" si="12"/>
        <v>543</v>
      </c>
      <c r="AN66" t="str">
        <f t="shared" si="13"/>
        <v>/0/543</v>
      </c>
      <c r="AP66">
        <f>IF(TIM!O66=TIM!O66,TIM!O66,"")</f>
        <v>0</v>
      </c>
      <c r="AQ66" t="str">
        <f t="shared" si="14"/>
        <v/>
      </c>
      <c r="AR66" t="str">
        <f t="shared" si="15"/>
        <v>0</v>
      </c>
      <c r="AS66" t="str">
        <f t="shared" si="16"/>
        <v>0</v>
      </c>
      <c r="AT66">
        <f t="shared" si="17"/>
        <v>543</v>
      </c>
      <c r="AU66" t="str">
        <f t="shared" si="18"/>
        <v>/0/543</v>
      </c>
    </row>
    <row r="67" spans="2:47">
      <c r="B67" s="11">
        <v>65</v>
      </c>
      <c r="C67" s="14" t="s">
        <v>39</v>
      </c>
      <c r="D67" s="14" t="s">
        <v>466</v>
      </c>
      <c r="E67" s="6"/>
      <c r="F67" s="11">
        <v>68</v>
      </c>
      <c r="G67" s="15" t="s">
        <v>40</v>
      </c>
      <c r="H67" s="15" t="s">
        <v>807</v>
      </c>
      <c r="J67" t="s">
        <v>264</v>
      </c>
      <c r="K67" t="str">
        <f t="shared" ref="K67:K130" si="19">D70</f>
        <v>KUWAIT</v>
      </c>
      <c r="L67">
        <f t="shared" ref="L67:L130" si="20">B70</f>
        <v>68</v>
      </c>
      <c r="M67">
        <f t="shared" ref="M67:M79" si="21">VLOOKUP("*"&amp;J67&amp;"*",$K$2:$L$258,2,FALSE)</f>
        <v>216</v>
      </c>
      <c r="N67">
        <v>216</v>
      </c>
      <c r="P67" t="str">
        <f t="shared" ref="P67:P130" si="22">IF(J67="","",J67)</f>
        <v>Ukraine</v>
      </c>
      <c r="Q67" t="str">
        <f t="shared" ref="Q67:Q130" si="23">H70</f>
        <v>REPUBLIC OF KENYA</v>
      </c>
      <c r="R67">
        <f t="shared" ref="R67:R130" si="24">F70</f>
        <v>73</v>
      </c>
      <c r="S67">
        <f t="shared" ref="S67:T111" si="25">VLOOKUP("*"&amp;P67&amp;"*",$Q$2:$R$208,2,FALSE)</f>
        <v>216</v>
      </c>
      <c r="T67">
        <v>216</v>
      </c>
      <c r="V67" t="str">
        <f>IF(TIM!F67="","",TIM!F67)</f>
        <v/>
      </c>
      <c r="W67" t="str">
        <f t="shared" ref="W67:W130" si="26">IFERROR(VLOOKUP(V67,$J$2:$N$258,5,FALSE),"")</f>
        <v/>
      </c>
      <c r="X67">
        <f t="shared" ref="X67:X130" si="27">IFERROR(VLOOKUP(V67,$P$2:$T$208,5,FALSE),"")</f>
        <v>0</v>
      </c>
      <c r="AI67">
        <f>IF(TIM!P67=TIM!P67,TIM!P67,"")</f>
        <v>0</v>
      </c>
      <c r="AJ67" t="str">
        <f t="shared" ref="AJ67:AJ130" si="28">MID(AI67,4,2)</f>
        <v/>
      </c>
      <c r="AK67" t="str">
        <f t="shared" ref="AK67:AK130" si="29">LEFT(AI67,2)</f>
        <v>0</v>
      </c>
      <c r="AL67" t="str">
        <f t="shared" ref="AL67:AL130" si="30">RIGHT(AI67,4)</f>
        <v>0</v>
      </c>
      <c r="AM67">
        <f t="shared" ref="AM67:AM130" si="31">AL67+543</f>
        <v>543</v>
      </c>
      <c r="AN67" t="str">
        <f t="shared" ref="AN67:AN130" si="32">AJ67&amp;"/"&amp;AK67&amp;"/"&amp;AM67</f>
        <v>/0/543</v>
      </c>
      <c r="AP67">
        <f>IF(TIM!O67=TIM!O67,TIM!O67,"")</f>
        <v>0</v>
      </c>
      <c r="AQ67" t="str">
        <f t="shared" ref="AQ67:AQ130" si="33">MID(AP67,4,2)</f>
        <v/>
      </c>
      <c r="AR67" t="str">
        <f t="shared" ref="AR67:AR130" si="34">LEFT(AP67,2)</f>
        <v>0</v>
      </c>
      <c r="AS67" t="str">
        <f t="shared" ref="AS67:AS130" si="35">RIGHT(AP67,4)</f>
        <v>0</v>
      </c>
      <c r="AT67">
        <f t="shared" ref="AT67:AT130" si="36">AS67+543</f>
        <v>543</v>
      </c>
      <c r="AU67" t="str">
        <f t="shared" ref="AU67:AU130" si="37">AQ67&amp;"/"&amp;AR67&amp;"/"&amp;AT67</f>
        <v>/0/543</v>
      </c>
    </row>
    <row r="68" spans="2:47">
      <c r="B68" s="11">
        <v>66</v>
      </c>
      <c r="C68" s="14" t="s">
        <v>533</v>
      </c>
      <c r="D68" s="14" t="s">
        <v>534</v>
      </c>
      <c r="E68" s="6"/>
      <c r="F68" s="11">
        <v>69</v>
      </c>
      <c r="G68" s="15" t="s">
        <v>861</v>
      </c>
      <c r="H68" s="15" t="s">
        <v>862</v>
      </c>
      <c r="J68" t="s">
        <v>271</v>
      </c>
      <c r="K68" t="str">
        <f t="shared" si="19"/>
        <v>BRUNEI</v>
      </c>
      <c r="L68">
        <f t="shared" si="20"/>
        <v>69</v>
      </c>
      <c r="M68" t="e">
        <f t="shared" si="21"/>
        <v>#N/A</v>
      </c>
      <c r="N68">
        <v>126</v>
      </c>
      <c r="P68" t="str">
        <f t="shared" si="22"/>
        <v>United Kingdom</v>
      </c>
      <c r="Q68" t="str">
        <f t="shared" si="23"/>
        <v>ARAB REPUBLIC OF EGYPT</v>
      </c>
      <c r="R68">
        <f t="shared" si="24"/>
        <v>74</v>
      </c>
      <c r="S68">
        <f t="shared" si="25"/>
        <v>126</v>
      </c>
      <c r="T68">
        <v>126</v>
      </c>
      <c r="V68" t="str">
        <f>IF(TIM!F68="","",TIM!F68)</f>
        <v/>
      </c>
      <c r="W68" t="str">
        <f t="shared" si="26"/>
        <v/>
      </c>
      <c r="X68">
        <f t="shared" si="27"/>
        <v>0</v>
      </c>
      <c r="AI68">
        <f>IF(TIM!P68=TIM!P68,TIM!P68,"")</f>
        <v>0</v>
      </c>
      <c r="AJ68" t="str">
        <f t="shared" si="28"/>
        <v/>
      </c>
      <c r="AK68" t="str">
        <f t="shared" si="29"/>
        <v>0</v>
      </c>
      <c r="AL68" t="str">
        <f t="shared" si="30"/>
        <v>0</v>
      </c>
      <c r="AM68">
        <f t="shared" si="31"/>
        <v>543</v>
      </c>
      <c r="AN68" t="str">
        <f t="shared" si="32"/>
        <v>/0/543</v>
      </c>
      <c r="AP68">
        <f>IF(TIM!O68=TIM!O68,TIM!O68,"")</f>
        <v>0</v>
      </c>
      <c r="AQ68" t="str">
        <f t="shared" si="33"/>
        <v/>
      </c>
      <c r="AR68" t="str">
        <f t="shared" si="34"/>
        <v>0</v>
      </c>
      <c r="AS68" t="str">
        <f t="shared" si="35"/>
        <v>0</v>
      </c>
      <c r="AT68">
        <f t="shared" si="36"/>
        <v>543</v>
      </c>
      <c r="AU68" t="str">
        <f t="shared" si="37"/>
        <v>/0/543</v>
      </c>
    </row>
    <row r="69" spans="2:47">
      <c r="B69" s="11">
        <v>67</v>
      </c>
      <c r="C69" s="14" t="s">
        <v>743</v>
      </c>
      <c r="D69" s="14" t="s">
        <v>744</v>
      </c>
      <c r="E69" s="6"/>
      <c r="F69" s="11">
        <v>70</v>
      </c>
      <c r="G69" s="15" t="s">
        <v>763</v>
      </c>
      <c r="H69" s="15" t="s">
        <v>996</v>
      </c>
      <c r="J69" t="s">
        <v>265</v>
      </c>
      <c r="K69" t="str">
        <f t="shared" si="19"/>
        <v>SOUTH AFRICAN</v>
      </c>
      <c r="L69">
        <f t="shared" si="20"/>
        <v>70</v>
      </c>
      <c r="M69" t="e">
        <f t="shared" si="21"/>
        <v>#N/A</v>
      </c>
      <c r="N69">
        <v>29</v>
      </c>
      <c r="P69" t="str">
        <f t="shared" si="22"/>
        <v>United States</v>
      </c>
      <c r="Q69" t="str">
        <f t="shared" si="23"/>
        <v>FEDERAL DEMOCRATIC REPUBLIC OF ETHIOPIA</v>
      </c>
      <c r="R69">
        <f t="shared" si="24"/>
        <v>75</v>
      </c>
      <c r="S69">
        <f t="shared" si="25"/>
        <v>29</v>
      </c>
      <c r="T69">
        <v>29</v>
      </c>
      <c r="V69" t="str">
        <f>IF(TIM!F69="","",TIM!F69)</f>
        <v/>
      </c>
      <c r="W69" t="str">
        <f t="shared" si="26"/>
        <v/>
      </c>
      <c r="X69">
        <f t="shared" si="27"/>
        <v>0</v>
      </c>
      <c r="AI69">
        <f>IF(TIM!P69=TIM!P69,TIM!P69,"")</f>
        <v>0</v>
      </c>
      <c r="AJ69" t="str">
        <f t="shared" si="28"/>
        <v/>
      </c>
      <c r="AK69" t="str">
        <f t="shared" si="29"/>
        <v>0</v>
      </c>
      <c r="AL69" t="str">
        <f t="shared" si="30"/>
        <v>0</v>
      </c>
      <c r="AM69">
        <f t="shared" si="31"/>
        <v>543</v>
      </c>
      <c r="AN69" t="str">
        <f t="shared" si="32"/>
        <v>/0/543</v>
      </c>
      <c r="AP69">
        <f>IF(TIM!O69=TIM!O69,TIM!O69,"")</f>
        <v>0</v>
      </c>
      <c r="AQ69" t="str">
        <f t="shared" si="33"/>
        <v/>
      </c>
      <c r="AR69" t="str">
        <f t="shared" si="34"/>
        <v>0</v>
      </c>
      <c r="AS69" t="str">
        <f t="shared" si="35"/>
        <v>0</v>
      </c>
      <c r="AT69">
        <f t="shared" si="36"/>
        <v>543</v>
      </c>
      <c r="AU69" t="str">
        <f t="shared" si="37"/>
        <v>/0/543</v>
      </c>
    </row>
    <row r="70" spans="2:47">
      <c r="B70" s="11">
        <v>68</v>
      </c>
      <c r="C70" s="14" t="s">
        <v>40</v>
      </c>
      <c r="D70" s="14" t="s">
        <v>499</v>
      </c>
      <c r="E70" s="6"/>
      <c r="F70" s="11">
        <v>73</v>
      </c>
      <c r="G70" s="15" t="s">
        <v>500</v>
      </c>
      <c r="H70" s="15" t="s">
        <v>808</v>
      </c>
      <c r="J70" t="s">
        <v>266</v>
      </c>
      <c r="K70" t="str">
        <f t="shared" si="19"/>
        <v>Karen</v>
      </c>
      <c r="L70">
        <f t="shared" si="20"/>
        <v>71</v>
      </c>
      <c r="M70" t="e">
        <f t="shared" si="21"/>
        <v>#N/A</v>
      </c>
      <c r="N70">
        <v>229</v>
      </c>
      <c r="P70" t="str">
        <f t="shared" si="22"/>
        <v>Uzbekistan</v>
      </c>
      <c r="Q70" t="str">
        <f t="shared" si="23"/>
        <v>FEDERAL REPUBLIC OF NIGERIA</v>
      </c>
      <c r="R70">
        <f t="shared" si="24"/>
        <v>76</v>
      </c>
      <c r="S70">
        <f t="shared" si="25"/>
        <v>229</v>
      </c>
      <c r="T70">
        <v>229</v>
      </c>
      <c r="V70" t="str">
        <f>IF(TIM!F70="","",TIM!F70)</f>
        <v/>
      </c>
      <c r="W70" t="str">
        <f t="shared" si="26"/>
        <v/>
      </c>
      <c r="X70">
        <f t="shared" si="27"/>
        <v>0</v>
      </c>
      <c r="AI70">
        <f>IF(TIM!P70=TIM!P70,TIM!P70,"")</f>
        <v>0</v>
      </c>
      <c r="AJ70" t="str">
        <f t="shared" si="28"/>
        <v/>
      </c>
      <c r="AK70" t="str">
        <f t="shared" si="29"/>
        <v>0</v>
      </c>
      <c r="AL70" t="str">
        <f t="shared" si="30"/>
        <v>0</v>
      </c>
      <c r="AM70">
        <f t="shared" si="31"/>
        <v>543</v>
      </c>
      <c r="AN70" t="str">
        <f t="shared" si="32"/>
        <v>/0/543</v>
      </c>
      <c r="AP70">
        <f>IF(TIM!O70=TIM!O70,TIM!O70,"")</f>
        <v>0</v>
      </c>
      <c r="AQ70" t="str">
        <f t="shared" si="33"/>
        <v/>
      </c>
      <c r="AR70" t="str">
        <f t="shared" si="34"/>
        <v>0</v>
      </c>
      <c r="AS70" t="str">
        <f t="shared" si="35"/>
        <v>0</v>
      </c>
      <c r="AT70">
        <f t="shared" si="36"/>
        <v>543</v>
      </c>
      <c r="AU70" t="str">
        <f t="shared" si="37"/>
        <v>/0/543</v>
      </c>
    </row>
    <row r="71" spans="2:47">
      <c r="B71" s="11">
        <v>69</v>
      </c>
      <c r="C71" s="14" t="s">
        <v>592</v>
      </c>
      <c r="D71" s="14" t="s">
        <v>593</v>
      </c>
      <c r="E71" s="6"/>
      <c r="F71" s="11">
        <v>74</v>
      </c>
      <c r="G71" s="15" t="s">
        <v>749</v>
      </c>
      <c r="H71" s="15" t="s">
        <v>987</v>
      </c>
      <c r="J71" t="s">
        <v>1010</v>
      </c>
      <c r="K71" t="str">
        <f t="shared" si="19"/>
        <v>Lahu</v>
      </c>
      <c r="L71">
        <f t="shared" si="20"/>
        <v>72</v>
      </c>
      <c r="M71">
        <f t="shared" si="21"/>
        <v>39</v>
      </c>
      <c r="N71">
        <v>39</v>
      </c>
      <c r="P71" t="str">
        <f t="shared" si="22"/>
        <v>Peru</v>
      </c>
      <c r="Q71" t="str">
        <f t="shared" si="23"/>
        <v>UNITED ARAB EMIRATES</v>
      </c>
      <c r="R71">
        <f t="shared" si="24"/>
        <v>77</v>
      </c>
      <c r="S71">
        <f t="shared" si="25"/>
        <v>39</v>
      </c>
      <c r="T71">
        <v>39</v>
      </c>
      <c r="V71" t="str">
        <f>IF(TIM!F71="","",TIM!F71)</f>
        <v/>
      </c>
      <c r="W71" t="str">
        <f t="shared" si="26"/>
        <v/>
      </c>
      <c r="X71">
        <f t="shared" si="27"/>
        <v>0</v>
      </c>
      <c r="AI71">
        <f>IF(TIM!P71=TIM!P71,TIM!P71,"")</f>
        <v>0</v>
      </c>
      <c r="AJ71" t="str">
        <f t="shared" si="28"/>
        <v/>
      </c>
      <c r="AK71" t="str">
        <f t="shared" si="29"/>
        <v>0</v>
      </c>
      <c r="AL71" t="str">
        <f t="shared" si="30"/>
        <v>0</v>
      </c>
      <c r="AM71">
        <f t="shared" si="31"/>
        <v>543</v>
      </c>
      <c r="AN71" t="str">
        <f t="shared" si="32"/>
        <v>/0/543</v>
      </c>
      <c r="AP71">
        <f>IF(TIM!O71=TIM!O71,TIM!O71,"")</f>
        <v>0</v>
      </c>
      <c r="AQ71" t="str">
        <f t="shared" si="33"/>
        <v/>
      </c>
      <c r="AR71" t="str">
        <f t="shared" si="34"/>
        <v>0</v>
      </c>
      <c r="AS71" t="str">
        <f t="shared" si="35"/>
        <v>0</v>
      </c>
      <c r="AT71">
        <f t="shared" si="36"/>
        <v>543</v>
      </c>
      <c r="AU71" t="str">
        <f t="shared" si="37"/>
        <v>/0/543</v>
      </c>
    </row>
    <row r="72" spans="2:47">
      <c r="B72" s="11">
        <v>70</v>
      </c>
      <c r="C72" s="14" t="s">
        <v>763</v>
      </c>
      <c r="D72" s="14" t="s">
        <v>764</v>
      </c>
      <c r="E72" s="6"/>
      <c r="F72" s="11">
        <v>75</v>
      </c>
      <c r="G72" s="15" t="s">
        <v>43</v>
      </c>
      <c r="H72" s="15" t="s">
        <v>991</v>
      </c>
      <c r="J72" t="s">
        <v>1011</v>
      </c>
      <c r="K72" t="str">
        <f t="shared" si="19"/>
        <v>KENYA</v>
      </c>
      <c r="L72">
        <f t="shared" si="20"/>
        <v>73</v>
      </c>
      <c r="M72">
        <f t="shared" si="21"/>
        <v>180</v>
      </c>
      <c r="N72">
        <v>180</v>
      </c>
      <c r="P72" t="str">
        <f t="shared" si="22"/>
        <v>Grenada</v>
      </c>
      <c r="Q72" t="str">
        <f t="shared" si="23"/>
        <v>REPUBLIC OF GUINEA</v>
      </c>
      <c r="R72">
        <f t="shared" si="24"/>
        <v>78</v>
      </c>
      <c r="S72">
        <f t="shared" si="25"/>
        <v>180</v>
      </c>
      <c r="T72">
        <v>180</v>
      </c>
      <c r="V72" t="str">
        <f>IF(TIM!F72="","",TIM!F72)</f>
        <v/>
      </c>
      <c r="W72" t="str">
        <f t="shared" si="26"/>
        <v/>
      </c>
      <c r="X72">
        <f t="shared" si="27"/>
        <v>0</v>
      </c>
      <c r="AI72">
        <f>IF(TIM!P72=TIM!P72,TIM!P72,"")</f>
        <v>0</v>
      </c>
      <c r="AJ72" t="str">
        <f t="shared" si="28"/>
        <v/>
      </c>
      <c r="AK72" t="str">
        <f t="shared" si="29"/>
        <v>0</v>
      </c>
      <c r="AL72" t="str">
        <f t="shared" si="30"/>
        <v>0</v>
      </c>
      <c r="AM72">
        <f t="shared" si="31"/>
        <v>543</v>
      </c>
      <c r="AN72" t="str">
        <f t="shared" si="32"/>
        <v>/0/543</v>
      </c>
      <c r="AP72">
        <f>IF(TIM!O72=TIM!O72,TIM!O72,"")</f>
        <v>0</v>
      </c>
      <c r="AQ72" t="str">
        <f t="shared" si="33"/>
        <v/>
      </c>
      <c r="AR72" t="str">
        <f t="shared" si="34"/>
        <v>0</v>
      </c>
      <c r="AS72" t="str">
        <f t="shared" si="35"/>
        <v>0</v>
      </c>
      <c r="AT72">
        <f t="shared" si="36"/>
        <v>543</v>
      </c>
      <c r="AU72" t="str">
        <f t="shared" si="37"/>
        <v>/0/543</v>
      </c>
    </row>
    <row r="73" spans="2:47">
      <c r="B73" s="11">
        <v>71</v>
      </c>
      <c r="C73" s="14" t="s">
        <v>41</v>
      </c>
      <c r="D73" s="14" t="s">
        <v>465</v>
      </c>
      <c r="E73" s="6"/>
      <c r="F73" s="11">
        <v>76</v>
      </c>
      <c r="G73" s="15" t="s">
        <v>586</v>
      </c>
      <c r="H73" s="15" t="s">
        <v>858</v>
      </c>
      <c r="J73" t="s">
        <v>1012</v>
      </c>
      <c r="K73" t="str">
        <f t="shared" si="19"/>
        <v>EGYPT</v>
      </c>
      <c r="L73">
        <f t="shared" si="20"/>
        <v>74</v>
      </c>
      <c r="M73">
        <f t="shared" si="21"/>
        <v>101</v>
      </c>
      <c r="N73">
        <v>101</v>
      </c>
      <c r="P73" t="str">
        <f t="shared" si="22"/>
        <v>Bahrain</v>
      </c>
      <c r="Q73" t="str">
        <f t="shared" si="23"/>
        <v>COMMONWEALTH OF AUSTRALIA</v>
      </c>
      <c r="R73">
        <f t="shared" si="24"/>
        <v>79</v>
      </c>
      <c r="S73">
        <f t="shared" si="25"/>
        <v>101</v>
      </c>
      <c r="T73">
        <v>101</v>
      </c>
      <c r="V73" t="str">
        <f>IF(TIM!F73="","",TIM!F73)</f>
        <v/>
      </c>
      <c r="W73" t="str">
        <f t="shared" si="26"/>
        <v/>
      </c>
      <c r="X73">
        <f t="shared" si="27"/>
        <v>0</v>
      </c>
      <c r="AI73">
        <f>IF(TIM!P73=TIM!P73,TIM!P73,"")</f>
        <v>0</v>
      </c>
      <c r="AJ73" t="str">
        <f t="shared" si="28"/>
        <v/>
      </c>
      <c r="AK73" t="str">
        <f t="shared" si="29"/>
        <v>0</v>
      </c>
      <c r="AL73" t="str">
        <f t="shared" si="30"/>
        <v>0</v>
      </c>
      <c r="AM73">
        <f t="shared" si="31"/>
        <v>543</v>
      </c>
      <c r="AN73" t="str">
        <f t="shared" si="32"/>
        <v>/0/543</v>
      </c>
      <c r="AP73">
        <f>IF(TIM!O73=TIM!O73,TIM!O73,"")</f>
        <v>0</v>
      </c>
      <c r="AQ73" t="str">
        <f t="shared" si="33"/>
        <v/>
      </c>
      <c r="AR73" t="str">
        <f t="shared" si="34"/>
        <v>0</v>
      </c>
      <c r="AS73" t="str">
        <f t="shared" si="35"/>
        <v>0</v>
      </c>
      <c r="AT73">
        <f t="shared" si="36"/>
        <v>543</v>
      </c>
      <c r="AU73" t="str">
        <f t="shared" si="37"/>
        <v>/0/543</v>
      </c>
    </row>
    <row r="74" spans="2:47">
      <c r="B74" s="11">
        <v>72</v>
      </c>
      <c r="C74" s="14" t="s">
        <v>42</v>
      </c>
      <c r="D74" s="14" t="s">
        <v>686</v>
      </c>
      <c r="E74" s="6"/>
      <c r="F74" s="11">
        <v>77</v>
      </c>
      <c r="G74" s="15" t="s">
        <v>714</v>
      </c>
      <c r="H74" s="15" t="s">
        <v>938</v>
      </c>
      <c r="J74" t="s">
        <v>1013</v>
      </c>
      <c r="K74" t="str">
        <f t="shared" si="19"/>
        <v>ETHIOPIA</v>
      </c>
      <c r="L74">
        <f t="shared" si="20"/>
        <v>75</v>
      </c>
      <c r="M74">
        <f t="shared" si="21"/>
        <v>189</v>
      </c>
      <c r="N74">
        <v>189</v>
      </c>
      <c r="P74" t="str">
        <f t="shared" si="22"/>
        <v>Trinidad and Tobago</v>
      </c>
      <c r="Q74" t="str">
        <f t="shared" si="23"/>
        <v>NEW ZEALAND</v>
      </c>
      <c r="R74">
        <f t="shared" si="24"/>
        <v>80</v>
      </c>
      <c r="S74">
        <f t="shared" si="25"/>
        <v>189</v>
      </c>
      <c r="T74">
        <v>189</v>
      </c>
      <c r="V74" t="str">
        <f>IF(TIM!F74="","",TIM!F74)</f>
        <v/>
      </c>
      <c r="W74" t="str">
        <f t="shared" si="26"/>
        <v/>
      </c>
      <c r="X74">
        <f t="shared" si="27"/>
        <v>0</v>
      </c>
      <c r="AI74">
        <f>IF(TIM!P74=TIM!P74,TIM!P74,"")</f>
        <v>0</v>
      </c>
      <c r="AJ74" t="str">
        <f t="shared" si="28"/>
        <v/>
      </c>
      <c r="AK74" t="str">
        <f t="shared" si="29"/>
        <v>0</v>
      </c>
      <c r="AL74" t="str">
        <f t="shared" si="30"/>
        <v>0</v>
      </c>
      <c r="AM74">
        <f t="shared" si="31"/>
        <v>543</v>
      </c>
      <c r="AN74" t="str">
        <f t="shared" si="32"/>
        <v>/0/543</v>
      </c>
      <c r="AP74">
        <f>IF(TIM!O74=TIM!O74,TIM!O74,"")</f>
        <v>0</v>
      </c>
      <c r="AQ74" t="str">
        <f t="shared" si="33"/>
        <v/>
      </c>
      <c r="AR74" t="str">
        <f t="shared" si="34"/>
        <v>0</v>
      </c>
      <c r="AS74" t="str">
        <f t="shared" si="35"/>
        <v>0</v>
      </c>
      <c r="AT74">
        <f t="shared" si="36"/>
        <v>543</v>
      </c>
      <c r="AU74" t="str">
        <f t="shared" si="37"/>
        <v>/0/543</v>
      </c>
    </row>
    <row r="75" spans="2:47">
      <c r="B75" s="11">
        <v>73</v>
      </c>
      <c r="C75" s="14" t="s">
        <v>500</v>
      </c>
      <c r="D75" s="14" t="s">
        <v>501</v>
      </c>
      <c r="E75" s="6"/>
      <c r="F75" s="11">
        <v>78</v>
      </c>
      <c r="G75" s="15" t="s">
        <v>44</v>
      </c>
      <c r="H75" s="15" t="s">
        <v>789</v>
      </c>
      <c r="J75" t="s">
        <v>241</v>
      </c>
      <c r="K75" t="str">
        <f t="shared" si="19"/>
        <v>NIGERIA</v>
      </c>
      <c r="L75">
        <f t="shared" si="20"/>
        <v>76</v>
      </c>
      <c r="M75">
        <f t="shared" si="21"/>
        <v>48</v>
      </c>
      <c r="N75">
        <v>48</v>
      </c>
      <c r="P75" t="str">
        <f t="shared" si="22"/>
        <v>Myanmar</v>
      </c>
      <c r="Q75" t="str">
        <f t="shared" si="23"/>
        <v>PAPUA NEW GUINEA</v>
      </c>
      <c r="R75">
        <f t="shared" si="24"/>
        <v>81</v>
      </c>
      <c r="S75">
        <f t="shared" si="25"/>
        <v>48</v>
      </c>
      <c r="T75">
        <v>48</v>
      </c>
      <c r="V75" t="str">
        <f>IF(TIM!F75="","",TIM!F75)</f>
        <v/>
      </c>
      <c r="W75" t="str">
        <f t="shared" si="26"/>
        <v/>
      </c>
      <c r="X75">
        <f t="shared" si="27"/>
        <v>0</v>
      </c>
      <c r="AI75">
        <f>IF(TIM!P75=TIM!P75,TIM!P75,"")</f>
        <v>0</v>
      </c>
      <c r="AJ75" t="str">
        <f t="shared" si="28"/>
        <v/>
      </c>
      <c r="AK75" t="str">
        <f t="shared" si="29"/>
        <v>0</v>
      </c>
      <c r="AL75" t="str">
        <f t="shared" si="30"/>
        <v>0</v>
      </c>
      <c r="AM75">
        <f t="shared" si="31"/>
        <v>543</v>
      </c>
      <c r="AN75" t="str">
        <f t="shared" si="32"/>
        <v>/0/543</v>
      </c>
      <c r="AP75">
        <f>IF(TIM!O75=TIM!O75,TIM!O75,"")</f>
        <v>0</v>
      </c>
      <c r="AQ75" t="str">
        <f t="shared" si="33"/>
        <v/>
      </c>
      <c r="AR75" t="str">
        <f t="shared" si="34"/>
        <v>0</v>
      </c>
      <c r="AS75" t="str">
        <f t="shared" si="35"/>
        <v>0</v>
      </c>
      <c r="AT75">
        <f t="shared" si="36"/>
        <v>543</v>
      </c>
      <c r="AU75" t="str">
        <f t="shared" si="37"/>
        <v>/0/543</v>
      </c>
    </row>
    <row r="76" spans="2:47">
      <c r="B76" s="11">
        <v>74</v>
      </c>
      <c r="C76" s="14" t="s">
        <v>749</v>
      </c>
      <c r="D76" s="14" t="s">
        <v>750</v>
      </c>
      <c r="E76" s="6"/>
      <c r="F76" s="11">
        <v>79</v>
      </c>
      <c r="G76" s="15" t="s">
        <v>724</v>
      </c>
      <c r="H76" s="15" t="s">
        <v>970</v>
      </c>
      <c r="J76" t="s">
        <v>1014</v>
      </c>
      <c r="K76" t="str">
        <f t="shared" si="19"/>
        <v>UNITED ARAB EMIRATE</v>
      </c>
      <c r="L76">
        <f t="shared" si="20"/>
        <v>77</v>
      </c>
      <c r="M76">
        <f t="shared" si="21"/>
        <v>46</v>
      </c>
      <c r="N76">
        <v>46</v>
      </c>
      <c r="P76" t="str">
        <f t="shared" si="22"/>
        <v>Vietnam</v>
      </c>
      <c r="Q76" t="str">
        <f t="shared" si="23"/>
        <v>KINGDOM OF THAILAND</v>
      </c>
      <c r="R76">
        <f t="shared" si="24"/>
        <v>99</v>
      </c>
      <c r="S76">
        <f t="shared" si="25"/>
        <v>46</v>
      </c>
      <c r="T76">
        <v>46</v>
      </c>
      <c r="V76" t="str">
        <f>IF(TIM!F76="","",TIM!F76)</f>
        <v/>
      </c>
      <c r="W76" t="str">
        <f t="shared" si="26"/>
        <v/>
      </c>
      <c r="X76">
        <f t="shared" si="27"/>
        <v>0</v>
      </c>
      <c r="AI76">
        <f>IF(TIM!P76=TIM!P76,TIM!P76,"")</f>
        <v>0</v>
      </c>
      <c r="AJ76" t="str">
        <f t="shared" si="28"/>
        <v/>
      </c>
      <c r="AK76" t="str">
        <f t="shared" si="29"/>
        <v>0</v>
      </c>
      <c r="AL76" t="str">
        <f t="shared" si="30"/>
        <v>0</v>
      </c>
      <c r="AM76">
        <f t="shared" si="31"/>
        <v>543</v>
      </c>
      <c r="AN76" t="str">
        <f t="shared" si="32"/>
        <v>/0/543</v>
      </c>
      <c r="AP76">
        <f>IF(TIM!O76=TIM!O76,TIM!O76,"")</f>
        <v>0</v>
      </c>
      <c r="AQ76" t="str">
        <f t="shared" si="33"/>
        <v/>
      </c>
      <c r="AR76" t="str">
        <f t="shared" si="34"/>
        <v>0</v>
      </c>
      <c r="AS76" t="str">
        <f t="shared" si="35"/>
        <v>0</v>
      </c>
      <c r="AT76">
        <f t="shared" si="36"/>
        <v>543</v>
      </c>
      <c r="AU76" t="str">
        <f t="shared" si="37"/>
        <v>/0/543</v>
      </c>
    </row>
    <row r="77" spans="2:47">
      <c r="B77" s="11">
        <v>75</v>
      </c>
      <c r="C77" s="14" t="s">
        <v>43</v>
      </c>
      <c r="D77" s="14" t="s">
        <v>756</v>
      </c>
      <c r="E77" s="6"/>
      <c r="F77" s="11">
        <v>80</v>
      </c>
      <c r="G77" s="15" t="s">
        <v>582</v>
      </c>
      <c r="H77" s="15" t="s">
        <v>583</v>
      </c>
      <c r="J77" t="s">
        <v>1015</v>
      </c>
      <c r="K77" t="str">
        <f t="shared" si="19"/>
        <v>GUINEA</v>
      </c>
      <c r="L77">
        <f t="shared" si="20"/>
        <v>78</v>
      </c>
      <c r="M77">
        <f t="shared" si="21"/>
        <v>27</v>
      </c>
      <c r="N77">
        <v>27</v>
      </c>
      <c r="P77" t="str">
        <f t="shared" si="22"/>
        <v>Oman</v>
      </c>
      <c r="Q77" t="str">
        <f t="shared" si="23"/>
        <v>ISLAMIC STATE OF AFGHANISTAN</v>
      </c>
      <c r="R77">
        <f t="shared" si="24"/>
        <v>100</v>
      </c>
      <c r="S77">
        <f t="shared" si="25"/>
        <v>27</v>
      </c>
      <c r="T77">
        <v>27</v>
      </c>
      <c r="V77" t="str">
        <f>IF(TIM!F77="","",TIM!F77)</f>
        <v/>
      </c>
      <c r="W77" t="str">
        <f t="shared" si="26"/>
        <v/>
      </c>
      <c r="X77">
        <f t="shared" si="27"/>
        <v>0</v>
      </c>
      <c r="AI77">
        <f>IF(TIM!P77=TIM!P77,TIM!P77,"")</f>
        <v>0</v>
      </c>
      <c r="AJ77" t="str">
        <f t="shared" si="28"/>
        <v/>
      </c>
      <c r="AK77" t="str">
        <f t="shared" si="29"/>
        <v>0</v>
      </c>
      <c r="AL77" t="str">
        <f t="shared" si="30"/>
        <v>0</v>
      </c>
      <c r="AM77">
        <f t="shared" si="31"/>
        <v>543</v>
      </c>
      <c r="AN77" t="str">
        <f t="shared" si="32"/>
        <v>/0/543</v>
      </c>
      <c r="AP77">
        <f>IF(TIM!O77=TIM!O77,TIM!O77,"")</f>
        <v>0</v>
      </c>
      <c r="AQ77" t="str">
        <f t="shared" si="33"/>
        <v/>
      </c>
      <c r="AR77" t="str">
        <f t="shared" si="34"/>
        <v>0</v>
      </c>
      <c r="AS77" t="str">
        <f t="shared" si="35"/>
        <v>0</v>
      </c>
      <c r="AT77">
        <f t="shared" si="36"/>
        <v>543</v>
      </c>
      <c r="AU77" t="str">
        <f t="shared" si="37"/>
        <v>/0/543</v>
      </c>
    </row>
    <row r="78" spans="2:47">
      <c r="B78" s="11">
        <v>76</v>
      </c>
      <c r="C78" s="14" t="s">
        <v>586</v>
      </c>
      <c r="D78" s="14" t="s">
        <v>587</v>
      </c>
      <c r="E78" s="6"/>
      <c r="F78" s="11">
        <v>81</v>
      </c>
      <c r="G78" s="15" t="s">
        <v>45</v>
      </c>
      <c r="H78" s="15" t="s">
        <v>618</v>
      </c>
      <c r="J78" t="s">
        <v>1016</v>
      </c>
      <c r="K78" t="str">
        <f t="shared" si="19"/>
        <v>AUSTRALIA</v>
      </c>
      <c r="L78">
        <f t="shared" si="20"/>
        <v>79</v>
      </c>
      <c r="M78">
        <f>VLOOKUP("*"&amp;J78&amp;"*",$K$2:$L$258,2,FALSE)</f>
        <v>103</v>
      </c>
      <c r="N78">
        <v>103</v>
      </c>
      <c r="P78" t="str">
        <f t="shared" si="22"/>
        <v>Jordan</v>
      </c>
      <c r="Q78" t="str">
        <f t="shared" si="23"/>
        <v>KINGDOM OF BAHRAIN</v>
      </c>
      <c r="R78">
        <f t="shared" si="24"/>
        <v>101</v>
      </c>
      <c r="S78">
        <f t="shared" si="25"/>
        <v>103</v>
      </c>
      <c r="T78">
        <v>103</v>
      </c>
      <c r="V78" t="str">
        <f>IF(TIM!F78="","",TIM!F78)</f>
        <v/>
      </c>
      <c r="W78" t="str">
        <f t="shared" si="26"/>
        <v/>
      </c>
      <c r="X78">
        <f t="shared" si="27"/>
        <v>0</v>
      </c>
      <c r="AI78">
        <f>IF(TIM!P78=TIM!P78,TIM!P78,"")</f>
        <v>0</v>
      </c>
      <c r="AJ78" t="str">
        <f t="shared" si="28"/>
        <v/>
      </c>
      <c r="AK78" t="str">
        <f t="shared" si="29"/>
        <v>0</v>
      </c>
      <c r="AL78" t="str">
        <f t="shared" si="30"/>
        <v>0</v>
      </c>
      <c r="AM78">
        <f t="shared" si="31"/>
        <v>543</v>
      </c>
      <c r="AN78" t="str">
        <f t="shared" si="32"/>
        <v>/0/543</v>
      </c>
      <c r="AP78">
        <f>IF(TIM!O78=TIM!O78,TIM!O78,"")</f>
        <v>0</v>
      </c>
      <c r="AQ78" t="str">
        <f t="shared" si="33"/>
        <v/>
      </c>
      <c r="AR78" t="str">
        <f t="shared" si="34"/>
        <v>0</v>
      </c>
      <c r="AS78" t="str">
        <f t="shared" si="35"/>
        <v>0</v>
      </c>
      <c r="AT78">
        <f t="shared" si="36"/>
        <v>543</v>
      </c>
      <c r="AU78" t="str">
        <f t="shared" si="37"/>
        <v>/0/543</v>
      </c>
    </row>
    <row r="79" spans="2:47">
      <c r="B79" s="11">
        <v>77</v>
      </c>
      <c r="C79" s="14" t="s">
        <v>714</v>
      </c>
      <c r="D79" s="14" t="s">
        <v>715</v>
      </c>
      <c r="E79" s="6"/>
      <c r="F79" s="11">
        <v>99</v>
      </c>
      <c r="G79" s="15" t="s">
        <v>572</v>
      </c>
      <c r="H79" s="15" t="s">
        <v>850</v>
      </c>
      <c r="J79" t="s">
        <v>1018</v>
      </c>
      <c r="K79" t="str">
        <f t="shared" si="19"/>
        <v>NEW ZEALAND</v>
      </c>
      <c r="L79">
        <f t="shared" si="20"/>
        <v>80</v>
      </c>
      <c r="M79">
        <f t="shared" si="21"/>
        <v>37</v>
      </c>
      <c r="N79">
        <v>37</v>
      </c>
      <c r="P79" t="str">
        <f t="shared" si="22"/>
        <v>Colombia</v>
      </c>
      <c r="Q79" t="str">
        <f t="shared" si="23"/>
        <v>KINGDOM OF BHUTAN</v>
      </c>
      <c r="R79">
        <f t="shared" si="24"/>
        <v>102</v>
      </c>
      <c r="S79">
        <f t="shared" si="25"/>
        <v>37</v>
      </c>
      <c r="T79">
        <v>37</v>
      </c>
      <c r="V79" t="str">
        <f>IF(TIM!F79="","",TIM!F79)</f>
        <v/>
      </c>
      <c r="W79" t="str">
        <f t="shared" si="26"/>
        <v/>
      </c>
      <c r="X79">
        <f t="shared" si="27"/>
        <v>0</v>
      </c>
      <c r="AI79">
        <f>IF(TIM!P79=TIM!P79,TIM!P79,"")</f>
        <v>0</v>
      </c>
      <c r="AJ79" t="str">
        <f t="shared" si="28"/>
        <v/>
      </c>
      <c r="AK79" t="str">
        <f t="shared" si="29"/>
        <v>0</v>
      </c>
      <c r="AL79" t="str">
        <f t="shared" si="30"/>
        <v>0</v>
      </c>
      <c r="AM79">
        <f t="shared" si="31"/>
        <v>543</v>
      </c>
      <c r="AN79" t="str">
        <f t="shared" si="32"/>
        <v>/0/543</v>
      </c>
      <c r="AP79">
        <f>IF(TIM!O79=TIM!O79,TIM!O79,"")</f>
        <v>0</v>
      </c>
      <c r="AQ79" t="str">
        <f t="shared" si="33"/>
        <v/>
      </c>
      <c r="AR79" t="str">
        <f t="shared" si="34"/>
        <v>0</v>
      </c>
      <c r="AS79" t="str">
        <f t="shared" si="35"/>
        <v>0</v>
      </c>
      <c r="AT79">
        <f t="shared" si="36"/>
        <v>543</v>
      </c>
      <c r="AU79" t="str">
        <f t="shared" si="37"/>
        <v>/0/543</v>
      </c>
    </row>
    <row r="80" spans="2:47">
      <c r="B80" s="11">
        <v>78</v>
      </c>
      <c r="C80" s="14" t="s">
        <v>44</v>
      </c>
      <c r="D80" s="14" t="s">
        <v>479</v>
      </c>
      <c r="E80" s="6"/>
      <c r="F80" s="11">
        <v>100</v>
      </c>
      <c r="G80" s="15" t="s">
        <v>973</v>
      </c>
      <c r="H80" s="15" t="s">
        <v>974</v>
      </c>
      <c r="J80" t="s">
        <v>1017</v>
      </c>
      <c r="K80" t="str">
        <f>D83</f>
        <v>PAPUA NEW GUINEA</v>
      </c>
      <c r="L80">
        <f t="shared" si="20"/>
        <v>81</v>
      </c>
      <c r="M80">
        <v>77</v>
      </c>
      <c r="N80">
        <v>77</v>
      </c>
      <c r="P80" t="str">
        <f t="shared" si="22"/>
        <v>United Arab Emirates</v>
      </c>
      <c r="Q80" t="str">
        <f t="shared" si="23"/>
        <v>HASEMITE KINGDOM OF JORDAN</v>
      </c>
      <c r="R80">
        <f t="shared" si="24"/>
        <v>103</v>
      </c>
      <c r="S80">
        <f t="shared" si="25"/>
        <v>77</v>
      </c>
      <c r="T80">
        <v>77</v>
      </c>
      <c r="V80" t="str">
        <f>IF(TIM!F80="","",TIM!F80)</f>
        <v/>
      </c>
      <c r="W80" t="str">
        <f t="shared" si="26"/>
        <v/>
      </c>
      <c r="X80">
        <f t="shared" si="27"/>
        <v>0</v>
      </c>
      <c r="AI80">
        <f>IF(TIM!P80=TIM!P80,TIM!P80,"")</f>
        <v>0</v>
      </c>
      <c r="AJ80" t="str">
        <f t="shared" si="28"/>
        <v/>
      </c>
      <c r="AK80" t="str">
        <f t="shared" si="29"/>
        <v>0</v>
      </c>
      <c r="AL80" t="str">
        <f t="shared" si="30"/>
        <v>0</v>
      </c>
      <c r="AM80">
        <f t="shared" si="31"/>
        <v>543</v>
      </c>
      <c r="AN80" t="str">
        <f t="shared" si="32"/>
        <v>/0/543</v>
      </c>
      <c r="AP80">
        <f>IF(TIM!O80=TIM!O80,TIM!O80,"")</f>
        <v>0</v>
      </c>
      <c r="AQ80" t="str">
        <f t="shared" si="33"/>
        <v/>
      </c>
      <c r="AR80" t="str">
        <f t="shared" si="34"/>
        <v>0</v>
      </c>
      <c r="AS80" t="str">
        <f t="shared" si="35"/>
        <v>0</v>
      </c>
      <c r="AT80">
        <f t="shared" si="36"/>
        <v>543</v>
      </c>
      <c r="AU80" t="str">
        <f t="shared" si="37"/>
        <v>/0/543</v>
      </c>
    </row>
    <row r="81" spans="2:47">
      <c r="B81" s="11">
        <v>79</v>
      </c>
      <c r="C81" s="14" t="s">
        <v>724</v>
      </c>
      <c r="D81" s="14" t="s">
        <v>725</v>
      </c>
      <c r="E81" s="6"/>
      <c r="F81" s="11">
        <v>101</v>
      </c>
      <c r="G81" s="15" t="s">
        <v>54</v>
      </c>
      <c r="H81" s="15" t="s">
        <v>867</v>
      </c>
      <c r="J81" t="s">
        <v>1019</v>
      </c>
      <c r="K81" t="str">
        <f t="shared" si="19"/>
        <v>Hmong</v>
      </c>
      <c r="L81">
        <f t="shared" si="20"/>
        <v>82</v>
      </c>
      <c r="M81">
        <v>56</v>
      </c>
      <c r="N81">
        <v>56</v>
      </c>
      <c r="P81" t="str">
        <f t="shared" si="22"/>
        <v>Laos</v>
      </c>
      <c r="Q81" t="str">
        <f t="shared" si="23"/>
        <v>DEMOCRATIC PEOPLE'S REPUBLIC OF KOREA</v>
      </c>
      <c r="R81">
        <f t="shared" si="24"/>
        <v>104</v>
      </c>
      <c r="S81">
        <v>56</v>
      </c>
      <c r="T81">
        <v>56</v>
      </c>
      <c r="V81" t="str">
        <f>IF(TIM!F81="","",TIM!F81)</f>
        <v/>
      </c>
      <c r="W81" t="str">
        <f t="shared" si="26"/>
        <v/>
      </c>
      <c r="X81">
        <f t="shared" si="27"/>
        <v>0</v>
      </c>
      <c r="AI81">
        <f>IF(TIM!P81=TIM!P81,TIM!P81,"")</f>
        <v>0</v>
      </c>
      <c r="AJ81" t="str">
        <f t="shared" si="28"/>
        <v/>
      </c>
      <c r="AK81" t="str">
        <f t="shared" si="29"/>
        <v>0</v>
      </c>
      <c r="AL81" t="str">
        <f t="shared" si="30"/>
        <v>0</v>
      </c>
      <c r="AM81">
        <f t="shared" si="31"/>
        <v>543</v>
      </c>
      <c r="AN81" t="str">
        <f t="shared" si="32"/>
        <v>/0/543</v>
      </c>
      <c r="AP81">
        <f>IF(TIM!O81=TIM!O81,TIM!O81,"")</f>
        <v>0</v>
      </c>
      <c r="AQ81" t="str">
        <f t="shared" si="33"/>
        <v/>
      </c>
      <c r="AR81" t="str">
        <f t="shared" si="34"/>
        <v>0</v>
      </c>
      <c r="AS81" t="str">
        <f t="shared" si="35"/>
        <v>0</v>
      </c>
      <c r="AT81">
        <f t="shared" si="36"/>
        <v>543</v>
      </c>
      <c r="AU81" t="str">
        <f t="shared" si="37"/>
        <v>/0/543</v>
      </c>
    </row>
    <row r="82" spans="2:47">
      <c r="B82" s="11">
        <v>80</v>
      </c>
      <c r="C82" s="14" t="s">
        <v>582</v>
      </c>
      <c r="D82" s="14" t="s">
        <v>583</v>
      </c>
      <c r="E82" s="6"/>
      <c r="F82" s="11">
        <v>102</v>
      </c>
      <c r="G82" s="15" t="s">
        <v>55</v>
      </c>
      <c r="H82" s="15" t="s">
        <v>887</v>
      </c>
      <c r="J82" t="s">
        <v>1020</v>
      </c>
      <c r="K82" t="str">
        <f t="shared" si="19"/>
        <v>Mien</v>
      </c>
      <c r="L82">
        <f t="shared" si="20"/>
        <v>83</v>
      </c>
      <c r="M82">
        <f t="shared" ref="M82:N111" si="38">VLOOKUP("*"&amp;J82&amp;"*",$K$2:$L$258,2,FALSE)</f>
        <v>52</v>
      </c>
      <c r="N82">
        <v>52</v>
      </c>
      <c r="P82" t="str">
        <f t="shared" si="22"/>
        <v>Pakistan</v>
      </c>
      <c r="Q82" t="str">
        <f t="shared" si="23"/>
        <v>REPUBLIC OF MALDIVES</v>
      </c>
      <c r="R82">
        <f t="shared" si="24"/>
        <v>105</v>
      </c>
      <c r="S82">
        <f t="shared" si="25"/>
        <v>52</v>
      </c>
      <c r="T82">
        <v>52</v>
      </c>
      <c r="V82" t="str">
        <f>IF(TIM!F82="","",TIM!F82)</f>
        <v/>
      </c>
      <c r="W82" t="str">
        <f t="shared" si="26"/>
        <v/>
      </c>
      <c r="X82">
        <f t="shared" si="27"/>
        <v>0</v>
      </c>
      <c r="AI82">
        <f>IF(TIM!P82=TIM!P82,TIM!P82,"")</f>
        <v>0</v>
      </c>
      <c r="AJ82" t="str">
        <f t="shared" si="28"/>
        <v/>
      </c>
      <c r="AK82" t="str">
        <f t="shared" si="29"/>
        <v>0</v>
      </c>
      <c r="AL82" t="str">
        <f t="shared" si="30"/>
        <v>0</v>
      </c>
      <c r="AM82">
        <f t="shared" si="31"/>
        <v>543</v>
      </c>
      <c r="AN82" t="str">
        <f t="shared" si="32"/>
        <v>/0/543</v>
      </c>
      <c r="AP82">
        <f>IF(TIM!O82=TIM!O82,TIM!O82,"")</f>
        <v>0</v>
      </c>
      <c r="AQ82" t="str">
        <f t="shared" si="33"/>
        <v/>
      </c>
      <c r="AR82" t="str">
        <f t="shared" si="34"/>
        <v>0</v>
      </c>
      <c r="AS82" t="str">
        <f t="shared" si="35"/>
        <v>0</v>
      </c>
      <c r="AT82">
        <f t="shared" si="36"/>
        <v>543</v>
      </c>
      <c r="AU82" t="str">
        <f t="shared" si="37"/>
        <v>/0/543</v>
      </c>
    </row>
    <row r="83" spans="2:47">
      <c r="B83" s="11">
        <v>81</v>
      </c>
      <c r="C83" s="14" t="s">
        <v>45</v>
      </c>
      <c r="D83" s="14" t="s">
        <v>618</v>
      </c>
      <c r="E83" s="6"/>
      <c r="F83" s="11">
        <v>103</v>
      </c>
      <c r="G83" s="15" t="s">
        <v>56</v>
      </c>
      <c r="H83" s="15" t="s">
        <v>814</v>
      </c>
      <c r="J83" t="s">
        <v>1021</v>
      </c>
      <c r="K83" t="str">
        <f t="shared" si="19"/>
        <v>Haw</v>
      </c>
      <c r="L83">
        <f t="shared" si="20"/>
        <v>86</v>
      </c>
      <c r="M83">
        <f t="shared" si="38"/>
        <v>123</v>
      </c>
      <c r="N83">
        <v>123</v>
      </c>
      <c r="P83" t="str">
        <f t="shared" si="22"/>
        <v>Liechtenstein</v>
      </c>
      <c r="Q83" t="str">
        <f t="shared" si="23"/>
        <v>MONGOLIA</v>
      </c>
      <c r="R83">
        <f t="shared" si="24"/>
        <v>106</v>
      </c>
      <c r="S83">
        <f t="shared" si="25"/>
        <v>123</v>
      </c>
      <c r="T83">
        <v>123</v>
      </c>
      <c r="V83" t="str">
        <f>IF(TIM!F83="","",TIM!F83)</f>
        <v/>
      </c>
      <c r="W83" t="str">
        <f t="shared" si="26"/>
        <v/>
      </c>
      <c r="X83">
        <f t="shared" si="27"/>
        <v>0</v>
      </c>
      <c r="AI83">
        <f>IF(TIM!P83=TIM!P83,TIM!P83,"")</f>
        <v>0</v>
      </c>
      <c r="AJ83" t="str">
        <f t="shared" si="28"/>
        <v/>
      </c>
      <c r="AK83" t="str">
        <f t="shared" si="29"/>
        <v>0</v>
      </c>
      <c r="AL83" t="str">
        <f t="shared" si="30"/>
        <v>0</v>
      </c>
      <c r="AM83">
        <f t="shared" si="31"/>
        <v>543</v>
      </c>
      <c r="AN83" t="str">
        <f t="shared" si="32"/>
        <v>/0/543</v>
      </c>
      <c r="AP83">
        <f>IF(TIM!O83=TIM!O83,TIM!O83,"")</f>
        <v>0</v>
      </c>
      <c r="AQ83" t="str">
        <f t="shared" si="33"/>
        <v/>
      </c>
      <c r="AR83" t="str">
        <f t="shared" si="34"/>
        <v>0</v>
      </c>
      <c r="AS83" t="str">
        <f t="shared" si="35"/>
        <v>0</v>
      </c>
      <c r="AT83">
        <f t="shared" si="36"/>
        <v>543</v>
      </c>
      <c r="AU83" t="str">
        <f t="shared" si="37"/>
        <v>/0/543</v>
      </c>
    </row>
    <row r="84" spans="2:47">
      <c r="B84" s="11">
        <v>82</v>
      </c>
      <c r="C84" s="14" t="s">
        <v>46</v>
      </c>
      <c r="D84" s="14" t="s">
        <v>637</v>
      </c>
      <c r="E84" s="6"/>
      <c r="F84" s="11">
        <v>104</v>
      </c>
      <c r="G84" s="15" t="s">
        <v>57</v>
      </c>
      <c r="H84" s="15" t="s">
        <v>793</v>
      </c>
      <c r="J84" t="s">
        <v>1022</v>
      </c>
      <c r="K84" t="str">
        <f t="shared" si="19"/>
        <v xml:space="preserve"> </v>
      </c>
      <c r="L84">
        <f t="shared" si="20"/>
        <v>87</v>
      </c>
      <c r="M84" t="e">
        <f t="shared" si="38"/>
        <v>#N/A</v>
      </c>
      <c r="N84">
        <v>242</v>
      </c>
      <c r="P84" t="str">
        <f t="shared" si="22"/>
        <v>Slovenia</v>
      </c>
      <c r="Q84" t="str">
        <f t="shared" si="23"/>
        <v>SULTANATE OF OMAN</v>
      </c>
      <c r="R84">
        <f t="shared" si="24"/>
        <v>107</v>
      </c>
      <c r="S84">
        <f t="shared" si="25"/>
        <v>242</v>
      </c>
      <c r="T84">
        <v>242</v>
      </c>
      <c r="V84" t="str">
        <f>IF(TIM!F84="","",TIM!F84)</f>
        <v/>
      </c>
      <c r="W84" t="str">
        <f t="shared" si="26"/>
        <v/>
      </c>
      <c r="X84">
        <f t="shared" si="27"/>
        <v>0</v>
      </c>
      <c r="AI84">
        <f>IF(TIM!P84=TIM!P84,TIM!P84,"")</f>
        <v>0</v>
      </c>
      <c r="AJ84" t="str">
        <f t="shared" si="28"/>
        <v/>
      </c>
      <c r="AK84" t="str">
        <f t="shared" si="29"/>
        <v>0</v>
      </c>
      <c r="AL84" t="str">
        <f t="shared" si="30"/>
        <v>0</v>
      </c>
      <c r="AM84">
        <f t="shared" si="31"/>
        <v>543</v>
      </c>
      <c r="AN84" t="str">
        <f t="shared" si="32"/>
        <v>/0/543</v>
      </c>
      <c r="AP84">
        <f>IF(TIM!O84=TIM!O84,TIM!O84,"")</f>
        <v>0</v>
      </c>
      <c r="AQ84" t="str">
        <f t="shared" si="33"/>
        <v/>
      </c>
      <c r="AR84" t="str">
        <f t="shared" si="34"/>
        <v>0</v>
      </c>
      <c r="AS84" t="str">
        <f t="shared" si="35"/>
        <v>0</v>
      </c>
      <c r="AT84">
        <f t="shared" si="36"/>
        <v>543</v>
      </c>
      <c r="AU84" t="str">
        <f t="shared" si="37"/>
        <v>/0/543</v>
      </c>
    </row>
    <row r="85" spans="2:47">
      <c r="B85" s="11">
        <v>83</v>
      </c>
      <c r="C85" s="14" t="s">
        <v>47</v>
      </c>
      <c r="D85" s="14" t="s">
        <v>656</v>
      </c>
      <c r="E85" s="6"/>
      <c r="F85" s="11">
        <v>105</v>
      </c>
      <c r="G85" s="15" t="s">
        <v>892</v>
      </c>
      <c r="H85" s="15" t="s">
        <v>893</v>
      </c>
      <c r="J85" t="s">
        <v>1023</v>
      </c>
      <c r="K85" t="str">
        <f t="shared" si="19"/>
        <v xml:space="preserve"> </v>
      </c>
      <c r="L85">
        <f t="shared" si="20"/>
        <v>88</v>
      </c>
      <c r="M85">
        <f t="shared" si="38"/>
        <v>172</v>
      </c>
      <c r="N85">
        <v>172</v>
      </c>
      <c r="P85" t="str">
        <f t="shared" si="22"/>
        <v>Antigua and Barbuda</v>
      </c>
      <c r="Q85" t="str">
        <f t="shared" si="23"/>
        <v>STATE OF QATAR</v>
      </c>
      <c r="R85">
        <f t="shared" si="24"/>
        <v>108</v>
      </c>
      <c r="S85">
        <f t="shared" si="25"/>
        <v>172</v>
      </c>
      <c r="T85">
        <v>172</v>
      </c>
      <c r="V85" t="str">
        <f>IF(TIM!F85="","",TIM!F85)</f>
        <v/>
      </c>
      <c r="W85" t="str">
        <f t="shared" si="26"/>
        <v/>
      </c>
      <c r="X85">
        <f t="shared" si="27"/>
        <v>0</v>
      </c>
      <c r="AI85">
        <f>IF(TIM!P85=TIM!P85,TIM!P85,"")</f>
        <v>0</v>
      </c>
      <c r="AJ85" t="str">
        <f t="shared" si="28"/>
        <v/>
      </c>
      <c r="AK85" t="str">
        <f t="shared" si="29"/>
        <v>0</v>
      </c>
      <c r="AL85" t="str">
        <f t="shared" si="30"/>
        <v>0</v>
      </c>
      <c r="AM85">
        <f t="shared" si="31"/>
        <v>543</v>
      </c>
      <c r="AN85" t="str">
        <f t="shared" si="32"/>
        <v>/0/543</v>
      </c>
      <c r="AP85">
        <f>IF(TIM!O85=TIM!O85,TIM!O85,"")</f>
        <v>0</v>
      </c>
      <c r="AQ85" t="str">
        <f t="shared" si="33"/>
        <v/>
      </c>
      <c r="AR85" t="str">
        <f t="shared" si="34"/>
        <v>0</v>
      </c>
      <c r="AS85" t="str">
        <f t="shared" si="35"/>
        <v>0</v>
      </c>
      <c r="AT85">
        <f t="shared" si="36"/>
        <v>543</v>
      </c>
      <c r="AU85" t="str">
        <f t="shared" si="37"/>
        <v>/0/543</v>
      </c>
    </row>
    <row r="86" spans="2:47">
      <c r="B86" s="11">
        <v>86</v>
      </c>
      <c r="C86" s="14" t="s">
        <v>520</v>
      </c>
      <c r="D86" s="14" t="s">
        <v>521</v>
      </c>
      <c r="E86" s="6"/>
      <c r="F86" s="11">
        <v>106</v>
      </c>
      <c r="G86" s="15" t="s">
        <v>59</v>
      </c>
      <c r="H86" s="15" t="s">
        <v>639</v>
      </c>
      <c r="J86" t="s">
        <v>1024</v>
      </c>
      <c r="K86" t="str">
        <f t="shared" si="19"/>
        <v xml:space="preserve"> </v>
      </c>
      <c r="L86">
        <f t="shared" si="20"/>
        <v>89</v>
      </c>
      <c r="M86">
        <f t="shared" si="38"/>
        <v>68</v>
      </c>
      <c r="N86">
        <v>68</v>
      </c>
      <c r="P86" t="str">
        <f t="shared" si="22"/>
        <v>Kuwait</v>
      </c>
      <c r="Q86" t="str">
        <f t="shared" si="23"/>
        <v>REPUBLIC OF YEMEN</v>
      </c>
      <c r="R86">
        <f t="shared" si="24"/>
        <v>109</v>
      </c>
      <c r="S86">
        <f t="shared" si="25"/>
        <v>68</v>
      </c>
      <c r="T86">
        <v>68</v>
      </c>
      <c r="V86" t="str">
        <f>IF(TIM!F86="","",TIM!F86)</f>
        <v/>
      </c>
      <c r="W86" t="str">
        <f t="shared" si="26"/>
        <v/>
      </c>
      <c r="X86">
        <f t="shared" si="27"/>
        <v>0</v>
      </c>
      <c r="AI86">
        <f>IF(TIM!P86=TIM!P86,TIM!P86,"")</f>
        <v>0</v>
      </c>
      <c r="AJ86" t="str">
        <f t="shared" si="28"/>
        <v/>
      </c>
      <c r="AK86" t="str">
        <f t="shared" si="29"/>
        <v>0</v>
      </c>
      <c r="AL86" t="str">
        <f t="shared" si="30"/>
        <v>0</v>
      </c>
      <c r="AM86">
        <f t="shared" si="31"/>
        <v>543</v>
      </c>
      <c r="AN86" t="str">
        <f t="shared" si="32"/>
        <v>/0/543</v>
      </c>
      <c r="AP86">
        <f>IF(TIM!O86=TIM!O86,TIM!O86,"")</f>
        <v>0</v>
      </c>
      <c r="AQ86" t="str">
        <f t="shared" si="33"/>
        <v/>
      </c>
      <c r="AR86" t="str">
        <f t="shared" si="34"/>
        <v>0</v>
      </c>
      <c r="AS86" t="str">
        <f t="shared" si="35"/>
        <v>0</v>
      </c>
      <c r="AT86">
        <f t="shared" si="36"/>
        <v>543</v>
      </c>
      <c r="AU86" t="str">
        <f t="shared" si="37"/>
        <v>/0/543</v>
      </c>
    </row>
    <row r="87" spans="2:47">
      <c r="B87" s="11">
        <v>87</v>
      </c>
      <c r="C87" s="14" t="s">
        <v>516</v>
      </c>
      <c r="D87" s="14" t="s">
        <v>466</v>
      </c>
      <c r="E87" s="6"/>
      <c r="F87" s="11">
        <v>107</v>
      </c>
      <c r="G87" s="15" t="s">
        <v>60</v>
      </c>
      <c r="H87" s="15" t="s">
        <v>999</v>
      </c>
      <c r="J87" t="s">
        <v>1025</v>
      </c>
      <c r="K87" t="str">
        <f t="shared" si="19"/>
        <v xml:space="preserve"> </v>
      </c>
      <c r="L87">
        <f t="shared" si="20"/>
        <v>90</v>
      </c>
      <c r="M87">
        <f t="shared" si="38"/>
        <v>122</v>
      </c>
      <c r="N87">
        <v>122</v>
      </c>
      <c r="P87" t="str">
        <f t="shared" si="22"/>
        <v>Iceland</v>
      </c>
      <c r="Q87" t="str">
        <f t="shared" si="23"/>
        <v>REPUBLIC OF FIJI</v>
      </c>
      <c r="R87">
        <f t="shared" si="24"/>
        <v>111</v>
      </c>
      <c r="S87">
        <f t="shared" si="25"/>
        <v>122</v>
      </c>
      <c r="T87">
        <v>122</v>
      </c>
      <c r="V87" t="str">
        <f>IF(TIM!F87="","",TIM!F87)</f>
        <v/>
      </c>
      <c r="W87" t="str">
        <f t="shared" si="26"/>
        <v/>
      </c>
      <c r="X87">
        <f t="shared" si="27"/>
        <v>0</v>
      </c>
      <c r="AI87">
        <f>IF(TIM!P87=TIM!P87,TIM!P87,"")</f>
        <v>0</v>
      </c>
      <c r="AJ87" t="str">
        <f t="shared" si="28"/>
        <v/>
      </c>
      <c r="AK87" t="str">
        <f t="shared" si="29"/>
        <v>0</v>
      </c>
      <c r="AL87" t="str">
        <f t="shared" si="30"/>
        <v>0</v>
      </c>
      <c r="AM87">
        <f t="shared" si="31"/>
        <v>543</v>
      </c>
      <c r="AN87" t="str">
        <f t="shared" si="32"/>
        <v>/0/543</v>
      </c>
      <c r="AP87">
        <f>IF(TIM!O87=TIM!O87,TIM!O87,"")</f>
        <v>0</v>
      </c>
      <c r="AQ87" t="str">
        <f t="shared" si="33"/>
        <v/>
      </c>
      <c r="AR87" t="str">
        <f t="shared" si="34"/>
        <v>0</v>
      </c>
      <c r="AS87" t="str">
        <f t="shared" si="35"/>
        <v>0</v>
      </c>
      <c r="AT87">
        <f t="shared" si="36"/>
        <v>543</v>
      </c>
      <c r="AU87" t="str">
        <f t="shared" si="37"/>
        <v>/0/543</v>
      </c>
    </row>
    <row r="88" spans="2:47">
      <c r="B88" s="11">
        <v>88</v>
      </c>
      <c r="C88" s="14" t="s">
        <v>628</v>
      </c>
      <c r="D88" s="14" t="s">
        <v>466</v>
      </c>
      <c r="E88" s="6"/>
      <c r="F88" s="11">
        <v>108</v>
      </c>
      <c r="G88" s="15" t="s">
        <v>61</v>
      </c>
      <c r="H88" s="15" t="s">
        <v>785</v>
      </c>
      <c r="J88" t="s">
        <v>1026</v>
      </c>
      <c r="K88" t="str">
        <f t="shared" si="19"/>
        <v xml:space="preserve"> </v>
      </c>
      <c r="L88">
        <f t="shared" si="20"/>
        <v>91</v>
      </c>
      <c r="M88">
        <f t="shared" si="38"/>
        <v>177</v>
      </c>
      <c r="N88">
        <v>177</v>
      </c>
      <c r="P88" t="str">
        <f t="shared" si="22"/>
        <v>Dominica</v>
      </c>
      <c r="Q88" t="str">
        <f t="shared" si="23"/>
        <v>REPUBLIC OF KIRIBATI</v>
      </c>
      <c r="R88">
        <f t="shared" si="24"/>
        <v>112</v>
      </c>
      <c r="S88">
        <f t="shared" si="25"/>
        <v>177</v>
      </c>
      <c r="T88">
        <v>177</v>
      </c>
      <c r="V88" t="str">
        <f>IF(TIM!F88="","",TIM!F88)</f>
        <v/>
      </c>
      <c r="W88" t="str">
        <f t="shared" si="26"/>
        <v/>
      </c>
      <c r="X88">
        <f t="shared" si="27"/>
        <v>0</v>
      </c>
      <c r="AI88">
        <f>IF(TIM!P88=TIM!P88,TIM!P88,"")</f>
        <v>0</v>
      </c>
      <c r="AJ88" t="str">
        <f t="shared" si="28"/>
        <v/>
      </c>
      <c r="AK88" t="str">
        <f t="shared" si="29"/>
        <v>0</v>
      </c>
      <c r="AL88" t="str">
        <f t="shared" si="30"/>
        <v>0</v>
      </c>
      <c r="AM88">
        <f t="shared" si="31"/>
        <v>543</v>
      </c>
      <c r="AN88" t="str">
        <f t="shared" si="32"/>
        <v>/0/543</v>
      </c>
      <c r="AP88">
        <f>IF(TIM!O88=TIM!O88,TIM!O88,"")</f>
        <v>0</v>
      </c>
      <c r="AQ88" t="str">
        <f t="shared" si="33"/>
        <v/>
      </c>
      <c r="AR88" t="str">
        <f t="shared" si="34"/>
        <v>0</v>
      </c>
      <c r="AS88" t="str">
        <f t="shared" si="35"/>
        <v>0</v>
      </c>
      <c r="AT88">
        <f t="shared" si="36"/>
        <v>543</v>
      </c>
      <c r="AU88" t="str">
        <f t="shared" si="37"/>
        <v>/0/543</v>
      </c>
    </row>
    <row r="89" spans="2:47">
      <c r="B89" s="11">
        <v>89</v>
      </c>
      <c r="C89" s="14" t="s">
        <v>48</v>
      </c>
      <c r="D89" s="14" t="s">
        <v>466</v>
      </c>
      <c r="E89" s="6"/>
      <c r="F89" s="11">
        <v>109</v>
      </c>
      <c r="G89" s="15" t="s">
        <v>62</v>
      </c>
      <c r="H89" s="15" t="s">
        <v>908</v>
      </c>
      <c r="J89" t="s">
        <v>1027</v>
      </c>
      <c r="K89" t="str">
        <f t="shared" si="19"/>
        <v>Stateless</v>
      </c>
      <c r="L89">
        <f t="shared" si="20"/>
        <v>96</v>
      </c>
      <c r="M89" t="e">
        <f t="shared" si="38"/>
        <v>#N/A</v>
      </c>
      <c r="N89">
        <v>152</v>
      </c>
      <c r="P89" t="str">
        <f t="shared" si="22"/>
        <v>Mauritania</v>
      </c>
      <c r="Q89" t="str">
        <f t="shared" si="23"/>
        <v>REPUBLIC OF NAURU</v>
      </c>
      <c r="R89">
        <f t="shared" si="24"/>
        <v>113</v>
      </c>
      <c r="S89">
        <f t="shared" si="25"/>
        <v>152</v>
      </c>
      <c r="T89">
        <v>152</v>
      </c>
      <c r="V89" t="str">
        <f>IF(TIM!F89="","",TIM!F89)</f>
        <v/>
      </c>
      <c r="W89" t="str">
        <f t="shared" si="26"/>
        <v/>
      </c>
      <c r="X89">
        <f t="shared" si="27"/>
        <v>0</v>
      </c>
      <c r="AI89">
        <f>IF(TIM!P89=TIM!P89,TIM!P89,"")</f>
        <v>0</v>
      </c>
      <c r="AJ89" t="str">
        <f t="shared" si="28"/>
        <v/>
      </c>
      <c r="AK89" t="str">
        <f t="shared" si="29"/>
        <v>0</v>
      </c>
      <c r="AL89" t="str">
        <f t="shared" si="30"/>
        <v>0</v>
      </c>
      <c r="AM89">
        <f t="shared" si="31"/>
        <v>543</v>
      </c>
      <c r="AN89" t="str">
        <f t="shared" si="32"/>
        <v>/0/543</v>
      </c>
      <c r="AP89">
        <f>IF(TIM!O89=TIM!O89,TIM!O89,"")</f>
        <v>0</v>
      </c>
      <c r="AQ89" t="str">
        <f t="shared" si="33"/>
        <v/>
      </c>
      <c r="AR89" t="str">
        <f t="shared" si="34"/>
        <v>0</v>
      </c>
      <c r="AS89" t="str">
        <f t="shared" si="35"/>
        <v>0</v>
      </c>
      <c r="AT89">
        <f t="shared" si="36"/>
        <v>543</v>
      </c>
      <c r="AU89" t="str">
        <f t="shared" si="37"/>
        <v>/0/543</v>
      </c>
    </row>
    <row r="90" spans="2:47">
      <c r="B90" s="11">
        <v>90</v>
      </c>
      <c r="C90" s="14" t="s">
        <v>685</v>
      </c>
      <c r="D90" s="14" t="s">
        <v>466</v>
      </c>
      <c r="E90" s="6"/>
      <c r="F90" s="11">
        <v>111</v>
      </c>
      <c r="G90" s="15" t="s">
        <v>961</v>
      </c>
      <c r="H90" s="15" t="s">
        <v>962</v>
      </c>
      <c r="J90" t="s">
        <v>1029</v>
      </c>
      <c r="K90" t="str">
        <f t="shared" si="19"/>
        <v>Other</v>
      </c>
      <c r="L90">
        <f t="shared" si="20"/>
        <v>97</v>
      </c>
      <c r="M90" t="e">
        <f t="shared" si="38"/>
        <v>#N/A</v>
      </c>
      <c r="N90">
        <v>102</v>
      </c>
      <c r="P90" t="str">
        <f t="shared" si="22"/>
        <v>Bhutan</v>
      </c>
      <c r="Q90" t="str">
        <f t="shared" si="23"/>
        <v>SOLOMON ISLANDS</v>
      </c>
      <c r="R90">
        <f t="shared" si="24"/>
        <v>114</v>
      </c>
      <c r="S90">
        <f t="shared" si="25"/>
        <v>102</v>
      </c>
      <c r="T90">
        <v>102</v>
      </c>
      <c r="V90" t="str">
        <f>IF(TIM!F90="","",TIM!F90)</f>
        <v/>
      </c>
      <c r="W90" t="str">
        <f t="shared" si="26"/>
        <v/>
      </c>
      <c r="X90">
        <f t="shared" si="27"/>
        <v>0</v>
      </c>
      <c r="AI90">
        <f>IF(TIM!P90=TIM!P90,TIM!P90,"")</f>
        <v>0</v>
      </c>
      <c r="AJ90" t="str">
        <f t="shared" si="28"/>
        <v/>
      </c>
      <c r="AK90" t="str">
        <f t="shared" si="29"/>
        <v>0</v>
      </c>
      <c r="AL90" t="str">
        <f t="shared" si="30"/>
        <v>0</v>
      </c>
      <c r="AM90">
        <f t="shared" si="31"/>
        <v>543</v>
      </c>
      <c r="AN90" t="str">
        <f t="shared" si="32"/>
        <v>/0/543</v>
      </c>
      <c r="AP90">
        <f>IF(TIM!O90=TIM!O90,TIM!O90,"")</f>
        <v>0</v>
      </c>
      <c r="AQ90" t="str">
        <f t="shared" si="33"/>
        <v/>
      </c>
      <c r="AR90" t="str">
        <f t="shared" si="34"/>
        <v>0</v>
      </c>
      <c r="AS90" t="str">
        <f t="shared" si="35"/>
        <v>0</v>
      </c>
      <c r="AT90">
        <f t="shared" si="36"/>
        <v>543</v>
      </c>
      <c r="AU90" t="str">
        <f t="shared" si="37"/>
        <v>/0/543</v>
      </c>
    </row>
    <row r="91" spans="2:47">
      <c r="B91" s="11">
        <v>91</v>
      </c>
      <c r="C91" s="14" t="s">
        <v>49</v>
      </c>
      <c r="D91" s="14" t="s">
        <v>466</v>
      </c>
      <c r="E91" s="6"/>
      <c r="F91" s="11">
        <v>112</v>
      </c>
      <c r="G91" s="15" t="s">
        <v>64</v>
      </c>
      <c r="H91" s="15" t="s">
        <v>804</v>
      </c>
      <c r="J91" t="s">
        <v>1028</v>
      </c>
      <c r="K91" t="str">
        <f t="shared" si="19"/>
        <v>Non-Thai</v>
      </c>
      <c r="L91">
        <f t="shared" si="20"/>
        <v>98</v>
      </c>
      <c r="M91" t="e">
        <f t="shared" si="38"/>
        <v>#N/A</v>
      </c>
      <c r="N91">
        <v>31</v>
      </c>
      <c r="P91" t="str">
        <f t="shared" si="22"/>
        <v>Mexico</v>
      </c>
      <c r="Q91" t="str">
        <f t="shared" si="23"/>
        <v>KINGDOM OF TONGA</v>
      </c>
      <c r="R91">
        <f t="shared" si="24"/>
        <v>115</v>
      </c>
      <c r="S91" t="e">
        <f t="shared" si="25"/>
        <v>#N/A</v>
      </c>
      <c r="T91">
        <v>31</v>
      </c>
      <c r="V91" t="str">
        <f>IF(TIM!F91="","",TIM!F91)</f>
        <v/>
      </c>
      <c r="W91" t="str">
        <f t="shared" si="26"/>
        <v/>
      </c>
      <c r="X91">
        <f t="shared" si="27"/>
        <v>0</v>
      </c>
      <c r="AI91">
        <f>IF(TIM!P91=TIM!P91,TIM!P91,"")</f>
        <v>0</v>
      </c>
      <c r="AJ91" t="str">
        <f t="shared" si="28"/>
        <v/>
      </c>
      <c r="AK91" t="str">
        <f t="shared" si="29"/>
        <v>0</v>
      </c>
      <c r="AL91" t="str">
        <f t="shared" si="30"/>
        <v>0</v>
      </c>
      <c r="AM91">
        <f t="shared" si="31"/>
        <v>543</v>
      </c>
      <c r="AN91" t="str">
        <f t="shared" si="32"/>
        <v>/0/543</v>
      </c>
      <c r="AP91">
        <f>IF(TIM!O91=TIM!O91,TIM!O91,"")</f>
        <v>0</v>
      </c>
      <c r="AQ91" t="str">
        <f t="shared" si="33"/>
        <v/>
      </c>
      <c r="AR91" t="str">
        <f t="shared" si="34"/>
        <v>0</v>
      </c>
      <c r="AS91" t="str">
        <f t="shared" si="35"/>
        <v>0</v>
      </c>
      <c r="AT91">
        <f t="shared" si="36"/>
        <v>543</v>
      </c>
      <c r="AU91" t="str">
        <f t="shared" si="37"/>
        <v>/0/543</v>
      </c>
    </row>
    <row r="92" spans="2:47">
      <c r="B92" s="11">
        <v>96</v>
      </c>
      <c r="C92" s="14" t="s">
        <v>50</v>
      </c>
      <c r="D92" s="14" t="s">
        <v>676</v>
      </c>
      <c r="E92" s="6"/>
      <c r="F92" s="11">
        <v>113</v>
      </c>
      <c r="G92" s="15" t="s">
        <v>65</v>
      </c>
      <c r="H92" s="15" t="s">
        <v>853</v>
      </c>
      <c r="J92" t="s">
        <v>1030</v>
      </c>
      <c r="K92" t="str">
        <f t="shared" si="19"/>
        <v>THAI</v>
      </c>
      <c r="L92">
        <f t="shared" si="20"/>
        <v>99</v>
      </c>
      <c r="M92">
        <f t="shared" si="38"/>
        <v>127</v>
      </c>
      <c r="N92">
        <v>127</v>
      </c>
      <c r="P92" t="str">
        <f t="shared" si="22"/>
        <v>Algeria</v>
      </c>
      <c r="Q92" t="str">
        <f t="shared" si="23"/>
        <v>TUVALU</v>
      </c>
      <c r="R92">
        <f t="shared" si="24"/>
        <v>116</v>
      </c>
      <c r="S92">
        <f t="shared" si="25"/>
        <v>127</v>
      </c>
      <c r="T92">
        <v>127</v>
      </c>
      <c r="V92" t="str">
        <f>IF(TIM!F92="","",TIM!F92)</f>
        <v/>
      </c>
      <c r="W92" t="str">
        <f t="shared" si="26"/>
        <v/>
      </c>
      <c r="X92">
        <f t="shared" si="27"/>
        <v>0</v>
      </c>
      <c r="AI92">
        <f>IF(TIM!P92=TIM!P92,TIM!P92,"")</f>
        <v>0</v>
      </c>
      <c r="AJ92" t="str">
        <f t="shared" si="28"/>
        <v/>
      </c>
      <c r="AK92" t="str">
        <f t="shared" si="29"/>
        <v>0</v>
      </c>
      <c r="AL92" t="str">
        <f t="shared" si="30"/>
        <v>0</v>
      </c>
      <c r="AM92">
        <f t="shared" si="31"/>
        <v>543</v>
      </c>
      <c r="AN92" t="str">
        <f t="shared" si="32"/>
        <v>/0/543</v>
      </c>
      <c r="AP92">
        <f>IF(TIM!O92=TIM!O92,TIM!O92,"")</f>
        <v>0</v>
      </c>
      <c r="AQ92" t="str">
        <f t="shared" si="33"/>
        <v/>
      </c>
      <c r="AR92" t="str">
        <f t="shared" si="34"/>
        <v>0</v>
      </c>
      <c r="AS92" t="str">
        <f t="shared" si="35"/>
        <v>0</v>
      </c>
      <c r="AT92">
        <f t="shared" si="36"/>
        <v>543</v>
      </c>
      <c r="AU92" t="str">
        <f t="shared" si="37"/>
        <v>/0/543</v>
      </c>
    </row>
    <row r="93" spans="2:47">
      <c r="B93" s="11">
        <v>97</v>
      </c>
      <c r="C93" s="14" t="s">
        <v>51</v>
      </c>
      <c r="D93" s="14" t="s">
        <v>751</v>
      </c>
      <c r="E93" s="6"/>
      <c r="F93" s="11">
        <v>114</v>
      </c>
      <c r="G93" s="15" t="s">
        <v>66</v>
      </c>
      <c r="H93" s="15" t="s">
        <v>720</v>
      </c>
      <c r="J93" t="s">
        <v>1031</v>
      </c>
      <c r="K93" t="str">
        <f t="shared" si="19"/>
        <v>AFGHAN</v>
      </c>
      <c r="L93">
        <f t="shared" si="20"/>
        <v>100</v>
      </c>
      <c r="M93">
        <f t="shared" si="38"/>
        <v>237</v>
      </c>
      <c r="N93">
        <v>237</v>
      </c>
      <c r="P93" t="str">
        <f t="shared" si="22"/>
        <v>Latvia</v>
      </c>
      <c r="Q93" t="str">
        <f t="shared" si="23"/>
        <v>REPUBLIC OF VANUATU</v>
      </c>
      <c r="R93">
        <f t="shared" si="24"/>
        <v>117</v>
      </c>
      <c r="S93">
        <f t="shared" si="25"/>
        <v>237</v>
      </c>
      <c r="T93">
        <v>237</v>
      </c>
      <c r="V93" t="str">
        <f>IF(TIM!F93="","",TIM!F93)</f>
        <v/>
      </c>
      <c r="W93" t="str">
        <f t="shared" si="26"/>
        <v/>
      </c>
      <c r="X93">
        <f t="shared" si="27"/>
        <v>0</v>
      </c>
      <c r="AI93">
        <f>IF(TIM!P93=TIM!P93,TIM!P93,"")</f>
        <v>0</v>
      </c>
      <c r="AJ93" t="str">
        <f t="shared" si="28"/>
        <v/>
      </c>
      <c r="AK93" t="str">
        <f t="shared" si="29"/>
        <v>0</v>
      </c>
      <c r="AL93" t="str">
        <f t="shared" si="30"/>
        <v>0</v>
      </c>
      <c r="AM93">
        <f t="shared" si="31"/>
        <v>543</v>
      </c>
      <c r="AN93" t="str">
        <f t="shared" si="32"/>
        <v>/0/543</v>
      </c>
      <c r="AP93">
        <f>IF(TIM!O93=TIM!O93,TIM!O93,"")</f>
        <v>0</v>
      </c>
      <c r="AQ93" t="str">
        <f t="shared" si="33"/>
        <v/>
      </c>
      <c r="AR93" t="str">
        <f t="shared" si="34"/>
        <v>0</v>
      </c>
      <c r="AS93" t="str">
        <f t="shared" si="35"/>
        <v>0</v>
      </c>
      <c r="AT93">
        <f t="shared" si="36"/>
        <v>543</v>
      </c>
      <c r="AU93" t="str">
        <f t="shared" si="37"/>
        <v>/0/543</v>
      </c>
    </row>
    <row r="94" spans="2:47">
      <c r="B94" s="11">
        <v>98</v>
      </c>
      <c r="C94" s="14" t="s">
        <v>52</v>
      </c>
      <c r="D94" s="14" t="s">
        <v>663</v>
      </c>
      <c r="E94" s="6"/>
      <c r="F94" s="11">
        <v>115</v>
      </c>
      <c r="G94" s="15" t="s">
        <v>839</v>
      </c>
      <c r="H94" s="15" t="s">
        <v>840</v>
      </c>
      <c r="J94" t="s">
        <v>1032</v>
      </c>
      <c r="K94" t="str">
        <f t="shared" si="19"/>
        <v>BAHRAINI</v>
      </c>
      <c r="L94">
        <f t="shared" si="20"/>
        <v>101</v>
      </c>
      <c r="M94">
        <f t="shared" si="38"/>
        <v>62</v>
      </c>
      <c r="N94">
        <v>62</v>
      </c>
      <c r="P94" t="str">
        <f t="shared" si="22"/>
        <v>Iran</v>
      </c>
      <c r="Q94" t="str">
        <f t="shared" si="23"/>
        <v>INDEPENDENT STATE OF SAMOA</v>
      </c>
      <c r="R94">
        <f t="shared" si="24"/>
        <v>118</v>
      </c>
      <c r="S94">
        <f t="shared" si="25"/>
        <v>62</v>
      </c>
      <c r="T94">
        <v>62</v>
      </c>
      <c r="V94" t="str">
        <f>IF(TIM!F94="","",TIM!F94)</f>
        <v/>
      </c>
      <c r="W94" t="str">
        <f t="shared" si="26"/>
        <v/>
      </c>
      <c r="X94">
        <f t="shared" si="27"/>
        <v>0</v>
      </c>
      <c r="AI94">
        <f>IF(TIM!P94=TIM!P94,TIM!P94,"")</f>
        <v>0</v>
      </c>
      <c r="AJ94" t="str">
        <f t="shared" si="28"/>
        <v/>
      </c>
      <c r="AK94" t="str">
        <f t="shared" si="29"/>
        <v>0</v>
      </c>
      <c r="AL94" t="str">
        <f t="shared" si="30"/>
        <v>0</v>
      </c>
      <c r="AM94">
        <f t="shared" si="31"/>
        <v>543</v>
      </c>
      <c r="AN94" t="str">
        <f t="shared" si="32"/>
        <v>/0/543</v>
      </c>
      <c r="AP94">
        <f>IF(TIM!O94=TIM!O94,TIM!O94,"")</f>
        <v>0</v>
      </c>
      <c r="AQ94" t="str">
        <f t="shared" si="33"/>
        <v/>
      </c>
      <c r="AR94" t="str">
        <f t="shared" si="34"/>
        <v>0</v>
      </c>
      <c r="AS94" t="str">
        <f t="shared" si="35"/>
        <v>0</v>
      </c>
      <c r="AT94">
        <f t="shared" si="36"/>
        <v>543</v>
      </c>
      <c r="AU94" t="str">
        <f t="shared" si="37"/>
        <v>/0/543</v>
      </c>
    </row>
    <row r="95" spans="2:47">
      <c r="B95" s="11">
        <v>99</v>
      </c>
      <c r="C95" s="14" t="s">
        <v>572</v>
      </c>
      <c r="D95" s="14" t="s">
        <v>573</v>
      </c>
      <c r="E95" s="6"/>
      <c r="F95" s="11">
        <v>116</v>
      </c>
      <c r="G95" s="15" t="s">
        <v>68</v>
      </c>
      <c r="H95" s="15" t="s">
        <v>566</v>
      </c>
      <c r="J95" t="s">
        <v>1033</v>
      </c>
      <c r="K95" t="str">
        <f t="shared" si="19"/>
        <v>BAHRAIN</v>
      </c>
      <c r="L95">
        <f t="shared" si="20"/>
        <v>102</v>
      </c>
      <c r="M95" t="e">
        <f t="shared" si="38"/>
        <v>#N/A</v>
      </c>
      <c r="N95">
        <v>154</v>
      </c>
      <c r="P95" t="str">
        <f t="shared" si="22"/>
        <v>Morocco</v>
      </c>
      <c r="Q95" t="str">
        <f t="shared" si="23"/>
        <v>REPUBLIC OF ALBANIA</v>
      </c>
      <c r="R95">
        <f t="shared" si="24"/>
        <v>119</v>
      </c>
      <c r="S95">
        <f t="shared" si="25"/>
        <v>154</v>
      </c>
      <c r="T95">
        <v>154</v>
      </c>
      <c r="V95" t="str">
        <f>IF(TIM!F95="","",TIM!F95)</f>
        <v/>
      </c>
      <c r="W95" t="str">
        <f t="shared" si="26"/>
        <v/>
      </c>
      <c r="X95">
        <f t="shared" si="27"/>
        <v>0</v>
      </c>
      <c r="AI95">
        <f>IF(TIM!P95=TIM!P95,TIM!P95,"")</f>
        <v>0</v>
      </c>
      <c r="AJ95" t="str">
        <f t="shared" si="28"/>
        <v/>
      </c>
      <c r="AK95" t="str">
        <f t="shared" si="29"/>
        <v>0</v>
      </c>
      <c r="AL95" t="str">
        <f t="shared" si="30"/>
        <v>0</v>
      </c>
      <c r="AM95">
        <f t="shared" si="31"/>
        <v>543</v>
      </c>
      <c r="AN95" t="str">
        <f t="shared" si="32"/>
        <v>/0/543</v>
      </c>
      <c r="AP95">
        <f>IF(TIM!O95=TIM!O95,TIM!O95,"")</f>
        <v>0</v>
      </c>
      <c r="AQ95" t="str">
        <f t="shared" si="33"/>
        <v/>
      </c>
      <c r="AR95" t="str">
        <f t="shared" si="34"/>
        <v>0</v>
      </c>
      <c r="AS95" t="str">
        <f t="shared" si="35"/>
        <v>0</v>
      </c>
      <c r="AT95">
        <f t="shared" si="36"/>
        <v>543</v>
      </c>
      <c r="AU95" t="str">
        <f t="shared" si="37"/>
        <v>/0/543</v>
      </c>
    </row>
    <row r="96" spans="2:47">
      <c r="B96" s="11">
        <v>100</v>
      </c>
      <c r="C96" s="14" t="s">
        <v>53</v>
      </c>
      <c r="D96" s="14" t="s">
        <v>729</v>
      </c>
      <c r="E96" s="6"/>
      <c r="F96" s="11">
        <v>117</v>
      </c>
      <c r="G96" s="15" t="s">
        <v>69</v>
      </c>
      <c r="H96" s="15" t="s">
        <v>924</v>
      </c>
      <c r="J96" t="s">
        <v>1034</v>
      </c>
      <c r="K96" t="str">
        <f t="shared" si="19"/>
        <v>JORDAN</v>
      </c>
      <c r="L96">
        <f t="shared" si="20"/>
        <v>103</v>
      </c>
      <c r="M96">
        <f t="shared" si="38"/>
        <v>263</v>
      </c>
      <c r="N96">
        <v>263</v>
      </c>
      <c r="P96" t="str">
        <f t="shared" si="22"/>
        <v>Montenegro</v>
      </c>
      <c r="Q96" t="str">
        <f t="shared" si="23"/>
        <v>PRINCIPALITY OF ANDORRA</v>
      </c>
      <c r="R96">
        <f t="shared" si="24"/>
        <v>120</v>
      </c>
      <c r="S96">
        <f t="shared" si="25"/>
        <v>263</v>
      </c>
      <c r="T96">
        <v>263</v>
      </c>
      <c r="V96" t="str">
        <f>IF(TIM!F96="","",TIM!F96)</f>
        <v/>
      </c>
      <c r="W96" t="str">
        <f t="shared" si="26"/>
        <v/>
      </c>
      <c r="X96">
        <f t="shared" si="27"/>
        <v>0</v>
      </c>
      <c r="AI96">
        <f>IF(TIM!P96=TIM!P96,TIM!P96,"")</f>
        <v>0</v>
      </c>
      <c r="AJ96" t="str">
        <f t="shared" si="28"/>
        <v/>
      </c>
      <c r="AK96" t="str">
        <f t="shared" si="29"/>
        <v>0</v>
      </c>
      <c r="AL96" t="str">
        <f t="shared" si="30"/>
        <v>0</v>
      </c>
      <c r="AM96">
        <f t="shared" si="31"/>
        <v>543</v>
      </c>
      <c r="AN96" t="str">
        <f t="shared" si="32"/>
        <v>/0/543</v>
      </c>
      <c r="AP96">
        <f>IF(TIM!O96=TIM!O96,TIM!O96,"")</f>
        <v>0</v>
      </c>
      <c r="AQ96" t="str">
        <f t="shared" si="33"/>
        <v/>
      </c>
      <c r="AR96" t="str">
        <f t="shared" si="34"/>
        <v>0</v>
      </c>
      <c r="AS96" t="str">
        <f t="shared" si="35"/>
        <v>0</v>
      </c>
      <c r="AT96">
        <f t="shared" si="36"/>
        <v>543</v>
      </c>
      <c r="AU96" t="str">
        <f t="shared" si="37"/>
        <v>/0/543</v>
      </c>
    </row>
    <row r="97" spans="2:47">
      <c r="B97" s="11">
        <v>101</v>
      </c>
      <c r="C97" s="14" t="s">
        <v>54</v>
      </c>
      <c r="D97" s="14" t="s">
        <v>600</v>
      </c>
      <c r="E97" s="6"/>
      <c r="F97" s="11">
        <v>118</v>
      </c>
      <c r="G97" s="15" t="s">
        <v>70</v>
      </c>
      <c r="H97" s="15" t="s">
        <v>819</v>
      </c>
      <c r="J97" t="s">
        <v>1035</v>
      </c>
      <c r="K97" t="str">
        <f t="shared" si="19"/>
        <v>THE DEMOCRATIC OF KOREA</v>
      </c>
      <c r="L97">
        <f t="shared" si="20"/>
        <v>104</v>
      </c>
      <c r="M97">
        <f t="shared" si="38"/>
        <v>221</v>
      </c>
      <c r="N97">
        <v>221</v>
      </c>
      <c r="P97" t="str">
        <f t="shared" si="22"/>
        <v>Croatia</v>
      </c>
      <c r="Q97" t="str">
        <f t="shared" si="23"/>
        <v>REPUBLIC OF ICELAND</v>
      </c>
      <c r="R97">
        <f t="shared" si="24"/>
        <v>122</v>
      </c>
      <c r="S97">
        <f t="shared" si="25"/>
        <v>221</v>
      </c>
      <c r="T97">
        <v>221</v>
      </c>
      <c r="V97" t="str">
        <f>IF(TIM!F97="","",TIM!F97)</f>
        <v/>
      </c>
      <c r="W97" t="str">
        <f t="shared" si="26"/>
        <v/>
      </c>
      <c r="X97">
        <f t="shared" si="27"/>
        <v>0</v>
      </c>
      <c r="AI97">
        <f>IF(TIM!P97=TIM!P97,TIM!P97,"")</f>
        <v>0</v>
      </c>
      <c r="AJ97" t="str">
        <f t="shared" si="28"/>
        <v/>
      </c>
      <c r="AK97" t="str">
        <f t="shared" si="29"/>
        <v>0</v>
      </c>
      <c r="AL97" t="str">
        <f t="shared" si="30"/>
        <v>0</v>
      </c>
      <c r="AM97">
        <f t="shared" si="31"/>
        <v>543</v>
      </c>
      <c r="AN97" t="str">
        <f t="shared" si="32"/>
        <v>/0/543</v>
      </c>
      <c r="AP97">
        <f>IF(TIM!O97=TIM!O97,TIM!O97,"")</f>
        <v>0</v>
      </c>
      <c r="AQ97" t="str">
        <f t="shared" si="33"/>
        <v/>
      </c>
      <c r="AR97" t="str">
        <f t="shared" si="34"/>
        <v>0</v>
      </c>
      <c r="AS97" t="str">
        <f t="shared" si="35"/>
        <v>0</v>
      </c>
      <c r="AT97">
        <f t="shared" si="36"/>
        <v>543</v>
      </c>
      <c r="AU97" t="str">
        <f t="shared" si="37"/>
        <v>/0/543</v>
      </c>
    </row>
    <row r="98" spans="2:47">
      <c r="B98" s="11">
        <v>102</v>
      </c>
      <c r="C98" s="14" t="s">
        <v>55</v>
      </c>
      <c r="D98" s="14" t="s">
        <v>636</v>
      </c>
      <c r="E98" s="6"/>
      <c r="F98" s="11">
        <v>119</v>
      </c>
      <c r="G98" s="15" t="s">
        <v>71</v>
      </c>
      <c r="H98" s="15" t="s">
        <v>998</v>
      </c>
      <c r="J98" t="s">
        <v>1036</v>
      </c>
      <c r="K98" t="str">
        <f t="shared" si="19"/>
        <v>MALDIVIAN</v>
      </c>
      <c r="L98">
        <f t="shared" si="20"/>
        <v>105</v>
      </c>
      <c r="M98" t="e">
        <f t="shared" si="38"/>
        <v>#N/A</v>
      </c>
      <c r="N98">
        <v>234</v>
      </c>
      <c r="P98" t="str">
        <f t="shared" si="22"/>
        <v>Bosnia and Herzegovina</v>
      </c>
      <c r="Q98" t="str">
        <f t="shared" si="23"/>
        <v>PRINCIPALITY OF LIECHTENSTEIN</v>
      </c>
      <c r="R98">
        <f t="shared" si="24"/>
        <v>123</v>
      </c>
      <c r="S98">
        <f t="shared" si="25"/>
        <v>234</v>
      </c>
      <c r="T98">
        <v>234</v>
      </c>
      <c r="V98" t="str">
        <f>IF(TIM!F98="","",TIM!F98)</f>
        <v/>
      </c>
      <c r="W98" t="str">
        <f t="shared" si="26"/>
        <v/>
      </c>
      <c r="X98">
        <f t="shared" si="27"/>
        <v>0</v>
      </c>
      <c r="AI98">
        <f>IF(TIM!P98=TIM!P98,TIM!P98,"")</f>
        <v>0</v>
      </c>
      <c r="AJ98" t="str">
        <f t="shared" si="28"/>
        <v/>
      </c>
      <c r="AK98" t="str">
        <f t="shared" si="29"/>
        <v>0</v>
      </c>
      <c r="AL98" t="str">
        <f t="shared" si="30"/>
        <v>0</v>
      </c>
      <c r="AM98">
        <f t="shared" si="31"/>
        <v>543</v>
      </c>
      <c r="AN98" t="str">
        <f t="shared" si="32"/>
        <v>/0/543</v>
      </c>
      <c r="AP98">
        <f>IF(TIM!O98=TIM!O98,TIM!O98,"")</f>
        <v>0</v>
      </c>
      <c r="AQ98" t="str">
        <f t="shared" si="33"/>
        <v/>
      </c>
      <c r="AR98" t="str">
        <f t="shared" si="34"/>
        <v>0</v>
      </c>
      <c r="AS98" t="str">
        <f t="shared" si="35"/>
        <v>0</v>
      </c>
      <c r="AT98">
        <f t="shared" si="36"/>
        <v>543</v>
      </c>
      <c r="AU98" t="str">
        <f t="shared" si="37"/>
        <v>/0/543</v>
      </c>
    </row>
    <row r="99" spans="2:47">
      <c r="B99" s="11">
        <v>103</v>
      </c>
      <c r="C99" s="14" t="s">
        <v>56</v>
      </c>
      <c r="D99" s="14" t="s">
        <v>510</v>
      </c>
      <c r="E99" s="6"/>
      <c r="F99" s="11">
        <v>120</v>
      </c>
      <c r="G99" s="15" t="s">
        <v>72</v>
      </c>
      <c r="H99" s="15" t="s">
        <v>972</v>
      </c>
      <c r="J99" t="s">
        <v>1037</v>
      </c>
      <c r="K99" t="str">
        <f t="shared" si="19"/>
        <v>MONGOLIA</v>
      </c>
      <c r="L99">
        <f t="shared" si="20"/>
        <v>106</v>
      </c>
      <c r="M99" t="e">
        <f t="shared" si="38"/>
        <v>#N/A</v>
      </c>
      <c r="N99">
        <v>80</v>
      </c>
      <c r="P99" t="str">
        <f t="shared" si="22"/>
        <v>Tokelau</v>
      </c>
      <c r="Q99" t="str">
        <f t="shared" si="23"/>
        <v>PRINCIPALITY OF MONACO</v>
      </c>
      <c r="R99">
        <f t="shared" si="24"/>
        <v>124</v>
      </c>
      <c r="S99" t="e">
        <f t="shared" si="25"/>
        <v>#N/A</v>
      </c>
      <c r="T99">
        <v>80</v>
      </c>
      <c r="V99" t="str">
        <f>IF(TIM!F99="","",TIM!F99)</f>
        <v/>
      </c>
      <c r="W99" t="str">
        <f t="shared" si="26"/>
        <v/>
      </c>
      <c r="X99">
        <f t="shared" si="27"/>
        <v>0</v>
      </c>
      <c r="AI99">
        <f>IF(TIM!P99=TIM!P99,TIM!P99,"")</f>
        <v>0</v>
      </c>
      <c r="AJ99" t="str">
        <f t="shared" si="28"/>
        <v/>
      </c>
      <c r="AK99" t="str">
        <f t="shared" si="29"/>
        <v>0</v>
      </c>
      <c r="AL99" t="str">
        <f t="shared" si="30"/>
        <v>0</v>
      </c>
      <c r="AM99">
        <f t="shared" si="31"/>
        <v>543</v>
      </c>
      <c r="AN99" t="str">
        <f t="shared" si="32"/>
        <v>/0/543</v>
      </c>
      <c r="AP99">
        <f>IF(TIM!O99=TIM!O99,TIM!O99,"")</f>
        <v>0</v>
      </c>
      <c r="AQ99" t="str">
        <f t="shared" si="33"/>
        <v/>
      </c>
      <c r="AR99" t="str">
        <f t="shared" si="34"/>
        <v>0</v>
      </c>
      <c r="AS99" t="str">
        <f t="shared" si="35"/>
        <v>0</v>
      </c>
      <c r="AT99">
        <f t="shared" si="36"/>
        <v>543</v>
      </c>
      <c r="AU99" t="str">
        <f t="shared" si="37"/>
        <v>/0/543</v>
      </c>
    </row>
    <row r="100" spans="2:47">
      <c r="B100" s="11">
        <v>104</v>
      </c>
      <c r="C100" s="14" t="s">
        <v>57</v>
      </c>
      <c r="D100" s="14" t="s">
        <v>484</v>
      </c>
      <c r="E100" s="6"/>
      <c r="F100" s="11">
        <v>122</v>
      </c>
      <c r="G100" s="15" t="s">
        <v>768</v>
      </c>
      <c r="H100" s="15" t="s">
        <v>1000</v>
      </c>
      <c r="J100" t="s">
        <v>1038</v>
      </c>
      <c r="K100" t="str">
        <f t="shared" si="19"/>
        <v>OMAN</v>
      </c>
      <c r="L100">
        <f t="shared" si="20"/>
        <v>107</v>
      </c>
      <c r="M100">
        <f t="shared" si="38"/>
        <v>170</v>
      </c>
      <c r="N100">
        <v>170</v>
      </c>
      <c r="P100" t="str">
        <f t="shared" si="22"/>
        <v>Zambia</v>
      </c>
      <c r="Q100" t="str">
        <f t="shared" si="23"/>
        <v>REPUBLIC OF SAN MARINO</v>
      </c>
      <c r="R100">
        <f t="shared" si="24"/>
        <v>125</v>
      </c>
      <c r="S100">
        <f t="shared" si="25"/>
        <v>170</v>
      </c>
      <c r="T100">
        <v>170</v>
      </c>
      <c r="V100" t="str">
        <f>IF(TIM!F100="","",TIM!F100)</f>
        <v/>
      </c>
      <c r="W100" t="str">
        <f t="shared" si="26"/>
        <v/>
      </c>
      <c r="X100">
        <f t="shared" si="27"/>
        <v>0</v>
      </c>
      <c r="AI100">
        <f>IF(TIM!P100=TIM!P100,TIM!P100,"")</f>
        <v>0</v>
      </c>
      <c r="AJ100" t="str">
        <f t="shared" si="28"/>
        <v/>
      </c>
      <c r="AK100" t="str">
        <f t="shared" si="29"/>
        <v>0</v>
      </c>
      <c r="AL100" t="str">
        <f t="shared" si="30"/>
        <v>0</v>
      </c>
      <c r="AM100">
        <f t="shared" si="31"/>
        <v>543</v>
      </c>
      <c r="AN100" t="str">
        <f t="shared" si="32"/>
        <v>/0/543</v>
      </c>
      <c r="AP100">
        <f>IF(TIM!O100=TIM!O100,TIM!O100,"")</f>
        <v>0</v>
      </c>
      <c r="AQ100" t="str">
        <f t="shared" si="33"/>
        <v/>
      </c>
      <c r="AR100" t="str">
        <f t="shared" si="34"/>
        <v>0</v>
      </c>
      <c r="AS100" t="str">
        <f t="shared" si="35"/>
        <v>0</v>
      </c>
      <c r="AT100">
        <f t="shared" si="36"/>
        <v>543</v>
      </c>
      <c r="AU100" t="str">
        <f t="shared" si="37"/>
        <v>/0/543</v>
      </c>
    </row>
    <row r="101" spans="2:47">
      <c r="B101" s="11">
        <v>105</v>
      </c>
      <c r="C101" s="14" t="s">
        <v>58</v>
      </c>
      <c r="D101" s="14" t="s">
        <v>646</v>
      </c>
      <c r="E101" s="6"/>
      <c r="F101" s="11">
        <v>123</v>
      </c>
      <c r="G101" s="15" t="s">
        <v>73</v>
      </c>
      <c r="H101" s="15" t="s">
        <v>917</v>
      </c>
      <c r="J101" t="s">
        <v>1039</v>
      </c>
      <c r="K101" t="str">
        <f t="shared" si="19"/>
        <v>QATAR</v>
      </c>
      <c r="L101">
        <f t="shared" si="20"/>
        <v>108</v>
      </c>
      <c r="M101">
        <f t="shared" si="38"/>
        <v>64</v>
      </c>
      <c r="N101">
        <v>64</v>
      </c>
      <c r="P101" t="str">
        <f t="shared" si="22"/>
        <v>Bangladesh</v>
      </c>
      <c r="Q101" t="str">
        <f t="shared" si="23"/>
        <v>UNITED KINGDOM OF GREAT BRITAIN AND NORTHERN IRELAND</v>
      </c>
      <c r="R101">
        <f t="shared" si="24"/>
        <v>126</v>
      </c>
      <c r="S101">
        <f t="shared" si="25"/>
        <v>64</v>
      </c>
      <c r="T101">
        <v>64</v>
      </c>
      <c r="V101" t="str">
        <f>IF(TIM!F101="","",TIM!F101)</f>
        <v/>
      </c>
      <c r="W101" t="str">
        <f t="shared" si="26"/>
        <v/>
      </c>
      <c r="X101">
        <f t="shared" si="27"/>
        <v>0</v>
      </c>
      <c r="AI101">
        <f>IF(TIM!P101=TIM!P101,TIM!P101,"")</f>
        <v>0</v>
      </c>
      <c r="AJ101" t="str">
        <f t="shared" si="28"/>
        <v/>
      </c>
      <c r="AK101" t="str">
        <f t="shared" si="29"/>
        <v>0</v>
      </c>
      <c r="AL101" t="str">
        <f t="shared" si="30"/>
        <v>0</v>
      </c>
      <c r="AM101">
        <f t="shared" si="31"/>
        <v>543</v>
      </c>
      <c r="AN101" t="str">
        <f t="shared" si="32"/>
        <v>/0/543</v>
      </c>
      <c r="AP101">
        <f>IF(TIM!O101=TIM!O101,TIM!O101,"")</f>
        <v>0</v>
      </c>
      <c r="AQ101" t="str">
        <f t="shared" si="33"/>
        <v/>
      </c>
      <c r="AR101" t="str">
        <f t="shared" si="34"/>
        <v>0</v>
      </c>
      <c r="AS101" t="str">
        <f t="shared" si="35"/>
        <v>0</v>
      </c>
      <c r="AT101">
        <f t="shared" si="36"/>
        <v>543</v>
      </c>
      <c r="AU101" t="str">
        <f t="shared" si="37"/>
        <v>/0/543</v>
      </c>
    </row>
    <row r="102" spans="2:47">
      <c r="B102" s="11">
        <v>106</v>
      </c>
      <c r="C102" s="14" t="s">
        <v>59</v>
      </c>
      <c r="D102" s="14" t="s">
        <v>639</v>
      </c>
      <c r="E102" s="6"/>
      <c r="F102" s="11">
        <v>124</v>
      </c>
      <c r="G102" s="15" t="s">
        <v>74</v>
      </c>
      <c r="H102" s="15" t="s">
        <v>902</v>
      </c>
      <c r="J102" t="s">
        <v>1040</v>
      </c>
      <c r="K102" t="str">
        <f t="shared" si="19"/>
        <v>YEMEN</v>
      </c>
      <c r="L102">
        <f t="shared" si="20"/>
        <v>109</v>
      </c>
      <c r="M102">
        <f t="shared" si="38"/>
        <v>150</v>
      </c>
      <c r="N102">
        <v>150</v>
      </c>
      <c r="P102" t="str">
        <f t="shared" si="22"/>
        <v>Malawi</v>
      </c>
      <c r="Q102" t="str">
        <f t="shared" si="23"/>
        <v>DEMOCRATIC AND POPULAR REPUBLIC OF ALGERIA</v>
      </c>
      <c r="R102">
        <f t="shared" si="24"/>
        <v>127</v>
      </c>
      <c r="S102">
        <f t="shared" si="25"/>
        <v>150</v>
      </c>
      <c r="T102">
        <v>150</v>
      </c>
      <c r="V102" t="str">
        <f>IF(TIM!F102="","",TIM!F102)</f>
        <v/>
      </c>
      <c r="W102" t="str">
        <f t="shared" si="26"/>
        <v/>
      </c>
      <c r="X102">
        <f t="shared" si="27"/>
        <v>0</v>
      </c>
      <c r="AI102">
        <f>IF(TIM!P102=TIM!P102,TIM!P102,"")</f>
        <v>0</v>
      </c>
      <c r="AJ102" t="str">
        <f t="shared" si="28"/>
        <v/>
      </c>
      <c r="AK102" t="str">
        <f t="shared" si="29"/>
        <v>0</v>
      </c>
      <c r="AL102" t="str">
        <f t="shared" si="30"/>
        <v>0</v>
      </c>
      <c r="AM102">
        <f t="shared" si="31"/>
        <v>543</v>
      </c>
      <c r="AN102" t="str">
        <f t="shared" si="32"/>
        <v>/0/543</v>
      </c>
      <c r="AP102">
        <f>IF(TIM!O102=TIM!O102,TIM!O102,"")</f>
        <v>0</v>
      </c>
      <c r="AQ102" t="str">
        <f t="shared" si="33"/>
        <v/>
      </c>
      <c r="AR102" t="str">
        <f t="shared" si="34"/>
        <v>0</v>
      </c>
      <c r="AS102" t="str">
        <f t="shared" si="35"/>
        <v>0</v>
      </c>
      <c r="AT102">
        <f t="shared" si="36"/>
        <v>543</v>
      </c>
      <c r="AU102" t="str">
        <f t="shared" si="37"/>
        <v>/0/543</v>
      </c>
    </row>
    <row r="103" spans="2:47">
      <c r="B103" s="11">
        <v>107</v>
      </c>
      <c r="C103" s="14" t="s">
        <v>60</v>
      </c>
      <c r="D103" s="14" t="s">
        <v>767</v>
      </c>
      <c r="E103" s="6"/>
      <c r="F103" s="11">
        <v>125</v>
      </c>
      <c r="G103" s="15" t="s">
        <v>75</v>
      </c>
      <c r="H103" s="15" t="s">
        <v>818</v>
      </c>
      <c r="J103" t="s">
        <v>1041</v>
      </c>
      <c r="K103" t="str">
        <f t="shared" si="19"/>
        <v>FIJI</v>
      </c>
      <c r="L103">
        <f t="shared" si="20"/>
        <v>111</v>
      </c>
      <c r="M103">
        <f t="shared" si="38"/>
        <v>40</v>
      </c>
      <c r="N103">
        <v>40</v>
      </c>
      <c r="P103" t="str">
        <f t="shared" si="22"/>
        <v>Panama</v>
      </c>
      <c r="Q103" t="str">
        <f t="shared" si="23"/>
        <v>REPUBLIC OF ANGOLA</v>
      </c>
      <c r="R103">
        <f t="shared" si="24"/>
        <v>128</v>
      </c>
      <c r="S103">
        <f t="shared" si="25"/>
        <v>40</v>
      </c>
      <c r="T103">
        <v>40</v>
      </c>
      <c r="V103" t="str">
        <f>IF(TIM!F103="","",TIM!F103)</f>
        <v/>
      </c>
      <c r="W103" t="str">
        <f t="shared" si="26"/>
        <v/>
      </c>
      <c r="X103">
        <f t="shared" si="27"/>
        <v>0</v>
      </c>
      <c r="AI103">
        <f>IF(TIM!P103=TIM!P103,TIM!P103,"")</f>
        <v>0</v>
      </c>
      <c r="AJ103" t="str">
        <f t="shared" si="28"/>
        <v/>
      </c>
      <c r="AK103" t="str">
        <f t="shared" si="29"/>
        <v>0</v>
      </c>
      <c r="AL103" t="str">
        <f t="shared" si="30"/>
        <v>0</v>
      </c>
      <c r="AM103">
        <f t="shared" si="31"/>
        <v>543</v>
      </c>
      <c r="AN103" t="str">
        <f t="shared" si="32"/>
        <v>/0/543</v>
      </c>
      <c r="AP103">
        <f>IF(TIM!O103=TIM!O103,TIM!O103,"")</f>
        <v>0</v>
      </c>
      <c r="AQ103" t="str">
        <f t="shared" si="33"/>
        <v/>
      </c>
      <c r="AR103" t="str">
        <f t="shared" si="34"/>
        <v>0</v>
      </c>
      <c r="AS103" t="str">
        <f t="shared" si="35"/>
        <v>0</v>
      </c>
      <c r="AT103">
        <f t="shared" si="36"/>
        <v>543</v>
      </c>
      <c r="AU103" t="str">
        <f t="shared" si="37"/>
        <v>/0/543</v>
      </c>
    </row>
    <row r="104" spans="2:47">
      <c r="B104" s="11">
        <v>108</v>
      </c>
      <c r="C104" s="14" t="s">
        <v>61</v>
      </c>
      <c r="D104" s="14" t="s">
        <v>473</v>
      </c>
      <c r="E104" s="6"/>
      <c r="F104" s="11">
        <v>126</v>
      </c>
      <c r="G104" s="15" t="s">
        <v>939</v>
      </c>
      <c r="H104" s="15" t="s">
        <v>940</v>
      </c>
      <c r="J104" t="s">
        <v>1042</v>
      </c>
      <c r="K104" t="str">
        <f t="shared" si="19"/>
        <v>KIRIBATI</v>
      </c>
      <c r="L104">
        <f t="shared" si="20"/>
        <v>112</v>
      </c>
      <c r="M104">
        <f t="shared" si="38"/>
        <v>42</v>
      </c>
      <c r="N104">
        <v>42</v>
      </c>
      <c r="P104" t="str">
        <f t="shared" si="22"/>
        <v>Venezuela</v>
      </c>
      <c r="Q104" t="str">
        <f t="shared" si="23"/>
        <v>REPUBLIC OF BENIN</v>
      </c>
      <c r="R104">
        <f t="shared" si="24"/>
        <v>129</v>
      </c>
      <c r="S104">
        <f t="shared" si="25"/>
        <v>42</v>
      </c>
      <c r="T104">
        <v>42</v>
      </c>
      <c r="V104" t="str">
        <f>IF(TIM!F104="","",TIM!F104)</f>
        <v/>
      </c>
      <c r="W104" t="str">
        <f t="shared" si="26"/>
        <v/>
      </c>
      <c r="X104">
        <f t="shared" si="27"/>
        <v>0</v>
      </c>
      <c r="AI104">
        <f>IF(TIM!P104=TIM!P104,TIM!P104,"")</f>
        <v>0</v>
      </c>
      <c r="AJ104" t="str">
        <f t="shared" si="28"/>
        <v/>
      </c>
      <c r="AK104" t="str">
        <f t="shared" si="29"/>
        <v>0</v>
      </c>
      <c r="AL104" t="str">
        <f t="shared" si="30"/>
        <v>0</v>
      </c>
      <c r="AM104">
        <f t="shared" si="31"/>
        <v>543</v>
      </c>
      <c r="AN104" t="str">
        <f t="shared" si="32"/>
        <v>/0/543</v>
      </c>
      <c r="AP104">
        <f>IF(TIM!O104=TIM!O104,TIM!O104,"")</f>
        <v>0</v>
      </c>
      <c r="AQ104" t="str">
        <f t="shared" si="33"/>
        <v/>
      </c>
      <c r="AR104" t="str">
        <f t="shared" si="34"/>
        <v>0</v>
      </c>
      <c r="AS104" t="str">
        <f t="shared" si="35"/>
        <v>0</v>
      </c>
      <c r="AT104">
        <f t="shared" si="36"/>
        <v>543</v>
      </c>
      <c r="AU104" t="str">
        <f t="shared" si="37"/>
        <v>/0/543</v>
      </c>
    </row>
    <row r="105" spans="2:47">
      <c r="B105" s="11">
        <v>109</v>
      </c>
      <c r="C105" s="14" t="s">
        <v>62</v>
      </c>
      <c r="D105" s="14" t="s">
        <v>668</v>
      </c>
      <c r="E105" s="6"/>
      <c r="F105" s="11">
        <v>127</v>
      </c>
      <c r="G105" s="15" t="s">
        <v>77</v>
      </c>
      <c r="H105" s="15" t="s">
        <v>997</v>
      </c>
      <c r="J105" t="s">
        <v>1043</v>
      </c>
      <c r="K105" t="str">
        <f t="shared" si="19"/>
        <v>NAURU</v>
      </c>
      <c r="L105">
        <f t="shared" si="20"/>
        <v>113</v>
      </c>
      <c r="M105">
        <f t="shared" si="38"/>
        <v>32</v>
      </c>
      <c r="N105">
        <v>32</v>
      </c>
      <c r="P105" t="str">
        <f t="shared" si="22"/>
        <v>Cuba</v>
      </c>
      <c r="Q105" t="str">
        <f t="shared" si="23"/>
        <v>REPUBLIC OF BOTSWANA</v>
      </c>
      <c r="R105">
        <f t="shared" si="24"/>
        <v>130</v>
      </c>
      <c r="S105">
        <f t="shared" si="25"/>
        <v>32</v>
      </c>
      <c r="T105">
        <v>32</v>
      </c>
      <c r="V105" t="str">
        <f>IF(TIM!F105="","",TIM!F105)</f>
        <v/>
      </c>
      <c r="W105" t="str">
        <f t="shared" si="26"/>
        <v/>
      </c>
      <c r="X105">
        <f t="shared" si="27"/>
        <v>0</v>
      </c>
      <c r="AI105">
        <f>IF(TIM!P105=TIM!P105,TIM!P105,"")</f>
        <v>0</v>
      </c>
      <c r="AJ105" t="str">
        <f t="shared" si="28"/>
        <v/>
      </c>
      <c r="AK105" t="str">
        <f t="shared" si="29"/>
        <v>0</v>
      </c>
      <c r="AL105" t="str">
        <f t="shared" si="30"/>
        <v>0</v>
      </c>
      <c r="AM105">
        <f t="shared" si="31"/>
        <v>543</v>
      </c>
      <c r="AN105" t="str">
        <f t="shared" si="32"/>
        <v>/0/543</v>
      </c>
      <c r="AP105">
        <f>IF(TIM!O105=TIM!O105,TIM!O105,"")</f>
        <v>0</v>
      </c>
      <c r="AQ105" t="str">
        <f t="shared" si="33"/>
        <v/>
      </c>
      <c r="AR105" t="str">
        <f t="shared" si="34"/>
        <v>0</v>
      </c>
      <c r="AS105" t="str">
        <f t="shared" si="35"/>
        <v>0</v>
      </c>
      <c r="AT105">
        <f t="shared" si="36"/>
        <v>543</v>
      </c>
      <c r="AU105" t="str">
        <f t="shared" si="37"/>
        <v>/0/543</v>
      </c>
    </row>
    <row r="106" spans="2:47">
      <c r="B106" s="11">
        <v>111</v>
      </c>
      <c r="C106" s="14" t="s">
        <v>63</v>
      </c>
      <c r="D106" s="14" t="s">
        <v>631</v>
      </c>
      <c r="E106" s="6"/>
      <c r="F106" s="11">
        <v>128</v>
      </c>
      <c r="G106" s="15" t="s">
        <v>78</v>
      </c>
      <c r="H106" s="15" t="s">
        <v>995</v>
      </c>
      <c r="J106" t="s">
        <v>1044</v>
      </c>
      <c r="K106" t="str">
        <f t="shared" si="19"/>
        <v>SOLOMON ISLANDS</v>
      </c>
      <c r="L106">
        <f t="shared" si="20"/>
        <v>114</v>
      </c>
      <c r="M106">
        <f t="shared" si="38"/>
        <v>240</v>
      </c>
      <c r="N106">
        <v>240</v>
      </c>
      <c r="P106" t="str">
        <f t="shared" si="22"/>
        <v>Moldova</v>
      </c>
      <c r="Q106" t="str">
        <f t="shared" si="23"/>
        <v>BURKINA FASO</v>
      </c>
      <c r="R106">
        <f t="shared" si="24"/>
        <v>131</v>
      </c>
      <c r="S106">
        <f t="shared" si="25"/>
        <v>240</v>
      </c>
      <c r="T106">
        <v>240</v>
      </c>
      <c r="V106" t="str">
        <f>IF(TIM!F106="","",TIM!F106)</f>
        <v/>
      </c>
      <c r="W106" t="str">
        <f t="shared" si="26"/>
        <v/>
      </c>
      <c r="X106">
        <f t="shared" si="27"/>
        <v>0</v>
      </c>
      <c r="AI106">
        <f>IF(TIM!P106=TIM!P106,TIM!P106,"")</f>
        <v>0</v>
      </c>
      <c r="AJ106" t="str">
        <f t="shared" si="28"/>
        <v/>
      </c>
      <c r="AK106" t="str">
        <f t="shared" si="29"/>
        <v>0</v>
      </c>
      <c r="AL106" t="str">
        <f t="shared" si="30"/>
        <v>0</v>
      </c>
      <c r="AM106">
        <f t="shared" si="31"/>
        <v>543</v>
      </c>
      <c r="AN106" t="str">
        <f t="shared" si="32"/>
        <v>/0/543</v>
      </c>
      <c r="AP106">
        <f>IF(TIM!O106=TIM!O106,TIM!O106,"")</f>
        <v>0</v>
      </c>
      <c r="AQ106" t="str">
        <f t="shared" si="33"/>
        <v/>
      </c>
      <c r="AR106" t="str">
        <f t="shared" si="34"/>
        <v>0</v>
      </c>
      <c r="AS106" t="str">
        <f t="shared" si="35"/>
        <v>0</v>
      </c>
      <c r="AT106">
        <f t="shared" si="36"/>
        <v>543</v>
      </c>
      <c r="AU106" t="str">
        <f t="shared" si="37"/>
        <v>/0/543</v>
      </c>
    </row>
    <row r="107" spans="2:47">
      <c r="B107" s="11">
        <v>112</v>
      </c>
      <c r="C107" s="14" t="s">
        <v>64</v>
      </c>
      <c r="D107" s="14" t="s">
        <v>495</v>
      </c>
      <c r="E107" s="6"/>
      <c r="F107" s="11">
        <v>129</v>
      </c>
      <c r="G107" s="15" t="s">
        <v>79</v>
      </c>
      <c r="H107" s="15" t="s">
        <v>870</v>
      </c>
      <c r="J107" t="s">
        <v>1045</v>
      </c>
      <c r="K107" t="str">
        <f t="shared" si="19"/>
        <v>TONGA</v>
      </c>
      <c r="L107">
        <f t="shared" si="20"/>
        <v>115</v>
      </c>
      <c r="M107">
        <f t="shared" si="38"/>
        <v>167</v>
      </c>
      <c r="N107">
        <v>167</v>
      </c>
      <c r="P107" t="str">
        <f t="shared" si="22"/>
        <v>Tunisia</v>
      </c>
      <c r="Q107" t="str">
        <f t="shared" si="23"/>
        <v>REPUBLIC OF BURUNDI</v>
      </c>
      <c r="R107">
        <f t="shared" si="24"/>
        <v>132</v>
      </c>
      <c r="S107">
        <f t="shared" si="25"/>
        <v>167</v>
      </c>
      <c r="T107">
        <v>167</v>
      </c>
      <c r="V107" t="str">
        <f>IF(TIM!F107="","",TIM!F107)</f>
        <v/>
      </c>
      <c r="W107" t="str">
        <f t="shared" si="26"/>
        <v/>
      </c>
      <c r="X107">
        <f t="shared" si="27"/>
        <v>0</v>
      </c>
      <c r="AI107">
        <f>IF(TIM!P107=TIM!P107,TIM!P107,"")</f>
        <v>0</v>
      </c>
      <c r="AJ107" t="str">
        <f t="shared" si="28"/>
        <v/>
      </c>
      <c r="AK107" t="str">
        <f t="shared" si="29"/>
        <v>0</v>
      </c>
      <c r="AL107" t="str">
        <f t="shared" si="30"/>
        <v>0</v>
      </c>
      <c r="AM107">
        <f t="shared" si="31"/>
        <v>543</v>
      </c>
      <c r="AN107" t="str">
        <f t="shared" si="32"/>
        <v>/0/543</v>
      </c>
      <c r="AP107">
        <f>IF(TIM!O107=TIM!O107,TIM!O107,"")</f>
        <v>0</v>
      </c>
      <c r="AQ107" t="str">
        <f t="shared" si="33"/>
        <v/>
      </c>
      <c r="AR107" t="str">
        <f t="shared" si="34"/>
        <v>0</v>
      </c>
      <c r="AS107" t="str">
        <f t="shared" si="35"/>
        <v>0</v>
      </c>
      <c r="AT107">
        <f t="shared" si="36"/>
        <v>543</v>
      </c>
      <c r="AU107" t="str">
        <f t="shared" si="37"/>
        <v>/0/543</v>
      </c>
    </row>
    <row r="108" spans="2:47">
      <c r="B108" s="11">
        <v>113</v>
      </c>
      <c r="C108" s="14" t="s">
        <v>65</v>
      </c>
      <c r="D108" s="14" t="s">
        <v>580</v>
      </c>
      <c r="E108" s="6"/>
      <c r="F108" s="11">
        <v>130</v>
      </c>
      <c r="G108" s="15" t="s">
        <v>80</v>
      </c>
      <c r="H108" s="15" t="s">
        <v>863</v>
      </c>
      <c r="J108" t="s">
        <v>1046</v>
      </c>
      <c r="K108" t="str">
        <f t="shared" si="19"/>
        <v>TUVALU</v>
      </c>
      <c r="L108">
        <f t="shared" si="20"/>
        <v>116</v>
      </c>
      <c r="M108">
        <f t="shared" si="38"/>
        <v>194</v>
      </c>
      <c r="N108">
        <v>194</v>
      </c>
      <c r="P108" t="str">
        <f t="shared" si="22"/>
        <v>Suriname</v>
      </c>
      <c r="Q108" t="str">
        <f t="shared" si="23"/>
        <v>REPUBLIC OF CAMEROON</v>
      </c>
      <c r="R108">
        <f t="shared" si="24"/>
        <v>133</v>
      </c>
      <c r="S108">
        <f t="shared" si="25"/>
        <v>194</v>
      </c>
      <c r="T108">
        <v>194</v>
      </c>
      <c r="V108" t="str">
        <f>IF(TIM!F108="","",TIM!F108)</f>
        <v/>
      </c>
      <c r="W108" t="str">
        <f t="shared" si="26"/>
        <v/>
      </c>
      <c r="X108">
        <f t="shared" si="27"/>
        <v>0</v>
      </c>
      <c r="AI108">
        <f>IF(TIM!P108=TIM!P108,TIM!P108,"")</f>
        <v>0</v>
      </c>
      <c r="AJ108" t="str">
        <f t="shared" si="28"/>
        <v/>
      </c>
      <c r="AK108" t="str">
        <f t="shared" si="29"/>
        <v>0</v>
      </c>
      <c r="AL108" t="str">
        <f t="shared" si="30"/>
        <v>0</v>
      </c>
      <c r="AM108">
        <f t="shared" si="31"/>
        <v>543</v>
      </c>
      <c r="AN108" t="str">
        <f t="shared" si="32"/>
        <v>/0/543</v>
      </c>
      <c r="AP108">
        <f>IF(TIM!O108=TIM!O108,TIM!O108,"")</f>
        <v>0</v>
      </c>
      <c r="AQ108" t="str">
        <f t="shared" si="33"/>
        <v/>
      </c>
      <c r="AR108" t="str">
        <f t="shared" si="34"/>
        <v>0</v>
      </c>
      <c r="AS108" t="str">
        <f t="shared" si="35"/>
        <v>0</v>
      </c>
      <c r="AT108">
        <f t="shared" si="36"/>
        <v>543</v>
      </c>
      <c r="AU108" t="str">
        <f t="shared" si="37"/>
        <v>/0/543</v>
      </c>
    </row>
    <row r="109" spans="2:47">
      <c r="B109" s="11">
        <v>114</v>
      </c>
      <c r="C109" s="14" t="s">
        <v>66</v>
      </c>
      <c r="D109" s="14" t="s">
        <v>720</v>
      </c>
      <c r="E109" s="6"/>
      <c r="F109" s="11">
        <v>131</v>
      </c>
      <c r="G109" s="15" t="s">
        <v>81</v>
      </c>
      <c r="H109" s="15" t="s">
        <v>603</v>
      </c>
      <c r="J109" t="s">
        <v>1047</v>
      </c>
      <c r="K109" t="str">
        <f t="shared" si="19"/>
        <v>VANUATU</v>
      </c>
      <c r="L109">
        <f t="shared" si="20"/>
        <v>117</v>
      </c>
      <c r="M109">
        <f t="shared" si="38"/>
        <v>57</v>
      </c>
      <c r="N109">
        <v>57</v>
      </c>
      <c r="P109" t="str">
        <f t="shared" si="22"/>
        <v>Cambodia</v>
      </c>
      <c r="Q109" t="str">
        <f t="shared" si="23"/>
        <v>REPUBLIC OF CAPE VERDE</v>
      </c>
      <c r="R109">
        <f t="shared" si="24"/>
        <v>134</v>
      </c>
      <c r="S109">
        <f t="shared" si="25"/>
        <v>57</v>
      </c>
      <c r="T109">
        <v>57</v>
      </c>
      <c r="V109" t="str">
        <f>IF(TIM!F109="","",TIM!F109)</f>
        <v/>
      </c>
      <c r="W109" t="str">
        <f t="shared" si="26"/>
        <v/>
      </c>
      <c r="X109">
        <f t="shared" si="27"/>
        <v>0</v>
      </c>
      <c r="AI109">
        <f>IF(TIM!P109=TIM!P109,TIM!P109,"")</f>
        <v>0</v>
      </c>
      <c r="AJ109" t="str">
        <f t="shared" si="28"/>
        <v/>
      </c>
      <c r="AK109" t="str">
        <f t="shared" si="29"/>
        <v>0</v>
      </c>
      <c r="AL109" t="str">
        <f t="shared" si="30"/>
        <v>0</v>
      </c>
      <c r="AM109">
        <f t="shared" si="31"/>
        <v>543</v>
      </c>
      <c r="AN109" t="str">
        <f t="shared" si="32"/>
        <v>/0/543</v>
      </c>
      <c r="AP109">
        <f>IF(TIM!O109=TIM!O109,TIM!O109,"")</f>
        <v>0</v>
      </c>
      <c r="AQ109" t="str">
        <f t="shared" si="33"/>
        <v/>
      </c>
      <c r="AR109" t="str">
        <f t="shared" si="34"/>
        <v>0</v>
      </c>
      <c r="AS109" t="str">
        <f t="shared" si="35"/>
        <v>0</v>
      </c>
      <c r="AT109">
        <f t="shared" si="36"/>
        <v>543</v>
      </c>
      <c r="AU109" t="str">
        <f t="shared" si="37"/>
        <v>/0/543</v>
      </c>
    </row>
    <row r="110" spans="2:47">
      <c r="B110" s="11">
        <v>115</v>
      </c>
      <c r="C110" s="14" t="s">
        <v>67</v>
      </c>
      <c r="D110" s="14" t="s">
        <v>559</v>
      </c>
      <c r="E110" s="6"/>
      <c r="F110" s="11">
        <v>132</v>
      </c>
      <c r="G110" s="15" t="s">
        <v>82</v>
      </c>
      <c r="H110" s="15" t="s">
        <v>869</v>
      </c>
      <c r="J110" t="s">
        <v>1048</v>
      </c>
      <c r="K110" t="str">
        <f t="shared" si="19"/>
        <v>SAMOAN</v>
      </c>
      <c r="L110">
        <f t="shared" si="20"/>
        <v>118</v>
      </c>
      <c r="M110">
        <f t="shared" si="38"/>
        <v>184</v>
      </c>
      <c r="N110">
        <v>184</v>
      </c>
      <c r="P110" t="str">
        <f t="shared" si="22"/>
        <v>Jamaica</v>
      </c>
      <c r="Q110" t="str">
        <f t="shared" si="23"/>
        <v>CENTRAL AFRICAN REPUBLIC</v>
      </c>
      <c r="R110">
        <f t="shared" si="24"/>
        <v>135</v>
      </c>
      <c r="S110">
        <f t="shared" si="25"/>
        <v>184</v>
      </c>
      <c r="T110">
        <v>184</v>
      </c>
      <c r="V110" t="str">
        <f>IF(TIM!F110="","",TIM!F110)</f>
        <v/>
      </c>
      <c r="W110" t="str">
        <f t="shared" si="26"/>
        <v/>
      </c>
      <c r="X110">
        <f t="shared" si="27"/>
        <v>0</v>
      </c>
      <c r="AI110">
        <f>IF(TIM!P110=TIM!P110,TIM!P110,"")</f>
        <v>0</v>
      </c>
      <c r="AJ110" t="str">
        <f t="shared" si="28"/>
        <v/>
      </c>
      <c r="AK110" t="str">
        <f t="shared" si="29"/>
        <v>0</v>
      </c>
      <c r="AL110" t="str">
        <f t="shared" si="30"/>
        <v>0</v>
      </c>
      <c r="AM110">
        <f t="shared" si="31"/>
        <v>543</v>
      </c>
      <c r="AN110" t="str">
        <f t="shared" si="32"/>
        <v>/0/543</v>
      </c>
      <c r="AP110">
        <f>IF(TIM!O110=TIM!O110,TIM!O110,"")</f>
        <v>0</v>
      </c>
      <c r="AQ110" t="str">
        <f t="shared" si="33"/>
        <v/>
      </c>
      <c r="AR110" t="str">
        <f t="shared" si="34"/>
        <v>0</v>
      </c>
      <c r="AS110" t="str">
        <f t="shared" si="35"/>
        <v>0</v>
      </c>
      <c r="AT110">
        <f t="shared" si="36"/>
        <v>543</v>
      </c>
      <c r="AU110" t="str">
        <f t="shared" si="37"/>
        <v>/0/543</v>
      </c>
    </row>
    <row r="111" spans="2:47">
      <c r="B111" s="11">
        <v>116</v>
      </c>
      <c r="C111" s="14" t="s">
        <v>68</v>
      </c>
      <c r="D111" s="14" t="s">
        <v>566</v>
      </c>
      <c r="E111" s="6"/>
      <c r="F111" s="11">
        <v>133</v>
      </c>
      <c r="G111" s="15" t="s">
        <v>83</v>
      </c>
      <c r="H111" s="15" t="s">
        <v>811</v>
      </c>
      <c r="J111" t="s">
        <v>1049</v>
      </c>
      <c r="K111" t="str">
        <f t="shared" si="19"/>
        <v>ALBANIA</v>
      </c>
      <c r="L111">
        <f t="shared" si="20"/>
        <v>119</v>
      </c>
      <c r="M111">
        <f t="shared" si="38"/>
        <v>109</v>
      </c>
      <c r="N111">
        <v>109</v>
      </c>
      <c r="P111" t="str">
        <f t="shared" si="22"/>
        <v>Yemen</v>
      </c>
      <c r="Q111" t="str">
        <f t="shared" si="23"/>
        <v>REPUBLIC OF CHAD</v>
      </c>
      <c r="R111">
        <f t="shared" si="24"/>
        <v>136</v>
      </c>
      <c r="S111">
        <f t="shared" si="25"/>
        <v>109</v>
      </c>
      <c r="T111">
        <v>109</v>
      </c>
      <c r="V111" t="str">
        <f>IF(TIM!F111="","",TIM!F111)</f>
        <v/>
      </c>
      <c r="W111" t="str">
        <f t="shared" si="26"/>
        <v/>
      </c>
      <c r="X111">
        <f t="shared" si="27"/>
        <v>0</v>
      </c>
      <c r="AI111">
        <f>IF(TIM!P111=TIM!P111,TIM!P111,"")</f>
        <v>0</v>
      </c>
      <c r="AJ111" t="str">
        <f t="shared" si="28"/>
        <v/>
      </c>
      <c r="AK111" t="str">
        <f t="shared" si="29"/>
        <v>0</v>
      </c>
      <c r="AL111" t="str">
        <f t="shared" si="30"/>
        <v>0</v>
      </c>
      <c r="AM111">
        <f t="shared" si="31"/>
        <v>543</v>
      </c>
      <c r="AN111" t="str">
        <f t="shared" si="32"/>
        <v>/0/543</v>
      </c>
      <c r="AP111">
        <f>IF(TIM!O111=TIM!O111,TIM!O111,"")</f>
        <v>0</v>
      </c>
      <c r="AQ111" t="str">
        <f t="shared" si="33"/>
        <v/>
      </c>
      <c r="AR111" t="str">
        <f t="shared" si="34"/>
        <v>0</v>
      </c>
      <c r="AS111" t="str">
        <f t="shared" si="35"/>
        <v>0</v>
      </c>
      <c r="AT111">
        <f t="shared" si="36"/>
        <v>543</v>
      </c>
      <c r="AU111" t="str">
        <f t="shared" si="37"/>
        <v>/0/543</v>
      </c>
    </row>
    <row r="112" spans="2:47">
      <c r="B112" s="11">
        <v>117</v>
      </c>
      <c r="C112" s="14" t="s">
        <v>69</v>
      </c>
      <c r="D112" s="14" t="s">
        <v>697</v>
      </c>
      <c r="E112" s="6"/>
      <c r="F112" s="11">
        <v>134</v>
      </c>
      <c r="G112" s="15" t="s">
        <v>84</v>
      </c>
      <c r="H112" s="15" t="s">
        <v>809</v>
      </c>
      <c r="K112" t="str">
        <f t="shared" si="19"/>
        <v>ANDORRA</v>
      </c>
      <c r="L112">
        <f t="shared" si="20"/>
        <v>120</v>
      </c>
      <c r="P112" t="str">
        <f t="shared" si="22"/>
        <v/>
      </c>
      <c r="Q112" t="str">
        <f t="shared" si="23"/>
        <v>FEDERAL ISLAMIC REPUBLIC OF THE COMOROS</v>
      </c>
      <c r="R112">
        <f t="shared" si="24"/>
        <v>137</v>
      </c>
      <c r="V112" t="str">
        <f>IF(TIM!F112="","",TIM!F112)</f>
        <v/>
      </c>
      <c r="W112" t="str">
        <f t="shared" si="26"/>
        <v/>
      </c>
      <c r="X112">
        <f t="shared" si="27"/>
        <v>0</v>
      </c>
      <c r="AI112">
        <f>IF(TIM!P112=TIM!P112,TIM!P112,"")</f>
        <v>0</v>
      </c>
      <c r="AJ112" t="str">
        <f t="shared" si="28"/>
        <v/>
      </c>
      <c r="AK112" t="str">
        <f t="shared" si="29"/>
        <v>0</v>
      </c>
      <c r="AL112" t="str">
        <f t="shared" si="30"/>
        <v>0</v>
      </c>
      <c r="AM112">
        <f t="shared" si="31"/>
        <v>543</v>
      </c>
      <c r="AN112" t="str">
        <f t="shared" si="32"/>
        <v>/0/543</v>
      </c>
      <c r="AP112">
        <f>IF(TIM!O112=TIM!O112,TIM!O112,"")</f>
        <v>0</v>
      </c>
      <c r="AQ112" t="str">
        <f t="shared" si="33"/>
        <v/>
      </c>
      <c r="AR112" t="str">
        <f t="shared" si="34"/>
        <v>0</v>
      </c>
      <c r="AS112" t="str">
        <f t="shared" si="35"/>
        <v>0</v>
      </c>
      <c r="AT112">
        <f t="shared" si="36"/>
        <v>543</v>
      </c>
      <c r="AU112" t="str">
        <f t="shared" si="37"/>
        <v>/0/543</v>
      </c>
    </row>
    <row r="113" spans="2:47">
      <c r="B113" s="11">
        <v>118</v>
      </c>
      <c r="C113" s="14" t="s">
        <v>70</v>
      </c>
      <c r="D113" s="14" t="s">
        <v>528</v>
      </c>
      <c r="E113" s="6"/>
      <c r="F113" s="11">
        <v>135</v>
      </c>
      <c r="G113" s="15" t="s">
        <v>967</v>
      </c>
      <c r="H113" s="15" t="s">
        <v>762</v>
      </c>
      <c r="K113" t="str">
        <f t="shared" si="19"/>
        <v>ICELAND</v>
      </c>
      <c r="L113">
        <f t="shared" si="20"/>
        <v>122</v>
      </c>
      <c r="P113" t="str">
        <f t="shared" si="22"/>
        <v/>
      </c>
      <c r="Q113" t="str">
        <f t="shared" si="23"/>
        <v>REPUBLIC OF THE CONGO</v>
      </c>
      <c r="R113">
        <f t="shared" si="24"/>
        <v>138</v>
      </c>
      <c r="V113" t="str">
        <f>IF(TIM!F113="","",TIM!F113)</f>
        <v/>
      </c>
      <c r="W113" t="str">
        <f t="shared" si="26"/>
        <v/>
      </c>
      <c r="X113">
        <f t="shared" si="27"/>
        <v>0</v>
      </c>
      <c r="AI113">
        <f>IF(TIM!P113=TIM!P113,TIM!P113,"")</f>
        <v>0</v>
      </c>
      <c r="AJ113" t="str">
        <f t="shared" si="28"/>
        <v/>
      </c>
      <c r="AK113" t="str">
        <f t="shared" si="29"/>
        <v>0</v>
      </c>
      <c r="AL113" t="str">
        <f t="shared" si="30"/>
        <v>0</v>
      </c>
      <c r="AM113">
        <f t="shared" si="31"/>
        <v>543</v>
      </c>
      <c r="AN113" t="str">
        <f t="shared" si="32"/>
        <v>/0/543</v>
      </c>
      <c r="AP113">
        <f>IF(TIM!O113=TIM!O113,TIM!O113,"")</f>
        <v>0</v>
      </c>
      <c r="AQ113" t="str">
        <f t="shared" si="33"/>
        <v/>
      </c>
      <c r="AR113" t="str">
        <f t="shared" si="34"/>
        <v>0</v>
      </c>
      <c r="AS113" t="str">
        <f t="shared" si="35"/>
        <v>0</v>
      </c>
      <c r="AT113">
        <f t="shared" si="36"/>
        <v>543</v>
      </c>
      <c r="AU113" t="str">
        <f t="shared" si="37"/>
        <v>/0/543</v>
      </c>
    </row>
    <row r="114" spans="2:47">
      <c r="B114" s="11">
        <v>119</v>
      </c>
      <c r="C114" s="14" t="s">
        <v>71</v>
      </c>
      <c r="D114" s="14" t="s">
        <v>766</v>
      </c>
      <c r="E114" s="6"/>
      <c r="F114" s="11">
        <v>136</v>
      </c>
      <c r="G114" s="15" t="s">
        <v>86</v>
      </c>
      <c r="H114" s="15" t="s">
        <v>816</v>
      </c>
      <c r="K114" t="str">
        <f t="shared" si="19"/>
        <v>LIECHTENSTEIN</v>
      </c>
      <c r="L114">
        <f t="shared" si="20"/>
        <v>123</v>
      </c>
      <c r="P114" t="str">
        <f t="shared" si="22"/>
        <v/>
      </c>
      <c r="Q114" t="str">
        <f t="shared" si="23"/>
        <v>REPUBLIC OF COTE D'IVOIRE</v>
      </c>
      <c r="R114">
        <f t="shared" si="24"/>
        <v>139</v>
      </c>
      <c r="V114" t="str">
        <f>IF(TIM!F114="","",TIM!F114)</f>
        <v/>
      </c>
      <c r="W114" t="str">
        <f t="shared" si="26"/>
        <v/>
      </c>
      <c r="X114">
        <f t="shared" si="27"/>
        <v>0</v>
      </c>
      <c r="AI114">
        <f>IF(TIM!P114=TIM!P114,TIM!P114,"")</f>
        <v>0</v>
      </c>
      <c r="AJ114" t="str">
        <f t="shared" si="28"/>
        <v/>
      </c>
      <c r="AK114" t="str">
        <f t="shared" si="29"/>
        <v>0</v>
      </c>
      <c r="AL114" t="str">
        <f t="shared" si="30"/>
        <v>0</v>
      </c>
      <c r="AM114">
        <f t="shared" si="31"/>
        <v>543</v>
      </c>
      <c r="AN114" t="str">
        <f t="shared" si="32"/>
        <v>/0/543</v>
      </c>
      <c r="AP114">
        <f>IF(TIM!O114=TIM!O114,TIM!O114,"")</f>
        <v>0</v>
      </c>
      <c r="AQ114" t="str">
        <f t="shared" si="33"/>
        <v/>
      </c>
      <c r="AR114" t="str">
        <f t="shared" si="34"/>
        <v>0</v>
      </c>
      <c r="AS114" t="str">
        <f t="shared" si="35"/>
        <v>0</v>
      </c>
      <c r="AT114">
        <f t="shared" si="36"/>
        <v>543</v>
      </c>
      <c r="AU114" t="str">
        <f t="shared" si="37"/>
        <v>/0/543</v>
      </c>
    </row>
    <row r="115" spans="2:47">
      <c r="B115" s="11">
        <v>120</v>
      </c>
      <c r="C115" s="14" t="s">
        <v>72</v>
      </c>
      <c r="D115" s="14" t="s">
        <v>728</v>
      </c>
      <c r="E115" s="6"/>
      <c r="F115" s="11">
        <v>137</v>
      </c>
      <c r="G115" s="15" t="s">
        <v>87</v>
      </c>
      <c r="H115" s="15" t="s">
        <v>800</v>
      </c>
      <c r="K115" t="str">
        <f t="shared" si="19"/>
        <v>MONACO</v>
      </c>
      <c r="L115">
        <f t="shared" si="20"/>
        <v>124</v>
      </c>
      <c r="P115" t="str">
        <f t="shared" si="22"/>
        <v/>
      </c>
      <c r="Q115" t="str">
        <f t="shared" si="23"/>
        <v>REPUBLIC OF DJIBOUTI</v>
      </c>
      <c r="R115">
        <f t="shared" si="24"/>
        <v>140</v>
      </c>
      <c r="V115" t="str">
        <f>IF(TIM!F115="","",TIM!F115)</f>
        <v/>
      </c>
      <c r="W115" t="str">
        <f t="shared" si="26"/>
        <v/>
      </c>
      <c r="X115">
        <f t="shared" si="27"/>
        <v>0</v>
      </c>
      <c r="AI115">
        <f>IF(TIM!P115=TIM!P115,TIM!P115,"")</f>
        <v>0</v>
      </c>
      <c r="AJ115" t="str">
        <f t="shared" si="28"/>
        <v/>
      </c>
      <c r="AK115" t="str">
        <f t="shared" si="29"/>
        <v>0</v>
      </c>
      <c r="AL115" t="str">
        <f t="shared" si="30"/>
        <v>0</v>
      </c>
      <c r="AM115">
        <f t="shared" si="31"/>
        <v>543</v>
      </c>
      <c r="AN115" t="str">
        <f t="shared" si="32"/>
        <v>/0/543</v>
      </c>
      <c r="AP115">
        <f>IF(TIM!O115=TIM!O115,TIM!O115,"")</f>
        <v>0</v>
      </c>
      <c r="AQ115" t="str">
        <f t="shared" si="33"/>
        <v/>
      </c>
      <c r="AR115" t="str">
        <f t="shared" si="34"/>
        <v>0</v>
      </c>
      <c r="AS115" t="str">
        <f t="shared" si="35"/>
        <v>0</v>
      </c>
      <c r="AT115">
        <f t="shared" si="36"/>
        <v>543</v>
      </c>
      <c r="AU115" t="str">
        <f t="shared" si="37"/>
        <v>/0/543</v>
      </c>
    </row>
    <row r="116" spans="2:47">
      <c r="B116" s="11">
        <v>122</v>
      </c>
      <c r="C116" s="14" t="s">
        <v>768</v>
      </c>
      <c r="D116" s="14" t="s">
        <v>769</v>
      </c>
      <c r="E116" s="6"/>
      <c r="F116" s="11">
        <v>138</v>
      </c>
      <c r="G116" s="15" t="s">
        <v>88</v>
      </c>
      <c r="H116" s="15" t="s">
        <v>799</v>
      </c>
      <c r="K116" t="str">
        <f t="shared" si="19"/>
        <v>SAN MARINO</v>
      </c>
      <c r="L116">
        <f t="shared" si="20"/>
        <v>125</v>
      </c>
      <c r="P116" t="str">
        <f t="shared" si="22"/>
        <v/>
      </c>
      <c r="Q116" t="str">
        <f t="shared" si="23"/>
        <v>REPUBLIC OF EQUATORIAL GUINEA</v>
      </c>
      <c r="R116">
        <f t="shared" si="24"/>
        <v>141</v>
      </c>
      <c r="V116" t="str">
        <f>IF(TIM!F116="","",TIM!F116)</f>
        <v/>
      </c>
      <c r="W116" t="str">
        <f t="shared" si="26"/>
        <v/>
      </c>
      <c r="X116">
        <f t="shared" si="27"/>
        <v>0</v>
      </c>
      <c r="AI116">
        <f>IF(TIM!P116=TIM!P116,TIM!P116,"")</f>
        <v>0</v>
      </c>
      <c r="AJ116" t="str">
        <f t="shared" si="28"/>
        <v/>
      </c>
      <c r="AK116" t="str">
        <f t="shared" si="29"/>
        <v>0</v>
      </c>
      <c r="AL116" t="str">
        <f t="shared" si="30"/>
        <v>0</v>
      </c>
      <c r="AM116">
        <f t="shared" si="31"/>
        <v>543</v>
      </c>
      <c r="AN116" t="str">
        <f t="shared" si="32"/>
        <v>/0/543</v>
      </c>
      <c r="AP116">
        <f>IF(TIM!O116=TIM!O116,TIM!O116,"")</f>
        <v>0</v>
      </c>
      <c r="AQ116" t="str">
        <f t="shared" si="33"/>
        <v/>
      </c>
      <c r="AR116" t="str">
        <f t="shared" si="34"/>
        <v>0</v>
      </c>
      <c r="AS116" t="str">
        <f t="shared" si="35"/>
        <v>0</v>
      </c>
      <c r="AT116">
        <f t="shared" si="36"/>
        <v>543</v>
      </c>
      <c r="AU116" t="str">
        <f t="shared" si="37"/>
        <v>/0/543</v>
      </c>
    </row>
    <row r="117" spans="2:47">
      <c r="B117" s="11">
        <v>123</v>
      </c>
      <c r="C117" s="14" t="s">
        <v>73</v>
      </c>
      <c r="D117" s="14" t="s">
        <v>687</v>
      </c>
      <c r="E117" s="6"/>
      <c r="F117" s="11">
        <v>139</v>
      </c>
      <c r="G117" s="15" t="s">
        <v>795</v>
      </c>
      <c r="H117" s="15" t="s">
        <v>796</v>
      </c>
      <c r="K117" t="str">
        <f t="shared" si="19"/>
        <v>British</v>
      </c>
      <c r="L117">
        <f t="shared" si="20"/>
        <v>126</v>
      </c>
      <c r="P117" t="str">
        <f t="shared" si="22"/>
        <v/>
      </c>
      <c r="Q117" t="str">
        <f t="shared" si="23"/>
        <v>GABONESE REPUBLIC</v>
      </c>
      <c r="R117">
        <f t="shared" si="24"/>
        <v>142</v>
      </c>
      <c r="V117" t="str">
        <f>IF(TIM!F117="","",TIM!F117)</f>
        <v/>
      </c>
      <c r="W117" t="str">
        <f t="shared" si="26"/>
        <v/>
      </c>
      <c r="X117">
        <f t="shared" si="27"/>
        <v>0</v>
      </c>
      <c r="AI117">
        <f>IF(TIM!P117=TIM!P117,TIM!P117,"")</f>
        <v>0</v>
      </c>
      <c r="AJ117" t="str">
        <f t="shared" si="28"/>
        <v/>
      </c>
      <c r="AK117" t="str">
        <f t="shared" si="29"/>
        <v>0</v>
      </c>
      <c r="AL117" t="str">
        <f t="shared" si="30"/>
        <v>0</v>
      </c>
      <c r="AM117">
        <f t="shared" si="31"/>
        <v>543</v>
      </c>
      <c r="AN117" t="str">
        <f t="shared" si="32"/>
        <v>/0/543</v>
      </c>
      <c r="AP117">
        <f>IF(TIM!O117=TIM!O117,TIM!O117,"")</f>
        <v>0</v>
      </c>
      <c r="AQ117" t="str">
        <f t="shared" si="33"/>
        <v/>
      </c>
      <c r="AR117" t="str">
        <f t="shared" si="34"/>
        <v>0</v>
      </c>
      <c r="AS117" t="str">
        <f t="shared" si="35"/>
        <v>0</v>
      </c>
      <c r="AT117">
        <f t="shared" si="36"/>
        <v>543</v>
      </c>
      <c r="AU117" t="str">
        <f t="shared" si="37"/>
        <v>/0/543</v>
      </c>
    </row>
    <row r="118" spans="2:47">
      <c r="B118" s="11">
        <v>124</v>
      </c>
      <c r="C118" s="14" t="s">
        <v>74</v>
      </c>
      <c r="D118" s="14" t="s">
        <v>660</v>
      </c>
      <c r="E118" s="6"/>
      <c r="F118" s="11">
        <v>140</v>
      </c>
      <c r="G118" s="15" t="s">
        <v>90</v>
      </c>
      <c r="H118" s="15" t="s">
        <v>815</v>
      </c>
      <c r="K118" t="str">
        <f t="shared" si="19"/>
        <v>ALGERIA</v>
      </c>
      <c r="L118">
        <f t="shared" si="20"/>
        <v>127</v>
      </c>
      <c r="P118" t="str">
        <f t="shared" si="22"/>
        <v/>
      </c>
      <c r="Q118" t="str">
        <f t="shared" si="23"/>
        <v>REPUBLIC OF THE GAMBIA</v>
      </c>
      <c r="R118">
        <f t="shared" si="24"/>
        <v>143</v>
      </c>
      <c r="V118" t="str">
        <f>IF(TIM!F118="","",TIM!F118)</f>
        <v/>
      </c>
      <c r="W118" t="str">
        <f t="shared" si="26"/>
        <v/>
      </c>
      <c r="X118">
        <f t="shared" si="27"/>
        <v>0</v>
      </c>
      <c r="AI118">
        <f>IF(TIM!P118=TIM!P118,TIM!P118,"")</f>
        <v>0</v>
      </c>
      <c r="AJ118" t="str">
        <f t="shared" si="28"/>
        <v/>
      </c>
      <c r="AK118" t="str">
        <f t="shared" si="29"/>
        <v>0</v>
      </c>
      <c r="AL118" t="str">
        <f t="shared" si="30"/>
        <v>0</v>
      </c>
      <c r="AM118">
        <f t="shared" si="31"/>
        <v>543</v>
      </c>
      <c r="AN118" t="str">
        <f t="shared" si="32"/>
        <v>/0/543</v>
      </c>
      <c r="AP118">
        <f>IF(TIM!O118=TIM!O118,TIM!O118,"")</f>
        <v>0</v>
      </c>
      <c r="AQ118" t="str">
        <f t="shared" si="33"/>
        <v/>
      </c>
      <c r="AR118" t="str">
        <f t="shared" si="34"/>
        <v>0</v>
      </c>
      <c r="AS118" t="str">
        <f t="shared" si="35"/>
        <v>0</v>
      </c>
      <c r="AT118">
        <f t="shared" si="36"/>
        <v>543</v>
      </c>
      <c r="AU118" t="str">
        <f t="shared" si="37"/>
        <v>/0/543</v>
      </c>
    </row>
    <row r="119" spans="2:47">
      <c r="B119" s="11">
        <v>125</v>
      </c>
      <c r="C119" s="14" t="s">
        <v>75</v>
      </c>
      <c r="D119" s="14" t="s">
        <v>527</v>
      </c>
      <c r="E119" s="6"/>
      <c r="F119" s="11">
        <v>141</v>
      </c>
      <c r="G119" s="15" t="s">
        <v>91</v>
      </c>
      <c r="H119" s="15" t="s">
        <v>980</v>
      </c>
      <c r="K119" t="str">
        <f t="shared" si="19"/>
        <v>ANGOLAN</v>
      </c>
      <c r="L119">
        <f t="shared" si="20"/>
        <v>128</v>
      </c>
      <c r="P119" t="str">
        <f t="shared" si="22"/>
        <v/>
      </c>
      <c r="Q119" t="str">
        <f t="shared" si="23"/>
        <v>REPUBLIC OF GHANA</v>
      </c>
      <c r="R119">
        <f t="shared" si="24"/>
        <v>144</v>
      </c>
      <c r="V119" t="str">
        <f>IF(TIM!F119="","",TIM!F119)</f>
        <v/>
      </c>
      <c r="W119" t="str">
        <f t="shared" si="26"/>
        <v/>
      </c>
      <c r="X119">
        <f t="shared" si="27"/>
        <v>0</v>
      </c>
      <c r="AI119">
        <f>IF(TIM!P119=TIM!P119,TIM!P119,"")</f>
        <v>0</v>
      </c>
      <c r="AJ119" t="str">
        <f t="shared" si="28"/>
        <v/>
      </c>
      <c r="AK119" t="str">
        <f t="shared" si="29"/>
        <v>0</v>
      </c>
      <c r="AL119" t="str">
        <f t="shared" si="30"/>
        <v>0</v>
      </c>
      <c r="AM119">
        <f t="shared" si="31"/>
        <v>543</v>
      </c>
      <c r="AN119" t="str">
        <f t="shared" si="32"/>
        <v>/0/543</v>
      </c>
      <c r="AP119">
        <f>IF(TIM!O119=TIM!O119,TIM!O119,"")</f>
        <v>0</v>
      </c>
      <c r="AQ119" t="str">
        <f t="shared" si="33"/>
        <v/>
      </c>
      <c r="AR119" t="str">
        <f t="shared" si="34"/>
        <v>0</v>
      </c>
      <c r="AS119" t="str">
        <f t="shared" si="35"/>
        <v>0</v>
      </c>
      <c r="AT119">
        <f t="shared" si="36"/>
        <v>543</v>
      </c>
      <c r="AU119" t="str">
        <f t="shared" si="37"/>
        <v>/0/543</v>
      </c>
    </row>
    <row r="120" spans="2:47">
      <c r="B120" s="11">
        <v>126</v>
      </c>
      <c r="C120" s="14" t="s">
        <v>76</v>
      </c>
      <c r="D120" s="14" t="s">
        <v>591</v>
      </c>
      <c r="E120" s="6"/>
      <c r="F120" s="11">
        <v>142</v>
      </c>
      <c r="G120" s="15" t="s">
        <v>92</v>
      </c>
      <c r="H120" s="15" t="s">
        <v>787</v>
      </c>
      <c r="K120" t="str">
        <f t="shared" si="19"/>
        <v>BENIN</v>
      </c>
      <c r="L120">
        <f t="shared" si="20"/>
        <v>129</v>
      </c>
      <c r="P120" t="str">
        <f t="shared" si="22"/>
        <v/>
      </c>
      <c r="Q120" t="str">
        <f t="shared" si="23"/>
        <v>REPUBLIC OF GUINEA BISSAU</v>
      </c>
      <c r="R120">
        <f t="shared" si="24"/>
        <v>145</v>
      </c>
      <c r="V120" t="str">
        <f>IF(TIM!F120="","",TIM!F120)</f>
        <v/>
      </c>
      <c r="W120" t="str">
        <f t="shared" si="26"/>
        <v/>
      </c>
      <c r="X120">
        <f t="shared" si="27"/>
        <v>0</v>
      </c>
      <c r="AI120">
        <f>IF(TIM!P120=TIM!P120,TIM!P120,"")</f>
        <v>0</v>
      </c>
      <c r="AJ120" t="str">
        <f t="shared" si="28"/>
        <v/>
      </c>
      <c r="AK120" t="str">
        <f t="shared" si="29"/>
        <v>0</v>
      </c>
      <c r="AL120" t="str">
        <f t="shared" si="30"/>
        <v>0</v>
      </c>
      <c r="AM120">
        <f t="shared" si="31"/>
        <v>543</v>
      </c>
      <c r="AN120" t="str">
        <f t="shared" si="32"/>
        <v>/0/543</v>
      </c>
      <c r="AP120">
        <f>IF(TIM!O120=TIM!O120,TIM!O120,"")</f>
        <v>0</v>
      </c>
      <c r="AQ120" t="str">
        <f t="shared" si="33"/>
        <v/>
      </c>
      <c r="AR120" t="str">
        <f t="shared" si="34"/>
        <v>0</v>
      </c>
      <c r="AS120" t="str">
        <f t="shared" si="35"/>
        <v>0</v>
      </c>
      <c r="AT120">
        <f t="shared" si="36"/>
        <v>543</v>
      </c>
      <c r="AU120" t="str">
        <f t="shared" si="37"/>
        <v>/0/543</v>
      </c>
    </row>
    <row r="121" spans="2:47">
      <c r="B121" s="11">
        <v>127</v>
      </c>
      <c r="C121" s="14" t="s">
        <v>77</v>
      </c>
      <c r="D121" s="14" t="s">
        <v>765</v>
      </c>
      <c r="E121" s="6"/>
      <c r="F121" s="11">
        <v>143</v>
      </c>
      <c r="G121" s="15" t="s">
        <v>93</v>
      </c>
      <c r="H121" s="15" t="s">
        <v>794</v>
      </c>
      <c r="K121" t="str">
        <f t="shared" si="19"/>
        <v>BOTSWANA</v>
      </c>
      <c r="L121">
        <f t="shared" si="20"/>
        <v>130</v>
      </c>
      <c r="P121" t="str">
        <f t="shared" si="22"/>
        <v/>
      </c>
      <c r="Q121" t="str">
        <f t="shared" si="23"/>
        <v>KINGDOM OF LESOTHO</v>
      </c>
      <c r="R121">
        <f t="shared" si="24"/>
        <v>146</v>
      </c>
      <c r="V121" t="str">
        <f>IF(TIM!F121="","",TIM!F121)</f>
        <v/>
      </c>
      <c r="W121" t="str">
        <f t="shared" si="26"/>
        <v/>
      </c>
      <c r="X121">
        <f t="shared" si="27"/>
        <v>0</v>
      </c>
      <c r="AI121">
        <f>IF(TIM!P121=TIM!P121,TIM!P121,"")</f>
        <v>0</v>
      </c>
      <c r="AJ121" t="str">
        <f t="shared" si="28"/>
        <v/>
      </c>
      <c r="AK121" t="str">
        <f t="shared" si="29"/>
        <v>0</v>
      </c>
      <c r="AL121" t="str">
        <f t="shared" si="30"/>
        <v>0</v>
      </c>
      <c r="AM121">
        <f t="shared" si="31"/>
        <v>543</v>
      </c>
      <c r="AN121" t="str">
        <f t="shared" si="32"/>
        <v>/0/543</v>
      </c>
      <c r="AP121">
        <f>IF(TIM!O121=TIM!O121,TIM!O121,"")</f>
        <v>0</v>
      </c>
      <c r="AQ121" t="str">
        <f t="shared" si="33"/>
        <v/>
      </c>
      <c r="AR121" t="str">
        <f t="shared" si="34"/>
        <v>0</v>
      </c>
      <c r="AS121" t="str">
        <f t="shared" si="35"/>
        <v>0</v>
      </c>
      <c r="AT121">
        <f t="shared" si="36"/>
        <v>543</v>
      </c>
      <c r="AU121" t="str">
        <f t="shared" si="37"/>
        <v>/0/543</v>
      </c>
    </row>
    <row r="122" spans="2:47">
      <c r="B122" s="11">
        <v>128</v>
      </c>
      <c r="C122" s="14" t="s">
        <v>78</v>
      </c>
      <c r="D122" s="14" t="s">
        <v>760</v>
      </c>
      <c r="E122" s="6"/>
      <c r="F122" s="11">
        <v>144</v>
      </c>
      <c r="G122" s="15" t="s">
        <v>94</v>
      </c>
      <c r="H122" s="15" t="s">
        <v>786</v>
      </c>
      <c r="K122" t="str">
        <f t="shared" si="19"/>
        <v>BURKINA FASO</v>
      </c>
      <c r="L122">
        <f t="shared" si="20"/>
        <v>131</v>
      </c>
      <c r="P122" t="str">
        <f t="shared" si="22"/>
        <v/>
      </c>
      <c r="Q122" t="str">
        <f t="shared" si="23"/>
        <v>REPUBLIC OF LIBERIA</v>
      </c>
      <c r="R122">
        <f t="shared" si="24"/>
        <v>147</v>
      </c>
      <c r="V122" t="str">
        <f>IF(TIM!F122="","",TIM!F122)</f>
        <v/>
      </c>
      <c r="W122" t="str">
        <f t="shared" si="26"/>
        <v/>
      </c>
      <c r="X122">
        <f t="shared" si="27"/>
        <v>0</v>
      </c>
      <c r="AI122">
        <f>IF(TIM!P122=TIM!P122,TIM!P122,"")</f>
        <v>0</v>
      </c>
      <c r="AJ122" t="str">
        <f t="shared" si="28"/>
        <v/>
      </c>
      <c r="AK122" t="str">
        <f t="shared" si="29"/>
        <v>0</v>
      </c>
      <c r="AL122" t="str">
        <f t="shared" si="30"/>
        <v>0</v>
      </c>
      <c r="AM122">
        <f t="shared" si="31"/>
        <v>543</v>
      </c>
      <c r="AN122" t="str">
        <f t="shared" si="32"/>
        <v>/0/543</v>
      </c>
      <c r="AP122">
        <f>IF(TIM!O122=TIM!O122,TIM!O122,"")</f>
        <v>0</v>
      </c>
      <c r="AQ122" t="str">
        <f t="shared" si="33"/>
        <v/>
      </c>
      <c r="AR122" t="str">
        <f t="shared" si="34"/>
        <v>0</v>
      </c>
      <c r="AS122" t="str">
        <f t="shared" si="35"/>
        <v>0</v>
      </c>
      <c r="AT122">
        <f t="shared" si="36"/>
        <v>543</v>
      </c>
      <c r="AU122" t="str">
        <f t="shared" si="37"/>
        <v>/0/543</v>
      </c>
    </row>
    <row r="123" spans="2:47">
      <c r="B123" s="11">
        <v>129</v>
      </c>
      <c r="C123" s="14" t="s">
        <v>79</v>
      </c>
      <c r="D123" s="14" t="s">
        <v>604</v>
      </c>
      <c r="E123" s="6"/>
      <c r="F123" s="11">
        <v>145</v>
      </c>
      <c r="G123" s="15" t="s">
        <v>790</v>
      </c>
      <c r="H123" s="15" t="s">
        <v>791</v>
      </c>
      <c r="K123" t="str">
        <f t="shared" si="19"/>
        <v>BURUNDI</v>
      </c>
      <c r="L123">
        <f t="shared" si="20"/>
        <v>132</v>
      </c>
      <c r="P123" t="str">
        <f t="shared" si="22"/>
        <v/>
      </c>
      <c r="Q123" t="str">
        <f t="shared" si="23"/>
        <v>THE GREAT SOCIALIST PEOPLE'S LIBYAN ARAB JAMAHIR</v>
      </c>
      <c r="R123">
        <f t="shared" si="24"/>
        <v>148</v>
      </c>
      <c r="V123" t="str">
        <f>IF(TIM!F123="","",TIM!F123)</f>
        <v/>
      </c>
      <c r="W123" t="str">
        <f t="shared" si="26"/>
        <v/>
      </c>
      <c r="X123">
        <f t="shared" si="27"/>
        <v>0</v>
      </c>
      <c r="AI123">
        <f>IF(TIM!P123=TIM!P123,TIM!P123,"")</f>
        <v>0</v>
      </c>
      <c r="AJ123" t="str">
        <f t="shared" si="28"/>
        <v/>
      </c>
      <c r="AK123" t="str">
        <f t="shared" si="29"/>
        <v>0</v>
      </c>
      <c r="AL123" t="str">
        <f t="shared" si="30"/>
        <v>0</v>
      </c>
      <c r="AM123">
        <f t="shared" si="31"/>
        <v>543</v>
      </c>
      <c r="AN123" t="str">
        <f t="shared" si="32"/>
        <v>/0/543</v>
      </c>
      <c r="AP123">
        <f>IF(TIM!O123=TIM!O123,TIM!O123,"")</f>
        <v>0</v>
      </c>
      <c r="AQ123" t="str">
        <f t="shared" si="33"/>
        <v/>
      </c>
      <c r="AR123" t="str">
        <f t="shared" si="34"/>
        <v>0</v>
      </c>
      <c r="AS123" t="str">
        <f t="shared" si="35"/>
        <v>0</v>
      </c>
      <c r="AT123">
        <f t="shared" si="36"/>
        <v>543</v>
      </c>
      <c r="AU123" t="str">
        <f t="shared" si="37"/>
        <v>/0/543</v>
      </c>
    </row>
    <row r="124" spans="2:47">
      <c r="B124" s="11">
        <v>130</v>
      </c>
      <c r="C124" s="14" t="s">
        <v>80</v>
      </c>
      <c r="D124" s="14" t="s">
        <v>594</v>
      </c>
      <c r="E124" s="6"/>
      <c r="F124" s="11">
        <v>146</v>
      </c>
      <c r="G124" s="15" t="s">
        <v>96</v>
      </c>
      <c r="H124" s="15" t="s">
        <v>920</v>
      </c>
      <c r="K124" t="str">
        <f t="shared" si="19"/>
        <v>CAMEROON</v>
      </c>
      <c r="L124">
        <f t="shared" si="20"/>
        <v>133</v>
      </c>
      <c r="P124" t="str">
        <f t="shared" si="22"/>
        <v/>
      </c>
      <c r="Q124" t="str">
        <f t="shared" si="23"/>
        <v>REPUBLIC OF MADAGASCAR</v>
      </c>
      <c r="R124">
        <f t="shared" si="24"/>
        <v>149</v>
      </c>
      <c r="V124" t="str">
        <f>IF(TIM!F124="","",TIM!F124)</f>
        <v/>
      </c>
      <c r="W124" t="str">
        <f t="shared" si="26"/>
        <v/>
      </c>
      <c r="X124">
        <f t="shared" si="27"/>
        <v>0</v>
      </c>
      <c r="AI124">
        <f>IF(TIM!P124=TIM!P124,TIM!P124,"")</f>
        <v>0</v>
      </c>
      <c r="AJ124" t="str">
        <f t="shared" si="28"/>
        <v/>
      </c>
      <c r="AK124" t="str">
        <f t="shared" si="29"/>
        <v>0</v>
      </c>
      <c r="AL124" t="str">
        <f t="shared" si="30"/>
        <v>0</v>
      </c>
      <c r="AM124">
        <f t="shared" si="31"/>
        <v>543</v>
      </c>
      <c r="AN124" t="str">
        <f t="shared" si="32"/>
        <v>/0/543</v>
      </c>
      <c r="AP124">
        <f>IF(TIM!O124=TIM!O124,TIM!O124,"")</f>
        <v>0</v>
      </c>
      <c r="AQ124" t="str">
        <f t="shared" si="33"/>
        <v/>
      </c>
      <c r="AR124" t="str">
        <f t="shared" si="34"/>
        <v>0</v>
      </c>
      <c r="AS124" t="str">
        <f t="shared" si="35"/>
        <v>0</v>
      </c>
      <c r="AT124">
        <f t="shared" si="36"/>
        <v>543</v>
      </c>
      <c r="AU124" t="str">
        <f t="shared" si="37"/>
        <v>/0/543</v>
      </c>
    </row>
    <row r="125" spans="2:47">
      <c r="B125" s="11">
        <v>131</v>
      </c>
      <c r="C125" s="14" t="s">
        <v>81</v>
      </c>
      <c r="D125" s="14" t="s">
        <v>603</v>
      </c>
      <c r="E125" s="6"/>
      <c r="F125" s="11">
        <v>147</v>
      </c>
      <c r="G125" s="15" t="s">
        <v>97</v>
      </c>
      <c r="H125" s="15" t="s">
        <v>922</v>
      </c>
      <c r="K125" t="str">
        <f t="shared" si="19"/>
        <v>CAPE VERDE</v>
      </c>
      <c r="L125">
        <f t="shared" si="20"/>
        <v>134</v>
      </c>
      <c r="P125" t="str">
        <f t="shared" si="22"/>
        <v/>
      </c>
      <c r="Q125" t="str">
        <f t="shared" si="23"/>
        <v>REPUBLIC OF MALAWI</v>
      </c>
      <c r="R125">
        <f t="shared" si="24"/>
        <v>150</v>
      </c>
      <c r="V125" t="str">
        <f>IF(TIM!F125="","",TIM!F125)</f>
        <v/>
      </c>
      <c r="W125" t="str">
        <f t="shared" si="26"/>
        <v/>
      </c>
      <c r="X125">
        <f t="shared" si="27"/>
        <v>0</v>
      </c>
      <c r="AI125">
        <f>IF(TIM!P125=TIM!P125,TIM!P125,"")</f>
        <v>0</v>
      </c>
      <c r="AJ125" t="str">
        <f t="shared" si="28"/>
        <v/>
      </c>
      <c r="AK125" t="str">
        <f t="shared" si="29"/>
        <v>0</v>
      </c>
      <c r="AL125" t="str">
        <f t="shared" si="30"/>
        <v>0</v>
      </c>
      <c r="AM125">
        <f t="shared" si="31"/>
        <v>543</v>
      </c>
      <c r="AN125" t="str">
        <f t="shared" si="32"/>
        <v>/0/543</v>
      </c>
      <c r="AP125">
        <f>IF(TIM!O125=TIM!O125,TIM!O125,"")</f>
        <v>0</v>
      </c>
      <c r="AQ125" t="str">
        <f t="shared" si="33"/>
        <v/>
      </c>
      <c r="AR125" t="str">
        <f t="shared" si="34"/>
        <v>0</v>
      </c>
      <c r="AS125" t="str">
        <f t="shared" si="35"/>
        <v>0</v>
      </c>
      <c r="AT125">
        <f t="shared" si="36"/>
        <v>543</v>
      </c>
      <c r="AU125" t="str">
        <f t="shared" si="37"/>
        <v>/0/543</v>
      </c>
    </row>
    <row r="126" spans="2:47">
      <c r="B126" s="11">
        <v>132</v>
      </c>
      <c r="C126" s="14" t="s">
        <v>82</v>
      </c>
      <c r="D126" s="14" t="s">
        <v>602</v>
      </c>
      <c r="E126" s="6"/>
      <c r="F126" s="11">
        <v>148</v>
      </c>
      <c r="G126" s="15" t="s">
        <v>98</v>
      </c>
      <c r="H126" s="15" t="s">
        <v>919</v>
      </c>
      <c r="K126" t="str">
        <f t="shared" si="19"/>
        <v>CENTRAL AFRICAN REPUBLIC</v>
      </c>
      <c r="L126">
        <f t="shared" si="20"/>
        <v>135</v>
      </c>
      <c r="P126" t="str">
        <f t="shared" si="22"/>
        <v/>
      </c>
      <c r="Q126" t="str">
        <f t="shared" si="23"/>
        <v>MALI</v>
      </c>
      <c r="R126">
        <f t="shared" si="24"/>
        <v>151</v>
      </c>
      <c r="V126" t="str">
        <f>IF(TIM!F126="","",TIM!F126)</f>
        <v/>
      </c>
      <c r="W126" t="str">
        <f t="shared" si="26"/>
        <v/>
      </c>
      <c r="X126">
        <f t="shared" si="27"/>
        <v>0</v>
      </c>
      <c r="AI126">
        <f>IF(TIM!P126=TIM!P126,TIM!P126,"")</f>
        <v>0</v>
      </c>
      <c r="AJ126" t="str">
        <f t="shared" si="28"/>
        <v/>
      </c>
      <c r="AK126" t="str">
        <f t="shared" si="29"/>
        <v>0</v>
      </c>
      <c r="AL126" t="str">
        <f t="shared" si="30"/>
        <v>0</v>
      </c>
      <c r="AM126">
        <f t="shared" si="31"/>
        <v>543</v>
      </c>
      <c r="AN126" t="str">
        <f t="shared" si="32"/>
        <v>/0/543</v>
      </c>
      <c r="AP126">
        <f>IF(TIM!O126=TIM!O126,TIM!O126,"")</f>
        <v>0</v>
      </c>
      <c r="AQ126" t="str">
        <f t="shared" si="33"/>
        <v/>
      </c>
      <c r="AR126" t="str">
        <f t="shared" si="34"/>
        <v>0</v>
      </c>
      <c r="AS126" t="str">
        <f t="shared" si="35"/>
        <v>0</v>
      </c>
      <c r="AT126">
        <f t="shared" si="36"/>
        <v>543</v>
      </c>
      <c r="AU126" t="str">
        <f t="shared" si="37"/>
        <v>/0/543</v>
      </c>
    </row>
    <row r="127" spans="2:47">
      <c r="B127" s="11">
        <v>133</v>
      </c>
      <c r="C127" s="14" t="s">
        <v>83</v>
      </c>
      <c r="D127" s="14" t="s">
        <v>505</v>
      </c>
      <c r="E127" s="6"/>
      <c r="F127" s="11">
        <v>149</v>
      </c>
      <c r="G127" s="15" t="s">
        <v>895</v>
      </c>
      <c r="H127" s="15" t="s">
        <v>896</v>
      </c>
      <c r="K127" t="str">
        <f t="shared" si="19"/>
        <v>CHAD</v>
      </c>
      <c r="L127">
        <f t="shared" si="20"/>
        <v>136</v>
      </c>
      <c r="P127" t="str">
        <f t="shared" si="22"/>
        <v/>
      </c>
      <c r="Q127" t="str">
        <f t="shared" si="23"/>
        <v>ISLAMIC REPUBLIC OF MAURITANIA</v>
      </c>
      <c r="R127">
        <f t="shared" si="24"/>
        <v>152</v>
      </c>
      <c r="V127" t="str">
        <f>IF(TIM!F127="","",TIM!F127)</f>
        <v/>
      </c>
      <c r="W127" t="str">
        <f t="shared" si="26"/>
        <v/>
      </c>
      <c r="X127">
        <f t="shared" si="27"/>
        <v>0</v>
      </c>
      <c r="AI127">
        <f>IF(TIM!P127=TIM!P127,TIM!P127,"")</f>
        <v>0</v>
      </c>
      <c r="AJ127" t="str">
        <f t="shared" si="28"/>
        <v/>
      </c>
      <c r="AK127" t="str">
        <f t="shared" si="29"/>
        <v>0</v>
      </c>
      <c r="AL127" t="str">
        <f t="shared" si="30"/>
        <v>0</v>
      </c>
      <c r="AM127">
        <f t="shared" si="31"/>
        <v>543</v>
      </c>
      <c r="AN127" t="str">
        <f t="shared" si="32"/>
        <v>/0/543</v>
      </c>
      <c r="AP127">
        <f>IF(TIM!O127=TIM!O127,TIM!O127,"")</f>
        <v>0</v>
      </c>
      <c r="AQ127" t="str">
        <f t="shared" si="33"/>
        <v/>
      </c>
      <c r="AR127" t="str">
        <f t="shared" si="34"/>
        <v>0</v>
      </c>
      <c r="AS127" t="str">
        <f t="shared" si="35"/>
        <v>0</v>
      </c>
      <c r="AT127">
        <f t="shared" si="36"/>
        <v>543</v>
      </c>
      <c r="AU127" t="str">
        <f t="shared" si="37"/>
        <v>/0/543</v>
      </c>
    </row>
    <row r="128" spans="2:47">
      <c r="B128" s="11">
        <v>134</v>
      </c>
      <c r="C128" s="14" t="s">
        <v>84</v>
      </c>
      <c r="D128" s="14" t="s">
        <v>502</v>
      </c>
      <c r="E128" s="6"/>
      <c r="F128" s="11">
        <v>150</v>
      </c>
      <c r="G128" s="15" t="s">
        <v>100</v>
      </c>
      <c r="H128" s="15" t="s">
        <v>897</v>
      </c>
      <c r="K128" t="str">
        <f t="shared" si="19"/>
        <v>COMOROS</v>
      </c>
      <c r="L128">
        <f t="shared" si="20"/>
        <v>137</v>
      </c>
      <c r="P128" t="str">
        <f t="shared" si="22"/>
        <v/>
      </c>
      <c r="Q128" t="str">
        <f t="shared" si="23"/>
        <v>MAURITIUS</v>
      </c>
      <c r="R128">
        <f t="shared" si="24"/>
        <v>153</v>
      </c>
      <c r="V128" t="str">
        <f>IF(TIM!F128="","",TIM!F128)</f>
        <v/>
      </c>
      <c r="W128" t="str">
        <f t="shared" si="26"/>
        <v/>
      </c>
      <c r="X128">
        <f t="shared" si="27"/>
        <v>0</v>
      </c>
      <c r="AI128">
        <f>IF(TIM!P128=TIM!P128,TIM!P128,"")</f>
        <v>0</v>
      </c>
      <c r="AJ128" t="str">
        <f t="shared" si="28"/>
        <v/>
      </c>
      <c r="AK128" t="str">
        <f t="shared" si="29"/>
        <v>0</v>
      </c>
      <c r="AL128" t="str">
        <f t="shared" si="30"/>
        <v>0</v>
      </c>
      <c r="AM128">
        <f t="shared" si="31"/>
        <v>543</v>
      </c>
      <c r="AN128" t="str">
        <f t="shared" si="32"/>
        <v>/0/543</v>
      </c>
      <c r="AP128">
        <f>IF(TIM!O128=TIM!O128,TIM!O128,"")</f>
        <v>0</v>
      </c>
      <c r="AQ128" t="str">
        <f t="shared" si="33"/>
        <v/>
      </c>
      <c r="AR128" t="str">
        <f t="shared" si="34"/>
        <v>0</v>
      </c>
      <c r="AS128" t="str">
        <f t="shared" si="35"/>
        <v>0</v>
      </c>
      <c r="AT128">
        <f t="shared" si="36"/>
        <v>543</v>
      </c>
      <c r="AU128" t="str">
        <f t="shared" si="37"/>
        <v>/0/543</v>
      </c>
    </row>
    <row r="129" spans="2:47">
      <c r="B129" s="11">
        <v>135</v>
      </c>
      <c r="C129" s="14" t="s">
        <v>85</v>
      </c>
      <c r="D129" s="14" t="s">
        <v>762</v>
      </c>
      <c r="E129" s="6"/>
      <c r="F129" s="11">
        <v>151</v>
      </c>
      <c r="G129" s="15" t="s">
        <v>101</v>
      </c>
      <c r="H129" s="15" t="s">
        <v>650</v>
      </c>
      <c r="K129" t="str">
        <f t="shared" si="19"/>
        <v>CONGO</v>
      </c>
      <c r="L129">
        <f t="shared" si="20"/>
        <v>138</v>
      </c>
      <c r="P129" t="str">
        <f t="shared" si="22"/>
        <v/>
      </c>
      <c r="Q129" t="str">
        <f t="shared" si="23"/>
        <v>KINGDOM OF MOROCCO</v>
      </c>
      <c r="R129">
        <f t="shared" si="24"/>
        <v>154</v>
      </c>
      <c r="V129" t="str">
        <f>IF(TIM!F129="","",TIM!F129)</f>
        <v/>
      </c>
      <c r="W129" t="str">
        <f t="shared" si="26"/>
        <v/>
      </c>
      <c r="X129">
        <f t="shared" si="27"/>
        <v>0</v>
      </c>
      <c r="AI129">
        <f>IF(TIM!P129=TIM!P129,TIM!P129,"")</f>
        <v>0</v>
      </c>
      <c r="AJ129" t="str">
        <f t="shared" si="28"/>
        <v/>
      </c>
      <c r="AK129" t="str">
        <f t="shared" si="29"/>
        <v>0</v>
      </c>
      <c r="AL129" t="str">
        <f t="shared" si="30"/>
        <v>0</v>
      </c>
      <c r="AM129">
        <f t="shared" si="31"/>
        <v>543</v>
      </c>
      <c r="AN129" t="str">
        <f t="shared" si="32"/>
        <v>/0/543</v>
      </c>
      <c r="AP129">
        <f>IF(TIM!O129=TIM!O129,TIM!O129,"")</f>
        <v>0</v>
      </c>
      <c r="AQ129" t="str">
        <f t="shared" si="33"/>
        <v/>
      </c>
      <c r="AR129" t="str">
        <f t="shared" si="34"/>
        <v>0</v>
      </c>
      <c r="AS129" t="str">
        <f t="shared" si="35"/>
        <v>0</v>
      </c>
      <c r="AT129">
        <f t="shared" si="36"/>
        <v>543</v>
      </c>
      <c r="AU129" t="str">
        <f t="shared" si="37"/>
        <v>/0/543</v>
      </c>
    </row>
    <row r="130" spans="2:47">
      <c r="B130" s="11">
        <v>136</v>
      </c>
      <c r="C130" s="14" t="s">
        <v>86</v>
      </c>
      <c r="D130" s="14" t="s">
        <v>522</v>
      </c>
      <c r="E130" s="6"/>
      <c r="F130" s="11">
        <v>152</v>
      </c>
      <c r="G130" s="15" t="s">
        <v>102</v>
      </c>
      <c r="H130" s="15" t="s">
        <v>889</v>
      </c>
      <c r="K130" t="str">
        <f t="shared" si="19"/>
        <v>IVOIRIENNE</v>
      </c>
      <c r="L130">
        <f t="shared" si="20"/>
        <v>139</v>
      </c>
      <c r="P130" t="str">
        <f t="shared" si="22"/>
        <v/>
      </c>
      <c r="Q130" t="str">
        <f t="shared" si="23"/>
        <v>REPUBLIC OF MOZAMBIQUE</v>
      </c>
      <c r="R130">
        <f t="shared" si="24"/>
        <v>155</v>
      </c>
      <c r="V130" t="str">
        <f>IF(TIM!F130="","",TIM!F130)</f>
        <v/>
      </c>
      <c r="W130" t="str">
        <f t="shared" si="26"/>
        <v/>
      </c>
      <c r="X130">
        <f t="shared" si="27"/>
        <v>0</v>
      </c>
      <c r="AI130">
        <f>IF(TIM!P130=TIM!P130,TIM!P130,"")</f>
        <v>0</v>
      </c>
      <c r="AJ130" t="str">
        <f t="shared" si="28"/>
        <v/>
      </c>
      <c r="AK130" t="str">
        <f t="shared" si="29"/>
        <v>0</v>
      </c>
      <c r="AL130" t="str">
        <f t="shared" si="30"/>
        <v>0</v>
      </c>
      <c r="AM130">
        <f t="shared" si="31"/>
        <v>543</v>
      </c>
      <c r="AN130" t="str">
        <f t="shared" si="32"/>
        <v>/0/543</v>
      </c>
      <c r="AP130">
        <f>IF(TIM!O130=TIM!O130,TIM!O130,"")</f>
        <v>0</v>
      </c>
      <c r="AQ130" t="str">
        <f t="shared" si="33"/>
        <v/>
      </c>
      <c r="AR130" t="str">
        <f t="shared" si="34"/>
        <v>0</v>
      </c>
      <c r="AS130" t="str">
        <f t="shared" si="35"/>
        <v>0</v>
      </c>
      <c r="AT130">
        <f t="shared" si="36"/>
        <v>543</v>
      </c>
      <c r="AU130" t="str">
        <f t="shared" si="37"/>
        <v>/0/543</v>
      </c>
    </row>
    <row r="131" spans="2:47">
      <c r="B131" s="11">
        <v>137</v>
      </c>
      <c r="C131" s="14" t="s">
        <v>87</v>
      </c>
      <c r="D131" s="14" t="s">
        <v>490</v>
      </c>
      <c r="E131" s="6"/>
      <c r="F131" s="11">
        <v>153</v>
      </c>
      <c r="G131" s="15" t="s">
        <v>103</v>
      </c>
      <c r="H131" s="15" t="s">
        <v>642</v>
      </c>
      <c r="K131" t="str">
        <f t="shared" ref="K131:K194" si="39">D134</f>
        <v>DJIBOUTI</v>
      </c>
      <c r="L131">
        <f t="shared" ref="L131:L194" si="40">B134</f>
        <v>140</v>
      </c>
      <c r="P131" t="str">
        <f t="shared" ref="P131:P194" si="41">IF(J131="","",J131)</f>
        <v/>
      </c>
      <c r="Q131" t="str">
        <f t="shared" ref="Q131:Q194" si="42">H134</f>
        <v>REPUBLIC OF NIGER</v>
      </c>
      <c r="R131">
        <f t="shared" ref="R131:R194" si="43">F134</f>
        <v>156</v>
      </c>
      <c r="V131" t="str">
        <f>IF(TIM!F131="","",TIM!F131)</f>
        <v/>
      </c>
      <c r="W131" t="str">
        <f t="shared" ref="W131:W194" si="44">IFERROR(VLOOKUP(V131,$J$2:$N$258,5,FALSE),"")</f>
        <v/>
      </c>
      <c r="X131">
        <f t="shared" ref="X131:X194" si="45">IFERROR(VLOOKUP(V131,$P$2:$T$208,5,FALSE),"")</f>
        <v>0</v>
      </c>
      <c r="AI131">
        <f>IF(TIM!P131=TIM!P131,TIM!P131,"")</f>
        <v>0</v>
      </c>
      <c r="AJ131" t="str">
        <f t="shared" ref="AJ131:AJ194" si="46">MID(AI131,4,2)</f>
        <v/>
      </c>
      <c r="AK131" t="str">
        <f t="shared" ref="AK131:AK194" si="47">LEFT(AI131,2)</f>
        <v>0</v>
      </c>
      <c r="AL131" t="str">
        <f t="shared" ref="AL131:AL194" si="48">RIGHT(AI131,4)</f>
        <v>0</v>
      </c>
      <c r="AM131">
        <f t="shared" ref="AM131:AM194" si="49">AL131+543</f>
        <v>543</v>
      </c>
      <c r="AN131" t="str">
        <f t="shared" ref="AN131:AN194" si="50">AJ131&amp;"/"&amp;AK131&amp;"/"&amp;AM131</f>
        <v>/0/543</v>
      </c>
      <c r="AP131">
        <f>IF(TIM!O131=TIM!O131,TIM!O131,"")</f>
        <v>0</v>
      </c>
      <c r="AQ131" t="str">
        <f t="shared" ref="AQ131:AQ194" si="51">MID(AP131,4,2)</f>
        <v/>
      </c>
      <c r="AR131" t="str">
        <f t="shared" ref="AR131:AR194" si="52">LEFT(AP131,2)</f>
        <v>0</v>
      </c>
      <c r="AS131" t="str">
        <f t="shared" ref="AS131:AS194" si="53">RIGHT(AP131,4)</f>
        <v>0</v>
      </c>
      <c r="AT131">
        <f t="shared" ref="AT131:AT194" si="54">AS131+543</f>
        <v>543</v>
      </c>
      <c r="AU131" t="str">
        <f t="shared" ref="AU131:AU194" si="55">AQ131&amp;"/"&amp;AR131&amp;"/"&amp;AT131</f>
        <v>/0/543</v>
      </c>
    </row>
    <row r="132" spans="2:47">
      <c r="B132" s="11">
        <v>138</v>
      </c>
      <c r="C132" s="14" t="s">
        <v>88</v>
      </c>
      <c r="D132" s="14" t="s">
        <v>487</v>
      </c>
      <c r="E132" s="6"/>
      <c r="F132" s="11">
        <v>154</v>
      </c>
      <c r="G132" s="15" t="s">
        <v>104</v>
      </c>
      <c r="H132" s="15" t="s">
        <v>903</v>
      </c>
      <c r="K132" t="str">
        <f t="shared" si="39"/>
        <v>EQUATORIAL GUINEA</v>
      </c>
      <c r="L132">
        <f t="shared" si="40"/>
        <v>141</v>
      </c>
      <c r="P132" t="str">
        <f t="shared" si="41"/>
        <v/>
      </c>
      <c r="Q132" t="str">
        <f t="shared" si="42"/>
        <v>REPUBLIC OF RWANDA</v>
      </c>
      <c r="R132">
        <f t="shared" si="43"/>
        <v>157</v>
      </c>
      <c r="V132" t="str">
        <f>IF(TIM!F132="","",TIM!F132)</f>
        <v/>
      </c>
      <c r="W132" t="str">
        <f t="shared" si="44"/>
        <v/>
      </c>
      <c r="X132">
        <f t="shared" si="45"/>
        <v>0</v>
      </c>
      <c r="AI132">
        <f>IF(TIM!P132=TIM!P132,TIM!P132,"")</f>
        <v>0</v>
      </c>
      <c r="AJ132" t="str">
        <f t="shared" si="46"/>
        <v/>
      </c>
      <c r="AK132" t="str">
        <f t="shared" si="47"/>
        <v>0</v>
      </c>
      <c r="AL132" t="str">
        <f t="shared" si="48"/>
        <v>0</v>
      </c>
      <c r="AM132">
        <f t="shared" si="49"/>
        <v>543</v>
      </c>
      <c r="AN132" t="str">
        <f t="shared" si="50"/>
        <v>/0/543</v>
      </c>
      <c r="AP132">
        <f>IF(TIM!O132=TIM!O132,TIM!O132,"")</f>
        <v>0</v>
      </c>
      <c r="AQ132" t="str">
        <f t="shared" si="51"/>
        <v/>
      </c>
      <c r="AR132" t="str">
        <f t="shared" si="52"/>
        <v>0</v>
      </c>
      <c r="AS132" t="str">
        <f t="shared" si="53"/>
        <v>0</v>
      </c>
      <c r="AT132">
        <f t="shared" si="54"/>
        <v>543</v>
      </c>
      <c r="AU132" t="str">
        <f t="shared" si="55"/>
        <v>/0/543</v>
      </c>
    </row>
    <row r="133" spans="2:47">
      <c r="B133" s="11">
        <v>139</v>
      </c>
      <c r="C133" s="14" t="s">
        <v>89</v>
      </c>
      <c r="D133" s="14" t="s">
        <v>772</v>
      </c>
      <c r="E133" s="6"/>
      <c r="F133" s="11">
        <v>155</v>
      </c>
      <c r="G133" s="15" t="s">
        <v>963</v>
      </c>
      <c r="H133" s="15" t="s">
        <v>964</v>
      </c>
      <c r="K133" t="str">
        <f t="shared" si="39"/>
        <v>GABON</v>
      </c>
      <c r="L133">
        <f t="shared" si="40"/>
        <v>142</v>
      </c>
      <c r="P133" t="str">
        <f t="shared" si="41"/>
        <v/>
      </c>
      <c r="Q133" t="str">
        <f t="shared" si="42"/>
        <v>DEMOCRATIC REPUBLIC OF SAO TOME AND PRINCIPE</v>
      </c>
      <c r="R133">
        <f t="shared" si="43"/>
        <v>158</v>
      </c>
      <c r="V133" t="str">
        <f>IF(TIM!F133="","",TIM!F133)</f>
        <v/>
      </c>
      <c r="W133" t="str">
        <f t="shared" si="44"/>
        <v/>
      </c>
      <c r="X133">
        <f t="shared" si="45"/>
        <v>0</v>
      </c>
      <c r="AI133">
        <f>IF(TIM!P133=TIM!P133,TIM!P133,"")</f>
        <v>0</v>
      </c>
      <c r="AJ133" t="str">
        <f t="shared" si="46"/>
        <v/>
      </c>
      <c r="AK133" t="str">
        <f t="shared" si="47"/>
        <v>0</v>
      </c>
      <c r="AL133" t="str">
        <f t="shared" si="48"/>
        <v>0</v>
      </c>
      <c r="AM133">
        <f t="shared" si="49"/>
        <v>543</v>
      </c>
      <c r="AN133" t="str">
        <f t="shared" si="50"/>
        <v>/0/543</v>
      </c>
      <c r="AP133">
        <f>IF(TIM!O133=TIM!O133,TIM!O133,"")</f>
        <v>0</v>
      </c>
      <c r="AQ133" t="str">
        <f t="shared" si="51"/>
        <v/>
      </c>
      <c r="AR133" t="str">
        <f t="shared" si="52"/>
        <v>0</v>
      </c>
      <c r="AS133" t="str">
        <f t="shared" si="53"/>
        <v>0</v>
      </c>
      <c r="AT133">
        <f t="shared" si="54"/>
        <v>543</v>
      </c>
      <c r="AU133" t="str">
        <f t="shared" si="55"/>
        <v>/0/543</v>
      </c>
    </row>
    <row r="134" spans="2:47">
      <c r="B134" s="11">
        <v>140</v>
      </c>
      <c r="C134" s="14" t="s">
        <v>90</v>
      </c>
      <c r="D134" s="14" t="s">
        <v>512</v>
      </c>
      <c r="E134" s="6"/>
      <c r="F134" s="11">
        <v>156</v>
      </c>
      <c r="G134" s="15" t="s">
        <v>106</v>
      </c>
      <c r="H134" s="15" t="s">
        <v>859</v>
      </c>
      <c r="K134" t="str">
        <f t="shared" si="39"/>
        <v>GAMBIA</v>
      </c>
      <c r="L134">
        <f t="shared" si="40"/>
        <v>143</v>
      </c>
      <c r="P134" t="str">
        <f t="shared" si="41"/>
        <v/>
      </c>
      <c r="Q134" t="str">
        <f t="shared" si="42"/>
        <v>REPUBLIC OF SENEGAL</v>
      </c>
      <c r="R134">
        <f t="shared" si="43"/>
        <v>159</v>
      </c>
      <c r="V134" t="str">
        <f>IF(TIM!F134="","",TIM!F134)</f>
        <v/>
      </c>
      <c r="W134" t="str">
        <f t="shared" si="44"/>
        <v/>
      </c>
      <c r="X134">
        <f t="shared" si="45"/>
        <v>0</v>
      </c>
      <c r="AI134">
        <f>IF(TIM!P134=TIM!P134,TIM!P134,"")</f>
        <v>0</v>
      </c>
      <c r="AJ134" t="str">
        <f t="shared" si="46"/>
        <v/>
      </c>
      <c r="AK134" t="str">
        <f t="shared" si="47"/>
        <v>0</v>
      </c>
      <c r="AL134" t="str">
        <f t="shared" si="48"/>
        <v>0</v>
      </c>
      <c r="AM134">
        <f t="shared" si="49"/>
        <v>543</v>
      </c>
      <c r="AN134" t="str">
        <f t="shared" si="50"/>
        <v>/0/543</v>
      </c>
      <c r="AP134">
        <f>IF(TIM!O134=TIM!O134,TIM!O134,"")</f>
        <v>0</v>
      </c>
      <c r="AQ134" t="str">
        <f t="shared" si="51"/>
        <v/>
      </c>
      <c r="AR134" t="str">
        <f t="shared" si="52"/>
        <v>0</v>
      </c>
      <c r="AS134" t="str">
        <f t="shared" si="53"/>
        <v>0</v>
      </c>
      <c r="AT134">
        <f t="shared" si="54"/>
        <v>543</v>
      </c>
      <c r="AU134" t="str">
        <f t="shared" si="55"/>
        <v>/0/543</v>
      </c>
    </row>
    <row r="135" spans="2:47">
      <c r="B135" s="11">
        <v>141</v>
      </c>
      <c r="C135" s="14" t="s">
        <v>91</v>
      </c>
      <c r="D135" s="14" t="s">
        <v>736</v>
      </c>
      <c r="E135" s="6"/>
      <c r="F135" s="11">
        <v>157</v>
      </c>
      <c r="G135" s="15" t="s">
        <v>107</v>
      </c>
      <c r="H135" s="15" t="s">
        <v>911</v>
      </c>
      <c r="K135" t="str">
        <f t="shared" si="39"/>
        <v>GHANA</v>
      </c>
      <c r="L135">
        <f t="shared" si="40"/>
        <v>144</v>
      </c>
      <c r="P135" t="str">
        <f t="shared" si="41"/>
        <v/>
      </c>
      <c r="Q135" t="str">
        <f t="shared" si="42"/>
        <v>REPUBLIC OF SEYCHELLES</v>
      </c>
      <c r="R135">
        <f t="shared" si="43"/>
        <v>160</v>
      </c>
      <c r="V135" t="str">
        <f>IF(TIM!F135="","",TIM!F135)</f>
        <v/>
      </c>
      <c r="W135" t="str">
        <f t="shared" si="44"/>
        <v/>
      </c>
      <c r="X135">
        <f t="shared" si="45"/>
        <v>0</v>
      </c>
      <c r="AI135">
        <f>IF(TIM!P135=TIM!P135,TIM!P135,"")</f>
        <v>0</v>
      </c>
      <c r="AJ135" t="str">
        <f t="shared" si="46"/>
        <v/>
      </c>
      <c r="AK135" t="str">
        <f t="shared" si="47"/>
        <v>0</v>
      </c>
      <c r="AL135" t="str">
        <f t="shared" si="48"/>
        <v>0</v>
      </c>
      <c r="AM135">
        <f t="shared" si="49"/>
        <v>543</v>
      </c>
      <c r="AN135" t="str">
        <f t="shared" si="50"/>
        <v>/0/543</v>
      </c>
      <c r="AP135">
        <f>IF(TIM!O135=TIM!O135,TIM!O135,"")</f>
        <v>0</v>
      </c>
      <c r="AQ135" t="str">
        <f t="shared" si="51"/>
        <v/>
      </c>
      <c r="AR135" t="str">
        <f t="shared" si="52"/>
        <v>0</v>
      </c>
      <c r="AS135" t="str">
        <f t="shared" si="53"/>
        <v>0</v>
      </c>
      <c r="AT135">
        <f t="shared" si="54"/>
        <v>543</v>
      </c>
      <c r="AU135" t="str">
        <f t="shared" si="55"/>
        <v>/0/543</v>
      </c>
    </row>
    <row r="136" spans="2:47">
      <c r="B136" s="11">
        <v>142</v>
      </c>
      <c r="C136" s="14" t="s">
        <v>92</v>
      </c>
      <c r="D136" s="14" t="s">
        <v>475</v>
      </c>
      <c r="E136" s="6"/>
      <c r="F136" s="11">
        <v>158</v>
      </c>
      <c r="G136" s="15" t="s">
        <v>108</v>
      </c>
      <c r="H136" s="15" t="s">
        <v>830</v>
      </c>
      <c r="K136" t="str">
        <f t="shared" si="39"/>
        <v>GUINEA BISSAU</v>
      </c>
      <c r="L136">
        <f t="shared" si="40"/>
        <v>145</v>
      </c>
      <c r="P136" t="str">
        <f t="shared" si="41"/>
        <v/>
      </c>
      <c r="Q136" t="str">
        <f t="shared" si="42"/>
        <v>REPUBLIC OF SIERRA LEONE</v>
      </c>
      <c r="R136">
        <f t="shared" si="43"/>
        <v>161</v>
      </c>
      <c r="V136" t="str">
        <f>IF(TIM!F136="","",TIM!F136)</f>
        <v/>
      </c>
      <c r="W136" t="str">
        <f t="shared" si="44"/>
        <v/>
      </c>
      <c r="X136">
        <f t="shared" si="45"/>
        <v>0</v>
      </c>
      <c r="AI136">
        <f>IF(TIM!P136=TIM!P136,TIM!P136,"")</f>
        <v>0</v>
      </c>
      <c r="AJ136" t="str">
        <f t="shared" si="46"/>
        <v/>
      </c>
      <c r="AK136" t="str">
        <f t="shared" si="47"/>
        <v>0</v>
      </c>
      <c r="AL136" t="str">
        <f t="shared" si="48"/>
        <v>0</v>
      </c>
      <c r="AM136">
        <f t="shared" si="49"/>
        <v>543</v>
      </c>
      <c r="AN136" t="str">
        <f t="shared" si="50"/>
        <v>/0/543</v>
      </c>
      <c r="AP136">
        <f>IF(TIM!O136=TIM!O136,TIM!O136,"")</f>
        <v>0</v>
      </c>
      <c r="AQ136" t="str">
        <f t="shared" si="51"/>
        <v/>
      </c>
      <c r="AR136" t="str">
        <f t="shared" si="52"/>
        <v>0</v>
      </c>
      <c r="AS136" t="str">
        <f t="shared" si="53"/>
        <v>0</v>
      </c>
      <c r="AT136">
        <f t="shared" si="54"/>
        <v>543</v>
      </c>
      <c r="AU136" t="str">
        <f t="shared" si="55"/>
        <v>/0/543</v>
      </c>
    </row>
    <row r="137" spans="2:47">
      <c r="B137" s="11">
        <v>143</v>
      </c>
      <c r="C137" s="14" t="s">
        <v>93</v>
      </c>
      <c r="D137" s="14" t="s">
        <v>485</v>
      </c>
      <c r="E137" s="6"/>
      <c r="F137" s="11">
        <v>159</v>
      </c>
      <c r="G137" s="15" t="s">
        <v>109</v>
      </c>
      <c r="H137" s="15" t="s">
        <v>827</v>
      </c>
      <c r="K137" t="str">
        <f t="shared" si="39"/>
        <v>LESOTHO</v>
      </c>
      <c r="L137">
        <f t="shared" si="40"/>
        <v>146</v>
      </c>
      <c r="P137" t="str">
        <f t="shared" si="41"/>
        <v/>
      </c>
      <c r="Q137" t="str">
        <f t="shared" si="42"/>
        <v>SOMALI EDMOCRATIC REPUBLIC</v>
      </c>
      <c r="R137">
        <f t="shared" si="43"/>
        <v>162</v>
      </c>
      <c r="V137" t="str">
        <f>IF(TIM!F137="","",TIM!F137)</f>
        <v/>
      </c>
      <c r="W137" t="str">
        <f t="shared" si="44"/>
        <v/>
      </c>
      <c r="X137">
        <f t="shared" si="45"/>
        <v>0</v>
      </c>
      <c r="AI137">
        <f>IF(TIM!P137=TIM!P137,TIM!P137,"")</f>
        <v>0</v>
      </c>
      <c r="AJ137" t="str">
        <f t="shared" si="46"/>
        <v/>
      </c>
      <c r="AK137" t="str">
        <f t="shared" si="47"/>
        <v>0</v>
      </c>
      <c r="AL137" t="str">
        <f t="shared" si="48"/>
        <v>0</v>
      </c>
      <c r="AM137">
        <f t="shared" si="49"/>
        <v>543</v>
      </c>
      <c r="AN137" t="str">
        <f t="shared" si="50"/>
        <v>/0/543</v>
      </c>
      <c r="AP137">
        <f>IF(TIM!O137=TIM!O137,TIM!O137,"")</f>
        <v>0</v>
      </c>
      <c r="AQ137" t="str">
        <f t="shared" si="51"/>
        <v/>
      </c>
      <c r="AR137" t="str">
        <f t="shared" si="52"/>
        <v>0</v>
      </c>
      <c r="AS137" t="str">
        <f t="shared" si="53"/>
        <v>0</v>
      </c>
      <c r="AT137">
        <f t="shared" si="54"/>
        <v>543</v>
      </c>
      <c r="AU137" t="str">
        <f t="shared" si="55"/>
        <v>/0/543</v>
      </c>
    </row>
    <row r="138" spans="2:47">
      <c r="B138" s="11">
        <v>144</v>
      </c>
      <c r="C138" s="14" t="s">
        <v>94</v>
      </c>
      <c r="D138" s="14" t="s">
        <v>474</v>
      </c>
      <c r="E138" s="6"/>
      <c r="F138" s="11">
        <v>160</v>
      </c>
      <c r="G138" s="15" t="s">
        <v>110</v>
      </c>
      <c r="H138" s="15" t="s">
        <v>825</v>
      </c>
      <c r="K138" t="str">
        <f t="shared" si="39"/>
        <v>LIBERIA</v>
      </c>
      <c r="L138">
        <f t="shared" si="40"/>
        <v>147</v>
      </c>
      <c r="P138" t="str">
        <f t="shared" si="41"/>
        <v/>
      </c>
      <c r="Q138" t="str">
        <f t="shared" si="42"/>
        <v>REPUBLIC OF THE SUDAN</v>
      </c>
      <c r="R138">
        <f t="shared" si="43"/>
        <v>163</v>
      </c>
      <c r="V138" t="str">
        <f>IF(TIM!F138="","",TIM!F138)</f>
        <v/>
      </c>
      <c r="W138" t="str">
        <f t="shared" si="44"/>
        <v/>
      </c>
      <c r="X138">
        <f t="shared" si="45"/>
        <v>0</v>
      </c>
      <c r="AI138">
        <f>IF(TIM!P138=TIM!P138,TIM!P138,"")</f>
        <v>0</v>
      </c>
      <c r="AJ138" t="str">
        <f t="shared" si="46"/>
        <v/>
      </c>
      <c r="AK138" t="str">
        <f t="shared" si="47"/>
        <v>0</v>
      </c>
      <c r="AL138" t="str">
        <f t="shared" si="48"/>
        <v>0</v>
      </c>
      <c r="AM138">
        <f t="shared" si="49"/>
        <v>543</v>
      </c>
      <c r="AN138" t="str">
        <f t="shared" si="50"/>
        <v>/0/543</v>
      </c>
      <c r="AP138">
        <f>IF(TIM!O138=TIM!O138,TIM!O138,"")</f>
        <v>0</v>
      </c>
      <c r="AQ138" t="str">
        <f t="shared" si="51"/>
        <v/>
      </c>
      <c r="AR138" t="str">
        <f t="shared" si="52"/>
        <v>0</v>
      </c>
      <c r="AS138" t="str">
        <f t="shared" si="53"/>
        <v>0</v>
      </c>
      <c r="AT138">
        <f t="shared" si="54"/>
        <v>543</v>
      </c>
      <c r="AU138" t="str">
        <f t="shared" si="55"/>
        <v>/0/543</v>
      </c>
    </row>
    <row r="139" spans="2:47">
      <c r="B139" s="11">
        <v>145</v>
      </c>
      <c r="C139" s="14" t="s">
        <v>95</v>
      </c>
      <c r="D139" s="14" t="s">
        <v>480</v>
      </c>
      <c r="E139" s="6"/>
      <c r="F139" s="11">
        <v>161</v>
      </c>
      <c r="G139" s="15" t="s">
        <v>111</v>
      </c>
      <c r="H139" s="15" t="s">
        <v>831</v>
      </c>
      <c r="K139" t="str">
        <f t="shared" si="39"/>
        <v>Libya</v>
      </c>
      <c r="L139">
        <f t="shared" si="40"/>
        <v>148</v>
      </c>
      <c r="P139" t="str">
        <f t="shared" si="41"/>
        <v/>
      </c>
      <c r="Q139" t="str">
        <f t="shared" si="42"/>
        <v>KINGDOM OF SWAZILAND</v>
      </c>
      <c r="R139">
        <f t="shared" si="43"/>
        <v>164</v>
      </c>
      <c r="V139" t="str">
        <f>IF(TIM!F139="","",TIM!F139)</f>
        <v/>
      </c>
      <c r="W139" t="str">
        <f t="shared" si="44"/>
        <v/>
      </c>
      <c r="X139">
        <f t="shared" si="45"/>
        <v>0</v>
      </c>
      <c r="AI139">
        <f>IF(TIM!P139=TIM!P139,TIM!P139,"")</f>
        <v>0</v>
      </c>
      <c r="AJ139" t="str">
        <f t="shared" si="46"/>
        <v/>
      </c>
      <c r="AK139" t="str">
        <f t="shared" si="47"/>
        <v>0</v>
      </c>
      <c r="AL139" t="str">
        <f t="shared" si="48"/>
        <v>0</v>
      </c>
      <c r="AM139">
        <f t="shared" si="49"/>
        <v>543</v>
      </c>
      <c r="AN139" t="str">
        <f t="shared" si="50"/>
        <v>/0/543</v>
      </c>
      <c r="AP139">
        <f>IF(TIM!O139=TIM!O139,TIM!O139,"")</f>
        <v>0</v>
      </c>
      <c r="AQ139" t="str">
        <f t="shared" si="51"/>
        <v/>
      </c>
      <c r="AR139" t="str">
        <f t="shared" si="52"/>
        <v>0</v>
      </c>
      <c r="AS139" t="str">
        <f t="shared" si="53"/>
        <v>0</v>
      </c>
      <c r="AT139">
        <f t="shared" si="54"/>
        <v>543</v>
      </c>
      <c r="AU139" t="str">
        <f t="shared" si="55"/>
        <v>/0/543</v>
      </c>
    </row>
    <row r="140" spans="2:47">
      <c r="B140" s="11">
        <v>146</v>
      </c>
      <c r="C140" s="14" t="s">
        <v>96</v>
      </c>
      <c r="D140" s="14" t="s">
        <v>691</v>
      </c>
      <c r="E140" s="6"/>
      <c r="F140" s="11">
        <v>162</v>
      </c>
      <c r="G140" s="15" t="s">
        <v>833</v>
      </c>
      <c r="H140" s="15" t="s">
        <v>834</v>
      </c>
      <c r="K140" t="str">
        <f t="shared" si="39"/>
        <v>MALAGASY</v>
      </c>
      <c r="L140">
        <f t="shared" si="40"/>
        <v>149</v>
      </c>
      <c r="P140" t="str">
        <f t="shared" si="41"/>
        <v/>
      </c>
      <c r="Q140" t="str">
        <f t="shared" si="42"/>
        <v>UNITED REPUBLIC OF TANZANIA</v>
      </c>
      <c r="R140">
        <f t="shared" si="43"/>
        <v>165</v>
      </c>
      <c r="V140" t="str">
        <f>IF(TIM!F140="","",TIM!F140)</f>
        <v/>
      </c>
      <c r="W140" t="str">
        <f t="shared" si="44"/>
        <v/>
      </c>
      <c r="X140">
        <f t="shared" si="45"/>
        <v>0</v>
      </c>
      <c r="AI140">
        <f>IF(TIM!P140=TIM!P140,TIM!P140,"")</f>
        <v>0</v>
      </c>
      <c r="AJ140" t="str">
        <f t="shared" si="46"/>
        <v/>
      </c>
      <c r="AK140" t="str">
        <f t="shared" si="47"/>
        <v>0</v>
      </c>
      <c r="AL140" t="str">
        <f t="shared" si="48"/>
        <v>0</v>
      </c>
      <c r="AM140">
        <f t="shared" si="49"/>
        <v>543</v>
      </c>
      <c r="AN140" t="str">
        <f t="shared" si="50"/>
        <v>/0/543</v>
      </c>
      <c r="AP140">
        <f>IF(TIM!O140=TIM!O140,TIM!O140,"")</f>
        <v>0</v>
      </c>
      <c r="AQ140" t="str">
        <f t="shared" si="51"/>
        <v/>
      </c>
      <c r="AR140" t="str">
        <f t="shared" si="52"/>
        <v>0</v>
      </c>
      <c r="AS140" t="str">
        <f t="shared" si="53"/>
        <v>0</v>
      </c>
      <c r="AT140">
        <f t="shared" si="54"/>
        <v>543</v>
      </c>
      <c r="AU140" t="str">
        <f t="shared" si="55"/>
        <v>/0/543</v>
      </c>
    </row>
    <row r="141" spans="2:47">
      <c r="B141" s="11">
        <v>147</v>
      </c>
      <c r="C141" s="14" t="s">
        <v>97</v>
      </c>
      <c r="D141" s="14" t="s">
        <v>694</v>
      </c>
      <c r="E141" s="6"/>
      <c r="F141" s="11">
        <v>163</v>
      </c>
      <c r="G141" s="15" t="s">
        <v>113</v>
      </c>
      <c r="H141" s="15" t="s">
        <v>823</v>
      </c>
      <c r="K141" t="str">
        <f t="shared" si="39"/>
        <v>MALAWIAN</v>
      </c>
      <c r="L141">
        <f t="shared" si="40"/>
        <v>150</v>
      </c>
      <c r="P141" t="str">
        <f t="shared" si="41"/>
        <v/>
      </c>
      <c r="Q141" t="str">
        <f t="shared" si="42"/>
        <v>REPUBLIC OF TOGO</v>
      </c>
      <c r="R141">
        <f t="shared" si="43"/>
        <v>166</v>
      </c>
      <c r="V141" t="str">
        <f>IF(TIM!F141="","",TIM!F141)</f>
        <v/>
      </c>
      <c r="W141" t="str">
        <f t="shared" si="44"/>
        <v/>
      </c>
      <c r="X141">
        <f t="shared" si="45"/>
        <v>0</v>
      </c>
      <c r="AI141">
        <f>IF(TIM!P141=TIM!P141,TIM!P141,"")</f>
        <v>0</v>
      </c>
      <c r="AJ141" t="str">
        <f t="shared" si="46"/>
        <v/>
      </c>
      <c r="AK141" t="str">
        <f t="shared" si="47"/>
        <v>0</v>
      </c>
      <c r="AL141" t="str">
        <f t="shared" si="48"/>
        <v>0</v>
      </c>
      <c r="AM141">
        <f t="shared" si="49"/>
        <v>543</v>
      </c>
      <c r="AN141" t="str">
        <f t="shared" si="50"/>
        <v>/0/543</v>
      </c>
      <c r="AP141">
        <f>IF(TIM!O141=TIM!O141,TIM!O141,"")</f>
        <v>0</v>
      </c>
      <c r="AQ141" t="str">
        <f t="shared" si="51"/>
        <v/>
      </c>
      <c r="AR141" t="str">
        <f t="shared" si="52"/>
        <v>0</v>
      </c>
      <c r="AS141" t="str">
        <f t="shared" si="53"/>
        <v>0</v>
      </c>
      <c r="AT141">
        <f t="shared" si="54"/>
        <v>543</v>
      </c>
      <c r="AU141" t="str">
        <f t="shared" si="55"/>
        <v>/0/543</v>
      </c>
    </row>
    <row r="142" spans="2:47">
      <c r="B142" s="11">
        <v>148</v>
      </c>
      <c r="C142" s="14" t="s">
        <v>98</v>
      </c>
      <c r="D142" s="14" t="s">
        <v>689</v>
      </c>
      <c r="E142" s="6"/>
      <c r="F142" s="11">
        <v>164</v>
      </c>
      <c r="G142" s="15" t="s">
        <v>931</v>
      </c>
      <c r="H142" s="15" t="s">
        <v>932</v>
      </c>
      <c r="K142" t="str">
        <f t="shared" si="39"/>
        <v>MALI</v>
      </c>
      <c r="L142">
        <f t="shared" si="40"/>
        <v>151</v>
      </c>
      <c r="P142" t="str">
        <f t="shared" si="41"/>
        <v/>
      </c>
      <c r="Q142" t="str">
        <f t="shared" si="42"/>
        <v>REPUBLIC OF TUNISIA</v>
      </c>
      <c r="R142">
        <f t="shared" si="43"/>
        <v>167</v>
      </c>
      <c r="V142" t="str">
        <f>IF(TIM!F142="","",TIM!F142)</f>
        <v/>
      </c>
      <c r="W142" t="str">
        <f t="shared" si="44"/>
        <v/>
      </c>
      <c r="X142">
        <f t="shared" si="45"/>
        <v>0</v>
      </c>
      <c r="AI142">
        <f>IF(TIM!P142=TIM!P142,TIM!P142,"")</f>
        <v>0</v>
      </c>
      <c r="AJ142" t="str">
        <f t="shared" si="46"/>
        <v/>
      </c>
      <c r="AK142" t="str">
        <f t="shared" si="47"/>
        <v>0</v>
      </c>
      <c r="AL142" t="str">
        <f t="shared" si="48"/>
        <v>0</v>
      </c>
      <c r="AM142">
        <f t="shared" si="49"/>
        <v>543</v>
      </c>
      <c r="AN142" t="str">
        <f t="shared" si="50"/>
        <v>/0/543</v>
      </c>
      <c r="AP142">
        <f>IF(TIM!O142=TIM!O142,TIM!O142,"")</f>
        <v>0</v>
      </c>
      <c r="AQ142" t="str">
        <f t="shared" si="51"/>
        <v/>
      </c>
      <c r="AR142" t="str">
        <f t="shared" si="52"/>
        <v>0</v>
      </c>
      <c r="AS142" t="str">
        <f t="shared" si="53"/>
        <v>0</v>
      </c>
      <c r="AT142">
        <f t="shared" si="54"/>
        <v>543</v>
      </c>
      <c r="AU142" t="str">
        <f t="shared" si="55"/>
        <v>/0/543</v>
      </c>
    </row>
    <row r="143" spans="2:47">
      <c r="B143" s="11">
        <v>149</v>
      </c>
      <c r="C143" s="14" t="s">
        <v>99</v>
      </c>
      <c r="D143" s="14" t="s">
        <v>648</v>
      </c>
      <c r="E143" s="6"/>
      <c r="F143" s="11">
        <v>165</v>
      </c>
      <c r="G143" s="15" t="s">
        <v>115</v>
      </c>
      <c r="H143" s="15" t="s">
        <v>849</v>
      </c>
      <c r="K143" t="str">
        <f t="shared" si="39"/>
        <v>MAURITANTA</v>
      </c>
      <c r="L143">
        <f t="shared" si="40"/>
        <v>152</v>
      </c>
      <c r="P143" t="str">
        <f t="shared" si="41"/>
        <v/>
      </c>
      <c r="Q143" t="str">
        <f t="shared" si="42"/>
        <v>REPUBLIC OF UGANDA</v>
      </c>
      <c r="R143">
        <f t="shared" si="43"/>
        <v>168</v>
      </c>
      <c r="V143" t="str">
        <f>IF(TIM!F143="","",TIM!F143)</f>
        <v/>
      </c>
      <c r="W143" t="str">
        <f t="shared" si="44"/>
        <v/>
      </c>
      <c r="X143">
        <f t="shared" si="45"/>
        <v>0</v>
      </c>
      <c r="AI143">
        <f>IF(TIM!P143=TIM!P143,TIM!P143,"")</f>
        <v>0</v>
      </c>
      <c r="AJ143" t="str">
        <f t="shared" si="46"/>
        <v/>
      </c>
      <c r="AK143" t="str">
        <f t="shared" si="47"/>
        <v>0</v>
      </c>
      <c r="AL143" t="str">
        <f t="shared" si="48"/>
        <v>0</v>
      </c>
      <c r="AM143">
        <f t="shared" si="49"/>
        <v>543</v>
      </c>
      <c r="AN143" t="str">
        <f t="shared" si="50"/>
        <v>/0/543</v>
      </c>
      <c r="AP143">
        <f>IF(TIM!O143=TIM!O143,TIM!O143,"")</f>
        <v>0</v>
      </c>
      <c r="AQ143" t="str">
        <f t="shared" si="51"/>
        <v/>
      </c>
      <c r="AR143" t="str">
        <f t="shared" si="52"/>
        <v>0</v>
      </c>
      <c r="AS143" t="str">
        <f t="shared" si="53"/>
        <v>0</v>
      </c>
      <c r="AT143">
        <f t="shared" si="54"/>
        <v>543</v>
      </c>
      <c r="AU143" t="str">
        <f t="shared" si="55"/>
        <v>/0/543</v>
      </c>
    </row>
    <row r="144" spans="2:47">
      <c r="B144" s="11">
        <v>150</v>
      </c>
      <c r="C144" s="14" t="s">
        <v>100</v>
      </c>
      <c r="D144" s="14" t="s">
        <v>649</v>
      </c>
      <c r="E144" s="6"/>
      <c r="F144" s="11">
        <v>166</v>
      </c>
      <c r="G144" s="15" t="s">
        <v>116</v>
      </c>
      <c r="H144" s="15" t="s">
        <v>845</v>
      </c>
      <c r="K144" t="str">
        <f t="shared" si="39"/>
        <v>MAURITIUS</v>
      </c>
      <c r="L144">
        <f t="shared" si="40"/>
        <v>153</v>
      </c>
      <c r="P144" t="str">
        <f t="shared" si="41"/>
        <v/>
      </c>
      <c r="Q144" t="str">
        <f t="shared" si="42"/>
        <v>THE DEMOCATIC REPUBLIC OF THE CONGO</v>
      </c>
      <c r="R144">
        <f t="shared" si="43"/>
        <v>169</v>
      </c>
      <c r="V144" t="str">
        <f>IF(TIM!F144="","",TIM!F144)</f>
        <v/>
      </c>
      <c r="W144" t="str">
        <f t="shared" si="44"/>
        <v/>
      </c>
      <c r="X144">
        <f t="shared" si="45"/>
        <v>0</v>
      </c>
      <c r="AI144">
        <f>IF(TIM!P144=TIM!P144,TIM!P144,"")</f>
        <v>0</v>
      </c>
      <c r="AJ144" t="str">
        <f t="shared" si="46"/>
        <v/>
      </c>
      <c r="AK144" t="str">
        <f t="shared" si="47"/>
        <v>0</v>
      </c>
      <c r="AL144" t="str">
        <f t="shared" si="48"/>
        <v>0</v>
      </c>
      <c r="AM144">
        <f t="shared" si="49"/>
        <v>543</v>
      </c>
      <c r="AN144" t="str">
        <f t="shared" si="50"/>
        <v>/0/543</v>
      </c>
      <c r="AP144">
        <f>IF(TIM!O144=TIM!O144,TIM!O144,"")</f>
        <v>0</v>
      </c>
      <c r="AQ144" t="str">
        <f t="shared" si="51"/>
        <v/>
      </c>
      <c r="AR144" t="str">
        <f t="shared" si="52"/>
        <v>0</v>
      </c>
      <c r="AS144" t="str">
        <f t="shared" si="53"/>
        <v>0</v>
      </c>
      <c r="AT144">
        <f t="shared" si="54"/>
        <v>543</v>
      </c>
      <c r="AU144" t="str">
        <f t="shared" si="55"/>
        <v>/0/543</v>
      </c>
    </row>
    <row r="145" spans="2:47">
      <c r="B145" s="11">
        <v>151</v>
      </c>
      <c r="C145" s="14" t="s">
        <v>101</v>
      </c>
      <c r="D145" s="14" t="s">
        <v>650</v>
      </c>
      <c r="E145" s="6"/>
      <c r="F145" s="11">
        <v>167</v>
      </c>
      <c r="G145" s="15" t="s">
        <v>117</v>
      </c>
      <c r="H145" s="15" t="s">
        <v>842</v>
      </c>
      <c r="K145" t="str">
        <f t="shared" si="39"/>
        <v>MOROCCAN</v>
      </c>
      <c r="L145">
        <f t="shared" si="40"/>
        <v>154</v>
      </c>
      <c r="P145" t="str">
        <f t="shared" si="41"/>
        <v/>
      </c>
      <c r="Q145" t="str">
        <f t="shared" si="42"/>
        <v>REPUBLIC OF ZAMBIA</v>
      </c>
      <c r="R145">
        <f t="shared" si="43"/>
        <v>170</v>
      </c>
      <c r="V145" t="str">
        <f>IF(TIM!F145="","",TIM!F145)</f>
        <v/>
      </c>
      <c r="W145" t="str">
        <f t="shared" si="44"/>
        <v/>
      </c>
      <c r="X145">
        <f t="shared" si="45"/>
        <v>0</v>
      </c>
      <c r="AI145">
        <f>IF(TIM!P145=TIM!P145,TIM!P145,"")</f>
        <v>0</v>
      </c>
      <c r="AJ145" t="str">
        <f t="shared" si="46"/>
        <v/>
      </c>
      <c r="AK145" t="str">
        <f t="shared" si="47"/>
        <v>0</v>
      </c>
      <c r="AL145" t="str">
        <f t="shared" si="48"/>
        <v>0</v>
      </c>
      <c r="AM145">
        <f t="shared" si="49"/>
        <v>543</v>
      </c>
      <c r="AN145" t="str">
        <f t="shared" si="50"/>
        <v>/0/543</v>
      </c>
      <c r="AP145">
        <f>IF(TIM!O145=TIM!O145,TIM!O145,"")</f>
        <v>0</v>
      </c>
      <c r="AQ145" t="str">
        <f t="shared" si="51"/>
        <v/>
      </c>
      <c r="AR145" t="str">
        <f t="shared" si="52"/>
        <v>0</v>
      </c>
      <c r="AS145" t="str">
        <f t="shared" si="53"/>
        <v>0</v>
      </c>
      <c r="AT145">
        <f t="shared" si="54"/>
        <v>543</v>
      </c>
      <c r="AU145" t="str">
        <f t="shared" si="55"/>
        <v>/0/543</v>
      </c>
    </row>
    <row r="146" spans="2:47">
      <c r="B146" s="11">
        <v>152</v>
      </c>
      <c r="C146" s="14" t="s">
        <v>102</v>
      </c>
      <c r="D146" s="14" t="s">
        <v>643</v>
      </c>
      <c r="E146" s="6"/>
      <c r="F146" s="11">
        <v>168</v>
      </c>
      <c r="G146" s="15" t="s">
        <v>118</v>
      </c>
      <c r="H146" s="15" t="s">
        <v>905</v>
      </c>
      <c r="K146" t="str">
        <f t="shared" si="39"/>
        <v>MOZAMBIQUE</v>
      </c>
      <c r="L146">
        <f t="shared" si="40"/>
        <v>155</v>
      </c>
      <c r="P146" t="str">
        <f t="shared" si="41"/>
        <v/>
      </c>
      <c r="Q146" t="str">
        <f t="shared" si="42"/>
        <v>REPUBLIC OF ZIMBABWE</v>
      </c>
      <c r="R146">
        <f t="shared" si="43"/>
        <v>171</v>
      </c>
      <c r="V146" t="str">
        <f>IF(TIM!F146="","",TIM!F146)</f>
        <v/>
      </c>
      <c r="W146" t="str">
        <f t="shared" si="44"/>
        <v/>
      </c>
      <c r="X146">
        <f t="shared" si="45"/>
        <v>0</v>
      </c>
      <c r="AI146">
        <f>IF(TIM!P146=TIM!P146,TIM!P146,"")</f>
        <v>0</v>
      </c>
      <c r="AJ146" t="str">
        <f t="shared" si="46"/>
        <v/>
      </c>
      <c r="AK146" t="str">
        <f t="shared" si="47"/>
        <v>0</v>
      </c>
      <c r="AL146" t="str">
        <f t="shared" si="48"/>
        <v>0</v>
      </c>
      <c r="AM146">
        <f t="shared" si="49"/>
        <v>543</v>
      </c>
      <c r="AN146" t="str">
        <f t="shared" si="50"/>
        <v>/0/543</v>
      </c>
      <c r="AP146">
        <f>IF(TIM!O146=TIM!O146,TIM!O146,"")</f>
        <v>0</v>
      </c>
      <c r="AQ146" t="str">
        <f t="shared" si="51"/>
        <v/>
      </c>
      <c r="AR146" t="str">
        <f t="shared" si="52"/>
        <v>0</v>
      </c>
      <c r="AS146" t="str">
        <f t="shared" si="53"/>
        <v>0</v>
      </c>
      <c r="AT146">
        <f t="shared" si="54"/>
        <v>543</v>
      </c>
      <c r="AU146" t="str">
        <f t="shared" si="55"/>
        <v>/0/543</v>
      </c>
    </row>
    <row r="147" spans="2:47">
      <c r="B147" s="11">
        <v>153</v>
      </c>
      <c r="C147" s="14" t="s">
        <v>103</v>
      </c>
      <c r="D147" s="14" t="s">
        <v>642</v>
      </c>
      <c r="E147" s="6"/>
      <c r="F147" s="11">
        <v>169</v>
      </c>
      <c r="G147" s="15" t="s">
        <v>955</v>
      </c>
      <c r="H147" s="15" t="s">
        <v>956</v>
      </c>
      <c r="K147" t="str">
        <f t="shared" si="39"/>
        <v>NIGER</v>
      </c>
      <c r="L147">
        <f t="shared" si="40"/>
        <v>156</v>
      </c>
      <c r="P147" t="str">
        <f t="shared" si="41"/>
        <v/>
      </c>
      <c r="Q147" t="str">
        <f t="shared" si="42"/>
        <v>ANTIGUA AND BARBUDA</v>
      </c>
      <c r="R147">
        <f t="shared" si="43"/>
        <v>172</v>
      </c>
      <c r="V147" t="str">
        <f>IF(TIM!F147="","",TIM!F147)</f>
        <v/>
      </c>
      <c r="W147" t="str">
        <f t="shared" si="44"/>
        <v/>
      </c>
      <c r="X147">
        <f t="shared" si="45"/>
        <v>0</v>
      </c>
      <c r="AI147">
        <f>IF(TIM!P147=TIM!P147,TIM!P147,"")</f>
        <v>0</v>
      </c>
      <c r="AJ147" t="str">
        <f t="shared" si="46"/>
        <v/>
      </c>
      <c r="AK147" t="str">
        <f t="shared" si="47"/>
        <v>0</v>
      </c>
      <c r="AL147" t="str">
        <f t="shared" si="48"/>
        <v>0</v>
      </c>
      <c r="AM147">
        <f t="shared" si="49"/>
        <v>543</v>
      </c>
      <c r="AN147" t="str">
        <f t="shared" si="50"/>
        <v>/0/543</v>
      </c>
      <c r="AP147">
        <f>IF(TIM!O147=TIM!O147,TIM!O147,"")</f>
        <v>0</v>
      </c>
      <c r="AQ147" t="str">
        <f t="shared" si="51"/>
        <v/>
      </c>
      <c r="AR147" t="str">
        <f t="shared" si="52"/>
        <v>0</v>
      </c>
      <c r="AS147" t="str">
        <f t="shared" si="53"/>
        <v>0</v>
      </c>
      <c r="AT147">
        <f t="shared" si="54"/>
        <v>543</v>
      </c>
      <c r="AU147" t="str">
        <f t="shared" si="55"/>
        <v>/0/543</v>
      </c>
    </row>
    <row r="148" spans="2:47">
      <c r="B148" s="11">
        <v>154</v>
      </c>
      <c r="C148" s="14" t="s">
        <v>104</v>
      </c>
      <c r="D148" s="14" t="s">
        <v>661</v>
      </c>
      <c r="E148" s="6"/>
      <c r="F148" s="11">
        <v>170</v>
      </c>
      <c r="G148" s="15" t="s">
        <v>120</v>
      </c>
      <c r="H148" s="15" t="s">
        <v>832</v>
      </c>
      <c r="K148" t="str">
        <f t="shared" si="39"/>
        <v>RWANDA</v>
      </c>
      <c r="L148">
        <f t="shared" si="40"/>
        <v>157</v>
      </c>
      <c r="P148" t="str">
        <f t="shared" si="41"/>
        <v/>
      </c>
      <c r="Q148" t="str">
        <f t="shared" si="42"/>
        <v>COMMONWEALTH OF THE BAHAMAS</v>
      </c>
      <c r="R148">
        <f t="shared" si="43"/>
        <v>173</v>
      </c>
      <c r="V148" t="str">
        <f>IF(TIM!F148="","",TIM!F148)</f>
        <v/>
      </c>
      <c r="W148" t="str">
        <f t="shared" si="44"/>
        <v/>
      </c>
      <c r="X148">
        <f t="shared" si="45"/>
        <v>0</v>
      </c>
      <c r="AI148">
        <f>IF(TIM!P148=TIM!P148,TIM!P148,"")</f>
        <v>0</v>
      </c>
      <c r="AJ148" t="str">
        <f t="shared" si="46"/>
        <v/>
      </c>
      <c r="AK148" t="str">
        <f t="shared" si="47"/>
        <v>0</v>
      </c>
      <c r="AL148" t="str">
        <f t="shared" si="48"/>
        <v>0</v>
      </c>
      <c r="AM148">
        <f t="shared" si="49"/>
        <v>543</v>
      </c>
      <c r="AN148" t="str">
        <f t="shared" si="50"/>
        <v>/0/543</v>
      </c>
      <c r="AP148">
        <f>IF(TIM!O148=TIM!O148,TIM!O148,"")</f>
        <v>0</v>
      </c>
      <c r="AQ148" t="str">
        <f t="shared" si="51"/>
        <v/>
      </c>
      <c r="AR148" t="str">
        <f t="shared" si="52"/>
        <v>0</v>
      </c>
      <c r="AS148" t="str">
        <f t="shared" si="53"/>
        <v>0</v>
      </c>
      <c r="AT148">
        <f t="shared" si="54"/>
        <v>543</v>
      </c>
      <c r="AU148" t="str">
        <f t="shared" si="55"/>
        <v>/0/543</v>
      </c>
    </row>
    <row r="149" spans="2:47">
      <c r="B149" s="11">
        <v>155</v>
      </c>
      <c r="C149" s="14" t="s">
        <v>105</v>
      </c>
      <c r="D149" s="14" t="s">
        <v>659</v>
      </c>
      <c r="E149" s="6"/>
      <c r="F149" s="11">
        <v>171</v>
      </c>
      <c r="G149" s="15" t="s">
        <v>121</v>
      </c>
      <c r="H149" s="15" t="s">
        <v>821</v>
      </c>
      <c r="K149" t="str">
        <f t="shared" si="39"/>
        <v>SAO TOME AND PRINCIPE</v>
      </c>
      <c r="L149">
        <f t="shared" si="40"/>
        <v>158</v>
      </c>
      <c r="P149" t="str">
        <f t="shared" si="41"/>
        <v/>
      </c>
      <c r="Q149" t="str">
        <f t="shared" si="42"/>
        <v>BARBADOS</v>
      </c>
      <c r="R149">
        <f t="shared" si="43"/>
        <v>174</v>
      </c>
      <c r="V149" t="str">
        <f>IF(TIM!F149="","",TIM!F149)</f>
        <v/>
      </c>
      <c r="W149" t="str">
        <f t="shared" si="44"/>
        <v/>
      </c>
      <c r="X149">
        <f t="shared" si="45"/>
        <v>0</v>
      </c>
      <c r="AI149">
        <f>IF(TIM!P149=TIM!P149,TIM!P149,"")</f>
        <v>0</v>
      </c>
      <c r="AJ149" t="str">
        <f t="shared" si="46"/>
        <v/>
      </c>
      <c r="AK149" t="str">
        <f t="shared" si="47"/>
        <v>0</v>
      </c>
      <c r="AL149" t="str">
        <f t="shared" si="48"/>
        <v>0</v>
      </c>
      <c r="AM149">
        <f t="shared" si="49"/>
        <v>543</v>
      </c>
      <c r="AN149" t="str">
        <f t="shared" si="50"/>
        <v>/0/543</v>
      </c>
      <c r="AP149">
        <f>IF(TIM!O149=TIM!O149,TIM!O149,"")</f>
        <v>0</v>
      </c>
      <c r="AQ149" t="str">
        <f t="shared" si="51"/>
        <v/>
      </c>
      <c r="AR149" t="str">
        <f t="shared" si="52"/>
        <v>0</v>
      </c>
      <c r="AS149" t="str">
        <f t="shared" si="53"/>
        <v>0</v>
      </c>
      <c r="AT149">
        <f t="shared" si="54"/>
        <v>543</v>
      </c>
      <c r="AU149" t="str">
        <f t="shared" si="55"/>
        <v>/0/543</v>
      </c>
    </row>
    <row r="150" spans="2:47">
      <c r="B150" s="11">
        <v>156</v>
      </c>
      <c r="C150" s="14" t="s">
        <v>106</v>
      </c>
      <c r="D150" s="14" t="s">
        <v>588</v>
      </c>
      <c r="E150" s="6"/>
      <c r="F150" s="11">
        <v>172</v>
      </c>
      <c r="G150" s="15" t="s">
        <v>122</v>
      </c>
      <c r="H150" s="15" t="s">
        <v>761</v>
      </c>
      <c r="K150" t="str">
        <f t="shared" si="39"/>
        <v>SENEGAL</v>
      </c>
      <c r="L150">
        <f t="shared" si="40"/>
        <v>159</v>
      </c>
      <c r="P150" t="str">
        <f t="shared" si="41"/>
        <v/>
      </c>
      <c r="Q150" t="str">
        <f t="shared" si="42"/>
        <v>BELIZE</v>
      </c>
      <c r="R150">
        <f t="shared" si="43"/>
        <v>175</v>
      </c>
      <c r="V150" t="str">
        <f>IF(TIM!F150="","",TIM!F150)</f>
        <v/>
      </c>
      <c r="W150" t="str">
        <f t="shared" si="44"/>
        <v/>
      </c>
      <c r="X150">
        <f t="shared" si="45"/>
        <v>0</v>
      </c>
      <c r="AI150">
        <f>IF(TIM!P150=TIM!P150,TIM!P150,"")</f>
        <v>0</v>
      </c>
      <c r="AJ150" t="str">
        <f t="shared" si="46"/>
        <v/>
      </c>
      <c r="AK150" t="str">
        <f t="shared" si="47"/>
        <v>0</v>
      </c>
      <c r="AL150" t="str">
        <f t="shared" si="48"/>
        <v>0</v>
      </c>
      <c r="AM150">
        <f t="shared" si="49"/>
        <v>543</v>
      </c>
      <c r="AN150" t="str">
        <f t="shared" si="50"/>
        <v>/0/543</v>
      </c>
      <c r="AP150">
        <f>IF(TIM!O150=TIM!O150,TIM!O150,"")</f>
        <v>0</v>
      </c>
      <c r="AQ150" t="str">
        <f t="shared" si="51"/>
        <v/>
      </c>
      <c r="AR150" t="str">
        <f t="shared" si="52"/>
        <v>0</v>
      </c>
      <c r="AS150" t="str">
        <f t="shared" si="53"/>
        <v>0</v>
      </c>
      <c r="AT150">
        <f t="shared" si="54"/>
        <v>543</v>
      </c>
      <c r="AU150" t="str">
        <f t="shared" si="55"/>
        <v>/0/543</v>
      </c>
    </row>
    <row r="151" spans="2:47">
      <c r="B151" s="11">
        <v>157</v>
      </c>
      <c r="C151" s="14" t="s">
        <v>107</v>
      </c>
      <c r="D151" s="14" t="s">
        <v>671</v>
      </c>
      <c r="E151" s="6"/>
      <c r="F151" s="11">
        <v>173</v>
      </c>
      <c r="G151" s="15" t="s">
        <v>123</v>
      </c>
      <c r="H151" s="15" t="s">
        <v>868</v>
      </c>
      <c r="K151" t="str">
        <f t="shared" si="39"/>
        <v>SEYCHELLES</v>
      </c>
      <c r="L151">
        <f t="shared" si="40"/>
        <v>160</v>
      </c>
      <c r="P151" t="str">
        <f t="shared" si="41"/>
        <v/>
      </c>
      <c r="Q151" t="str">
        <f t="shared" si="42"/>
        <v>REPUBLIC OF COSTA RICA</v>
      </c>
      <c r="R151">
        <f t="shared" si="43"/>
        <v>176</v>
      </c>
      <c r="V151" t="str">
        <f>IF(TIM!F151="","",TIM!F151)</f>
        <v/>
      </c>
      <c r="W151" t="str">
        <f t="shared" si="44"/>
        <v/>
      </c>
      <c r="X151">
        <f t="shared" si="45"/>
        <v>0</v>
      </c>
      <c r="AI151">
        <f>IF(TIM!P151=TIM!P151,TIM!P151,"")</f>
        <v>0</v>
      </c>
      <c r="AJ151" t="str">
        <f t="shared" si="46"/>
        <v/>
      </c>
      <c r="AK151" t="str">
        <f t="shared" si="47"/>
        <v>0</v>
      </c>
      <c r="AL151" t="str">
        <f t="shared" si="48"/>
        <v>0</v>
      </c>
      <c r="AM151">
        <f t="shared" si="49"/>
        <v>543</v>
      </c>
      <c r="AN151" t="str">
        <f t="shared" si="50"/>
        <v>/0/543</v>
      </c>
      <c r="AP151">
        <f>IF(TIM!O151=TIM!O151,TIM!O151,"")</f>
        <v>0</v>
      </c>
      <c r="AQ151" t="str">
        <f t="shared" si="51"/>
        <v/>
      </c>
      <c r="AR151" t="str">
        <f t="shared" si="52"/>
        <v>0</v>
      </c>
      <c r="AS151" t="str">
        <f t="shared" si="53"/>
        <v>0</v>
      </c>
      <c r="AT151">
        <f t="shared" si="54"/>
        <v>543</v>
      </c>
      <c r="AU151" t="str">
        <f t="shared" si="55"/>
        <v>/0/543</v>
      </c>
    </row>
    <row r="152" spans="2:47">
      <c r="B152" s="11">
        <v>158</v>
      </c>
      <c r="C152" s="14" t="s">
        <v>108</v>
      </c>
      <c r="D152" s="14" t="s">
        <v>545</v>
      </c>
      <c r="E152" s="6"/>
      <c r="F152" s="11">
        <v>174</v>
      </c>
      <c r="G152" s="15" t="s">
        <v>124</v>
      </c>
      <c r="H152" s="15" t="s">
        <v>599</v>
      </c>
      <c r="K152" t="str">
        <f t="shared" si="39"/>
        <v>SIERRA LEONE</v>
      </c>
      <c r="L152">
        <f t="shared" si="40"/>
        <v>161</v>
      </c>
      <c r="P152" t="str">
        <f t="shared" si="41"/>
        <v/>
      </c>
      <c r="Q152" t="str">
        <f t="shared" si="42"/>
        <v>COMMONWEALTH OF DOMINICA</v>
      </c>
      <c r="R152">
        <f t="shared" si="43"/>
        <v>177</v>
      </c>
      <c r="V152" t="str">
        <f>IF(TIM!F152="","",TIM!F152)</f>
        <v/>
      </c>
      <c r="W152" t="str">
        <f t="shared" si="44"/>
        <v/>
      </c>
      <c r="X152">
        <f t="shared" si="45"/>
        <v>0</v>
      </c>
      <c r="AI152">
        <f>IF(TIM!P152=TIM!P152,TIM!P152,"")</f>
        <v>0</v>
      </c>
      <c r="AJ152" t="str">
        <f t="shared" si="46"/>
        <v/>
      </c>
      <c r="AK152" t="str">
        <f t="shared" si="47"/>
        <v>0</v>
      </c>
      <c r="AL152" t="str">
        <f t="shared" si="48"/>
        <v>0</v>
      </c>
      <c r="AM152">
        <f t="shared" si="49"/>
        <v>543</v>
      </c>
      <c r="AN152" t="str">
        <f t="shared" si="50"/>
        <v>/0/543</v>
      </c>
      <c r="AP152">
        <f>IF(TIM!O152=TIM!O152,TIM!O152,"")</f>
        <v>0</v>
      </c>
      <c r="AQ152" t="str">
        <f t="shared" si="51"/>
        <v/>
      </c>
      <c r="AR152" t="str">
        <f t="shared" si="52"/>
        <v>0</v>
      </c>
      <c r="AS152" t="str">
        <f t="shared" si="53"/>
        <v>0</v>
      </c>
      <c r="AT152">
        <f t="shared" si="54"/>
        <v>543</v>
      </c>
      <c r="AU152" t="str">
        <f t="shared" si="55"/>
        <v>/0/543</v>
      </c>
    </row>
    <row r="153" spans="2:47">
      <c r="B153" s="11">
        <v>159</v>
      </c>
      <c r="C153" s="14" t="s">
        <v>109</v>
      </c>
      <c r="D153" s="14" t="s">
        <v>541</v>
      </c>
      <c r="E153" s="6"/>
      <c r="F153" s="11">
        <v>175</v>
      </c>
      <c r="G153" s="15" t="s">
        <v>873</v>
      </c>
      <c r="H153" s="15" t="s">
        <v>609</v>
      </c>
      <c r="K153" t="str">
        <f t="shared" si="39"/>
        <v>SOMALI</v>
      </c>
      <c r="L153">
        <f t="shared" si="40"/>
        <v>162</v>
      </c>
      <c r="P153" t="str">
        <f t="shared" si="41"/>
        <v/>
      </c>
      <c r="Q153" t="str">
        <f t="shared" si="42"/>
        <v>DOMINICAN REPUBLIC</v>
      </c>
      <c r="R153">
        <f t="shared" si="43"/>
        <v>178</v>
      </c>
      <c r="V153" t="str">
        <f>IF(TIM!F153="","",TIM!F153)</f>
        <v/>
      </c>
      <c r="W153" t="str">
        <f t="shared" si="44"/>
        <v/>
      </c>
      <c r="X153">
        <f t="shared" si="45"/>
        <v>0</v>
      </c>
      <c r="AI153">
        <f>IF(TIM!P153=TIM!P153,TIM!P153,"")</f>
        <v>0</v>
      </c>
      <c r="AJ153" t="str">
        <f t="shared" si="46"/>
        <v/>
      </c>
      <c r="AK153" t="str">
        <f t="shared" si="47"/>
        <v>0</v>
      </c>
      <c r="AL153" t="str">
        <f t="shared" si="48"/>
        <v>0</v>
      </c>
      <c r="AM153">
        <f t="shared" si="49"/>
        <v>543</v>
      </c>
      <c r="AN153" t="str">
        <f t="shared" si="50"/>
        <v>/0/543</v>
      </c>
      <c r="AP153">
        <f>IF(TIM!O153=TIM!O153,TIM!O153,"")</f>
        <v>0</v>
      </c>
      <c r="AQ153" t="str">
        <f t="shared" si="51"/>
        <v/>
      </c>
      <c r="AR153" t="str">
        <f t="shared" si="52"/>
        <v>0</v>
      </c>
      <c r="AS153" t="str">
        <f t="shared" si="53"/>
        <v>0</v>
      </c>
      <c r="AT153">
        <f t="shared" si="54"/>
        <v>543</v>
      </c>
      <c r="AU153" t="str">
        <f t="shared" si="55"/>
        <v>/0/543</v>
      </c>
    </row>
    <row r="154" spans="2:47">
      <c r="B154" s="11">
        <v>160</v>
      </c>
      <c r="C154" s="14" t="s">
        <v>110</v>
      </c>
      <c r="D154" s="14" t="s">
        <v>537</v>
      </c>
      <c r="E154" s="6"/>
      <c r="F154" s="11">
        <v>176</v>
      </c>
      <c r="G154" s="15" t="s">
        <v>126</v>
      </c>
      <c r="H154" s="15" t="s">
        <v>801</v>
      </c>
      <c r="K154" t="str">
        <f t="shared" si="39"/>
        <v>SUDAN</v>
      </c>
      <c r="L154">
        <f t="shared" si="40"/>
        <v>163</v>
      </c>
      <c r="P154" t="str">
        <f t="shared" si="41"/>
        <v/>
      </c>
      <c r="Q154" t="str">
        <f t="shared" si="42"/>
        <v>REPUBLIC OF EL SALVADOR</v>
      </c>
      <c r="R154">
        <f t="shared" si="43"/>
        <v>179</v>
      </c>
      <c r="V154" t="str">
        <f>IF(TIM!F154="","",TIM!F154)</f>
        <v/>
      </c>
      <c r="W154" t="str">
        <f t="shared" si="44"/>
        <v/>
      </c>
      <c r="X154">
        <f t="shared" si="45"/>
        <v>0</v>
      </c>
      <c r="AI154">
        <f>IF(TIM!P154=TIM!P154,TIM!P154,"")</f>
        <v>0</v>
      </c>
      <c r="AJ154" t="str">
        <f t="shared" si="46"/>
        <v/>
      </c>
      <c r="AK154" t="str">
        <f t="shared" si="47"/>
        <v>0</v>
      </c>
      <c r="AL154" t="str">
        <f t="shared" si="48"/>
        <v>0</v>
      </c>
      <c r="AM154">
        <f t="shared" si="49"/>
        <v>543</v>
      </c>
      <c r="AN154" t="str">
        <f t="shared" si="50"/>
        <v>/0/543</v>
      </c>
      <c r="AP154">
        <f>IF(TIM!O154=TIM!O154,TIM!O154,"")</f>
        <v>0</v>
      </c>
      <c r="AQ154" t="str">
        <f t="shared" si="51"/>
        <v/>
      </c>
      <c r="AR154" t="str">
        <f t="shared" si="52"/>
        <v>0</v>
      </c>
      <c r="AS154" t="str">
        <f t="shared" si="53"/>
        <v>0</v>
      </c>
      <c r="AT154">
        <f t="shared" si="54"/>
        <v>543</v>
      </c>
      <c r="AU154" t="str">
        <f t="shared" si="55"/>
        <v>/0/543</v>
      </c>
    </row>
    <row r="155" spans="2:47">
      <c r="B155" s="11">
        <v>161</v>
      </c>
      <c r="C155" s="14" t="s">
        <v>111</v>
      </c>
      <c r="D155" s="14" t="s">
        <v>547</v>
      </c>
      <c r="E155" s="6"/>
      <c r="F155" s="11">
        <v>177</v>
      </c>
      <c r="G155" s="15" t="s">
        <v>127</v>
      </c>
      <c r="H155" s="15" t="s">
        <v>837</v>
      </c>
      <c r="K155" t="str">
        <f t="shared" si="39"/>
        <v>SWAZI</v>
      </c>
      <c r="L155">
        <f t="shared" si="40"/>
        <v>164</v>
      </c>
      <c r="P155" t="str">
        <f t="shared" si="41"/>
        <v/>
      </c>
      <c r="Q155" t="str">
        <f t="shared" si="42"/>
        <v>GRENADA</v>
      </c>
      <c r="R155">
        <f t="shared" si="43"/>
        <v>180</v>
      </c>
      <c r="V155" t="str">
        <f>IF(TIM!F155="","",TIM!F155)</f>
        <v/>
      </c>
      <c r="W155" t="str">
        <f t="shared" si="44"/>
        <v/>
      </c>
      <c r="X155">
        <f t="shared" si="45"/>
        <v>0</v>
      </c>
      <c r="AI155">
        <f>IF(TIM!P155=TIM!P155,TIM!P155,"")</f>
        <v>0</v>
      </c>
      <c r="AJ155" t="str">
        <f t="shared" si="46"/>
        <v/>
      </c>
      <c r="AK155" t="str">
        <f t="shared" si="47"/>
        <v>0</v>
      </c>
      <c r="AL155" t="str">
        <f t="shared" si="48"/>
        <v>0</v>
      </c>
      <c r="AM155">
        <f t="shared" si="49"/>
        <v>543</v>
      </c>
      <c r="AN155" t="str">
        <f t="shared" si="50"/>
        <v>/0/543</v>
      </c>
      <c r="AP155">
        <f>IF(TIM!O155=TIM!O155,TIM!O155,"")</f>
        <v>0</v>
      </c>
      <c r="AQ155" t="str">
        <f t="shared" si="51"/>
        <v/>
      </c>
      <c r="AR155" t="str">
        <f t="shared" si="52"/>
        <v>0</v>
      </c>
      <c r="AS155" t="str">
        <f t="shared" si="53"/>
        <v>0</v>
      </c>
      <c r="AT155">
        <f t="shared" si="54"/>
        <v>543</v>
      </c>
      <c r="AU155" t="str">
        <f t="shared" si="55"/>
        <v>/0/543</v>
      </c>
    </row>
    <row r="156" spans="2:47">
      <c r="B156" s="11">
        <v>162</v>
      </c>
      <c r="C156" s="14" t="s">
        <v>112</v>
      </c>
      <c r="D156" s="14" t="s">
        <v>549</v>
      </c>
      <c r="E156" s="6"/>
      <c r="F156" s="11">
        <v>178</v>
      </c>
      <c r="G156" s="15" t="s">
        <v>951</v>
      </c>
      <c r="H156" s="15" t="s">
        <v>952</v>
      </c>
      <c r="K156" t="str">
        <f t="shared" si="39"/>
        <v>TANZANIA</v>
      </c>
      <c r="L156">
        <f t="shared" si="40"/>
        <v>165</v>
      </c>
      <c r="P156" t="str">
        <f t="shared" si="41"/>
        <v/>
      </c>
      <c r="Q156" t="str">
        <f t="shared" si="42"/>
        <v>REPUBLIC OF GUATEMALA</v>
      </c>
      <c r="R156">
        <f t="shared" si="43"/>
        <v>181</v>
      </c>
      <c r="V156" t="str">
        <f>IF(TIM!F156="","",TIM!F156)</f>
        <v/>
      </c>
      <c r="W156" t="str">
        <f t="shared" si="44"/>
        <v/>
      </c>
      <c r="X156">
        <f t="shared" si="45"/>
        <v>0</v>
      </c>
      <c r="AI156">
        <f>IF(TIM!P156=TIM!P156,TIM!P156,"")</f>
        <v>0</v>
      </c>
      <c r="AJ156" t="str">
        <f t="shared" si="46"/>
        <v/>
      </c>
      <c r="AK156" t="str">
        <f t="shared" si="47"/>
        <v>0</v>
      </c>
      <c r="AL156" t="str">
        <f t="shared" si="48"/>
        <v>0</v>
      </c>
      <c r="AM156">
        <f t="shared" si="49"/>
        <v>543</v>
      </c>
      <c r="AN156" t="str">
        <f t="shared" si="50"/>
        <v>/0/543</v>
      </c>
      <c r="AP156">
        <f>IF(TIM!O156=TIM!O156,TIM!O156,"")</f>
        <v>0</v>
      </c>
      <c r="AQ156" t="str">
        <f t="shared" si="51"/>
        <v/>
      </c>
      <c r="AR156" t="str">
        <f t="shared" si="52"/>
        <v>0</v>
      </c>
      <c r="AS156" t="str">
        <f t="shared" si="53"/>
        <v>0</v>
      </c>
      <c r="AT156">
        <f t="shared" si="54"/>
        <v>543</v>
      </c>
      <c r="AU156" t="str">
        <f t="shared" si="55"/>
        <v>/0/543</v>
      </c>
    </row>
    <row r="157" spans="2:47">
      <c r="B157" s="11">
        <v>163</v>
      </c>
      <c r="C157" s="14" t="s">
        <v>113</v>
      </c>
      <c r="D157" s="14" t="s">
        <v>535</v>
      </c>
      <c r="E157" s="6"/>
      <c r="F157" s="11">
        <v>179</v>
      </c>
      <c r="G157" s="15" t="s">
        <v>129</v>
      </c>
      <c r="H157" s="15" t="s">
        <v>993</v>
      </c>
      <c r="K157" t="str">
        <f t="shared" si="39"/>
        <v>TOGO</v>
      </c>
      <c r="L157">
        <f t="shared" si="40"/>
        <v>166</v>
      </c>
      <c r="P157" t="str">
        <f t="shared" si="41"/>
        <v/>
      </c>
      <c r="Q157" t="str">
        <f t="shared" si="42"/>
        <v>REPUBLIC OF HAITI</v>
      </c>
      <c r="R157">
        <f t="shared" si="43"/>
        <v>182</v>
      </c>
      <c r="V157" t="str">
        <f>IF(TIM!F157="","",TIM!F157)</f>
        <v/>
      </c>
      <c r="W157" t="str">
        <f t="shared" si="44"/>
        <v/>
      </c>
      <c r="X157">
        <f t="shared" si="45"/>
        <v>0</v>
      </c>
      <c r="AI157">
        <f>IF(TIM!P157=TIM!P157,TIM!P157,"")</f>
        <v>0</v>
      </c>
      <c r="AJ157" t="str">
        <f t="shared" si="46"/>
        <v/>
      </c>
      <c r="AK157" t="str">
        <f t="shared" si="47"/>
        <v>0</v>
      </c>
      <c r="AL157" t="str">
        <f t="shared" si="48"/>
        <v>0</v>
      </c>
      <c r="AM157">
        <f t="shared" si="49"/>
        <v>543</v>
      </c>
      <c r="AN157" t="str">
        <f t="shared" si="50"/>
        <v>/0/543</v>
      </c>
      <c r="AP157">
        <f>IF(TIM!O157=TIM!O157,TIM!O157,"")</f>
        <v>0</v>
      </c>
      <c r="AQ157" t="str">
        <f t="shared" si="51"/>
        <v/>
      </c>
      <c r="AR157" t="str">
        <f t="shared" si="52"/>
        <v>0</v>
      </c>
      <c r="AS157" t="str">
        <f t="shared" si="53"/>
        <v>0</v>
      </c>
      <c r="AT157">
        <f t="shared" si="54"/>
        <v>543</v>
      </c>
      <c r="AU157" t="str">
        <f t="shared" si="55"/>
        <v>/0/543</v>
      </c>
    </row>
    <row r="158" spans="2:47">
      <c r="B158" s="11">
        <v>164</v>
      </c>
      <c r="C158" s="14" t="s">
        <v>114</v>
      </c>
      <c r="D158" s="14" t="s">
        <v>709</v>
      </c>
      <c r="E158" s="6"/>
      <c r="F158" s="11">
        <v>180</v>
      </c>
      <c r="G158" s="15" t="s">
        <v>130</v>
      </c>
      <c r="H158" s="15" t="s">
        <v>481</v>
      </c>
      <c r="K158" t="str">
        <f t="shared" si="39"/>
        <v>TUNISIAN</v>
      </c>
      <c r="L158">
        <f t="shared" si="40"/>
        <v>167</v>
      </c>
      <c r="P158" t="str">
        <f t="shared" si="41"/>
        <v/>
      </c>
      <c r="Q158" t="str">
        <f t="shared" si="42"/>
        <v>REPUBLIC OF HONDURAS</v>
      </c>
      <c r="R158">
        <f t="shared" si="43"/>
        <v>183</v>
      </c>
      <c r="V158" t="str">
        <f>IF(TIM!F158="","",TIM!F158)</f>
        <v/>
      </c>
      <c r="W158" t="str">
        <f t="shared" si="44"/>
        <v/>
      </c>
      <c r="X158">
        <f t="shared" si="45"/>
        <v>0</v>
      </c>
      <c r="AI158">
        <f>IF(TIM!P158=TIM!P158,TIM!P158,"")</f>
        <v>0</v>
      </c>
      <c r="AJ158" t="str">
        <f t="shared" si="46"/>
        <v/>
      </c>
      <c r="AK158" t="str">
        <f t="shared" si="47"/>
        <v>0</v>
      </c>
      <c r="AL158" t="str">
        <f t="shared" si="48"/>
        <v>0</v>
      </c>
      <c r="AM158">
        <f t="shared" si="49"/>
        <v>543</v>
      </c>
      <c r="AN158" t="str">
        <f t="shared" si="50"/>
        <v>/0/543</v>
      </c>
      <c r="AP158">
        <f>IF(TIM!O158=TIM!O158,TIM!O158,"")</f>
        <v>0</v>
      </c>
      <c r="AQ158" t="str">
        <f t="shared" si="51"/>
        <v/>
      </c>
      <c r="AR158" t="str">
        <f t="shared" si="52"/>
        <v>0</v>
      </c>
      <c r="AS158" t="str">
        <f t="shared" si="53"/>
        <v>0</v>
      </c>
      <c r="AT158">
        <f t="shared" si="54"/>
        <v>543</v>
      </c>
      <c r="AU158" t="str">
        <f t="shared" si="55"/>
        <v>/0/543</v>
      </c>
    </row>
    <row r="159" spans="2:47">
      <c r="B159" s="11">
        <v>165</v>
      </c>
      <c r="C159" s="14" t="s">
        <v>115</v>
      </c>
      <c r="D159" s="14" t="s">
        <v>571</v>
      </c>
      <c r="E159" s="6"/>
      <c r="F159" s="11">
        <v>181</v>
      </c>
      <c r="G159" s="15" t="s">
        <v>131</v>
      </c>
      <c r="H159" s="15" t="s">
        <v>784</v>
      </c>
      <c r="K159" t="str">
        <f t="shared" si="39"/>
        <v>UGANDA</v>
      </c>
      <c r="L159">
        <f t="shared" si="40"/>
        <v>168</v>
      </c>
      <c r="P159" t="str">
        <f t="shared" si="41"/>
        <v/>
      </c>
      <c r="Q159" t="str">
        <f t="shared" si="42"/>
        <v>JAMAICA</v>
      </c>
      <c r="R159">
        <f t="shared" si="43"/>
        <v>184</v>
      </c>
      <c r="V159" t="str">
        <f>IF(TIM!F159="","",TIM!F159)</f>
        <v/>
      </c>
      <c r="W159" t="str">
        <f t="shared" si="44"/>
        <v/>
      </c>
      <c r="X159">
        <f t="shared" si="45"/>
        <v>0</v>
      </c>
      <c r="AI159">
        <f>IF(TIM!P159=TIM!P159,TIM!P159,"")</f>
        <v>0</v>
      </c>
      <c r="AJ159" t="str">
        <f t="shared" si="46"/>
        <v/>
      </c>
      <c r="AK159" t="str">
        <f t="shared" si="47"/>
        <v>0</v>
      </c>
      <c r="AL159" t="str">
        <f t="shared" si="48"/>
        <v>0</v>
      </c>
      <c r="AM159">
        <f t="shared" si="49"/>
        <v>543</v>
      </c>
      <c r="AN159" t="str">
        <f t="shared" si="50"/>
        <v>/0/543</v>
      </c>
      <c r="AP159">
        <f>IF(TIM!O159=TIM!O159,TIM!O159,"")</f>
        <v>0</v>
      </c>
      <c r="AQ159" t="str">
        <f t="shared" si="51"/>
        <v/>
      </c>
      <c r="AR159" t="str">
        <f t="shared" si="52"/>
        <v>0</v>
      </c>
      <c r="AS159" t="str">
        <f t="shared" si="53"/>
        <v>0</v>
      </c>
      <c r="AT159">
        <f t="shared" si="54"/>
        <v>543</v>
      </c>
      <c r="AU159" t="str">
        <f t="shared" si="55"/>
        <v>/0/543</v>
      </c>
    </row>
    <row r="160" spans="2:47">
      <c r="B160" s="11">
        <v>166</v>
      </c>
      <c r="C160" s="14" t="s">
        <v>116</v>
      </c>
      <c r="D160" s="14" t="s">
        <v>568</v>
      </c>
      <c r="E160" s="6"/>
      <c r="F160" s="11">
        <v>182</v>
      </c>
      <c r="G160" s="15" t="s">
        <v>132</v>
      </c>
      <c r="H160" s="15" t="s">
        <v>1004</v>
      </c>
      <c r="K160" t="str">
        <f t="shared" si="39"/>
        <v>ZAIRE</v>
      </c>
      <c r="L160">
        <f t="shared" si="40"/>
        <v>169</v>
      </c>
      <c r="P160" t="str">
        <f t="shared" si="41"/>
        <v/>
      </c>
      <c r="Q160" t="str">
        <f t="shared" si="42"/>
        <v>REPUBLIC OF NICARAGUA</v>
      </c>
      <c r="R160">
        <f t="shared" si="43"/>
        <v>185</v>
      </c>
      <c r="V160" t="str">
        <f>IF(TIM!F160="","",TIM!F160)</f>
        <v/>
      </c>
      <c r="W160" t="str">
        <f t="shared" si="44"/>
        <v/>
      </c>
      <c r="X160">
        <f t="shared" si="45"/>
        <v>0</v>
      </c>
      <c r="AI160">
        <f>IF(TIM!P160=TIM!P160,TIM!P160,"")</f>
        <v>0</v>
      </c>
      <c r="AJ160" t="str">
        <f t="shared" si="46"/>
        <v/>
      </c>
      <c r="AK160" t="str">
        <f t="shared" si="47"/>
        <v>0</v>
      </c>
      <c r="AL160" t="str">
        <f t="shared" si="48"/>
        <v>0</v>
      </c>
      <c r="AM160">
        <f t="shared" si="49"/>
        <v>543</v>
      </c>
      <c r="AN160" t="str">
        <f t="shared" si="50"/>
        <v>/0/543</v>
      </c>
      <c r="AP160">
        <f>IF(TIM!O160=TIM!O160,TIM!O160,"")</f>
        <v>0</v>
      </c>
      <c r="AQ160" t="str">
        <f t="shared" si="51"/>
        <v/>
      </c>
      <c r="AR160" t="str">
        <f t="shared" si="52"/>
        <v>0</v>
      </c>
      <c r="AS160" t="str">
        <f t="shared" si="53"/>
        <v>0</v>
      </c>
      <c r="AT160">
        <f t="shared" si="54"/>
        <v>543</v>
      </c>
      <c r="AU160" t="str">
        <f t="shared" si="55"/>
        <v>/0/543</v>
      </c>
    </row>
    <row r="161" spans="2:47">
      <c r="B161" s="11">
        <v>167</v>
      </c>
      <c r="C161" s="14" t="s">
        <v>117</v>
      </c>
      <c r="D161" s="14" t="s">
        <v>565</v>
      </c>
      <c r="E161" s="6"/>
      <c r="F161" s="11">
        <v>183</v>
      </c>
      <c r="G161" s="15" t="s">
        <v>133</v>
      </c>
      <c r="H161" s="15" t="s">
        <v>1003</v>
      </c>
      <c r="K161" t="str">
        <f t="shared" si="39"/>
        <v>ZAMBIA</v>
      </c>
      <c r="L161">
        <f t="shared" si="40"/>
        <v>170</v>
      </c>
      <c r="P161" t="str">
        <f t="shared" si="41"/>
        <v/>
      </c>
      <c r="Q161" t="str">
        <f t="shared" si="42"/>
        <v>SAINT KITTS AND NEVIS</v>
      </c>
      <c r="R161">
        <f t="shared" si="43"/>
        <v>186</v>
      </c>
      <c r="V161" t="str">
        <f>IF(TIM!F161="","",TIM!F161)</f>
        <v/>
      </c>
      <c r="W161" t="str">
        <f t="shared" si="44"/>
        <v/>
      </c>
      <c r="X161">
        <f t="shared" si="45"/>
        <v>0</v>
      </c>
      <c r="AI161">
        <f>IF(TIM!P161=TIM!P161,TIM!P161,"")</f>
        <v>0</v>
      </c>
      <c r="AJ161" t="str">
        <f t="shared" si="46"/>
        <v/>
      </c>
      <c r="AK161" t="str">
        <f t="shared" si="47"/>
        <v>0</v>
      </c>
      <c r="AL161" t="str">
        <f t="shared" si="48"/>
        <v>0</v>
      </c>
      <c r="AM161">
        <f t="shared" si="49"/>
        <v>543</v>
      </c>
      <c r="AN161" t="str">
        <f t="shared" si="50"/>
        <v>/0/543</v>
      </c>
      <c r="AP161">
        <f>IF(TIM!O161=TIM!O161,TIM!O161,"")</f>
        <v>0</v>
      </c>
      <c r="AQ161" t="str">
        <f t="shared" si="51"/>
        <v/>
      </c>
      <c r="AR161" t="str">
        <f t="shared" si="52"/>
        <v>0</v>
      </c>
      <c r="AS161" t="str">
        <f t="shared" si="53"/>
        <v>0</v>
      </c>
      <c r="AT161">
        <f t="shared" si="54"/>
        <v>543</v>
      </c>
      <c r="AU161" t="str">
        <f t="shared" si="55"/>
        <v>/0/543</v>
      </c>
    </row>
    <row r="162" spans="2:47">
      <c r="B162" s="11">
        <v>168</v>
      </c>
      <c r="C162" s="14" t="s">
        <v>118</v>
      </c>
      <c r="D162" s="14" t="s">
        <v>664</v>
      </c>
      <c r="E162" s="6"/>
      <c r="F162" s="11">
        <v>184</v>
      </c>
      <c r="G162" s="15" t="s">
        <v>134</v>
      </c>
      <c r="H162" s="15" t="s">
        <v>511</v>
      </c>
      <c r="K162" t="str">
        <f t="shared" si="39"/>
        <v>ZIMBABWE</v>
      </c>
      <c r="L162">
        <f t="shared" si="40"/>
        <v>171</v>
      </c>
      <c r="P162" t="str">
        <f t="shared" si="41"/>
        <v/>
      </c>
      <c r="Q162" t="str">
        <f t="shared" si="42"/>
        <v>SAINT LUCIA</v>
      </c>
      <c r="R162">
        <f t="shared" si="43"/>
        <v>187</v>
      </c>
      <c r="V162" t="str">
        <f>IF(TIM!F162="","",TIM!F162)</f>
        <v/>
      </c>
      <c r="W162" t="str">
        <f t="shared" si="44"/>
        <v/>
      </c>
      <c r="X162">
        <f t="shared" si="45"/>
        <v>0</v>
      </c>
      <c r="AI162">
        <f>IF(TIM!P162=TIM!P162,TIM!P162,"")</f>
        <v>0</v>
      </c>
      <c r="AJ162" t="str">
        <f t="shared" si="46"/>
        <v/>
      </c>
      <c r="AK162" t="str">
        <f t="shared" si="47"/>
        <v>0</v>
      </c>
      <c r="AL162" t="str">
        <f t="shared" si="48"/>
        <v>0</v>
      </c>
      <c r="AM162">
        <f t="shared" si="49"/>
        <v>543</v>
      </c>
      <c r="AN162" t="str">
        <f t="shared" si="50"/>
        <v>/0/543</v>
      </c>
      <c r="AP162">
        <f>IF(TIM!O162=TIM!O162,TIM!O162,"")</f>
        <v>0</v>
      </c>
      <c r="AQ162" t="str">
        <f t="shared" si="51"/>
        <v/>
      </c>
      <c r="AR162" t="str">
        <f t="shared" si="52"/>
        <v>0</v>
      </c>
      <c r="AS162" t="str">
        <f t="shared" si="53"/>
        <v>0</v>
      </c>
      <c r="AT162">
        <f t="shared" si="54"/>
        <v>543</v>
      </c>
      <c r="AU162" t="str">
        <f t="shared" si="55"/>
        <v>/0/543</v>
      </c>
    </row>
    <row r="163" spans="2:47">
      <c r="B163" s="11">
        <v>169</v>
      </c>
      <c r="C163" s="14" t="s">
        <v>119</v>
      </c>
      <c r="D163" s="14" t="s">
        <v>529</v>
      </c>
      <c r="E163" s="6"/>
      <c r="F163" s="11">
        <v>185</v>
      </c>
      <c r="G163" s="15" t="s">
        <v>135</v>
      </c>
      <c r="H163" s="15" t="s">
        <v>854</v>
      </c>
      <c r="K163" t="str">
        <f t="shared" si="39"/>
        <v>ANTIGUA AND BARBUDA</v>
      </c>
      <c r="L163">
        <f t="shared" si="40"/>
        <v>172</v>
      </c>
      <c r="P163" t="str">
        <f t="shared" si="41"/>
        <v/>
      </c>
      <c r="Q163" t="str">
        <f t="shared" si="42"/>
        <v>SAINT VINCENT AND THE GRENADINES</v>
      </c>
      <c r="R163">
        <f t="shared" si="43"/>
        <v>188</v>
      </c>
      <c r="V163" t="str">
        <f>IF(TIM!F163="","",TIM!F163)</f>
        <v/>
      </c>
      <c r="W163" t="str">
        <f t="shared" si="44"/>
        <v/>
      </c>
      <c r="X163">
        <f t="shared" si="45"/>
        <v>0</v>
      </c>
      <c r="AI163">
        <f>IF(TIM!P163=TIM!P163,TIM!P163,"")</f>
        <v>0</v>
      </c>
      <c r="AJ163" t="str">
        <f t="shared" si="46"/>
        <v/>
      </c>
      <c r="AK163" t="str">
        <f t="shared" si="47"/>
        <v>0</v>
      </c>
      <c r="AL163" t="str">
        <f t="shared" si="48"/>
        <v>0</v>
      </c>
      <c r="AM163">
        <f t="shared" si="49"/>
        <v>543</v>
      </c>
      <c r="AN163" t="str">
        <f t="shared" si="50"/>
        <v>/0/543</v>
      </c>
      <c r="AP163">
        <f>IF(TIM!O163=TIM!O163,TIM!O163,"")</f>
        <v>0</v>
      </c>
      <c r="AQ163" t="str">
        <f t="shared" si="51"/>
        <v/>
      </c>
      <c r="AR163" t="str">
        <f t="shared" si="52"/>
        <v>0</v>
      </c>
      <c r="AS163" t="str">
        <f t="shared" si="53"/>
        <v>0</v>
      </c>
      <c r="AT163">
        <f t="shared" si="54"/>
        <v>543</v>
      </c>
      <c r="AU163" t="str">
        <f t="shared" si="55"/>
        <v>/0/543</v>
      </c>
    </row>
    <row r="164" spans="2:47">
      <c r="B164" s="11">
        <v>170</v>
      </c>
      <c r="C164" s="14" t="s">
        <v>120</v>
      </c>
      <c r="D164" s="14" t="s">
        <v>548</v>
      </c>
      <c r="E164" s="6"/>
      <c r="F164" s="11">
        <v>186</v>
      </c>
      <c r="G164" s="15" t="s">
        <v>136</v>
      </c>
      <c r="H164" s="15" t="s">
        <v>538</v>
      </c>
      <c r="K164" t="str">
        <f t="shared" si="39"/>
        <v>BAHAMAS</v>
      </c>
      <c r="L164">
        <f t="shared" si="40"/>
        <v>173</v>
      </c>
      <c r="P164" t="str">
        <f t="shared" si="41"/>
        <v/>
      </c>
      <c r="Q164" t="str">
        <f t="shared" si="42"/>
        <v>REPUBLIC OF TRINIDAD AND TOBAGO</v>
      </c>
      <c r="R164">
        <f t="shared" si="43"/>
        <v>189</v>
      </c>
      <c r="V164" t="str">
        <f>IF(TIM!F164="","",TIM!F164)</f>
        <v/>
      </c>
      <c r="W164" t="str">
        <f t="shared" si="44"/>
        <v/>
      </c>
      <c r="X164">
        <f t="shared" si="45"/>
        <v>0</v>
      </c>
      <c r="AI164">
        <f>IF(TIM!P164=TIM!P164,TIM!P164,"")</f>
        <v>0</v>
      </c>
      <c r="AJ164" t="str">
        <f t="shared" si="46"/>
        <v/>
      </c>
      <c r="AK164" t="str">
        <f t="shared" si="47"/>
        <v>0</v>
      </c>
      <c r="AL164" t="str">
        <f t="shared" si="48"/>
        <v>0</v>
      </c>
      <c r="AM164">
        <f t="shared" si="49"/>
        <v>543</v>
      </c>
      <c r="AN164" t="str">
        <f t="shared" si="50"/>
        <v>/0/543</v>
      </c>
      <c r="AP164">
        <f>IF(TIM!O164=TIM!O164,TIM!O164,"")</f>
        <v>0</v>
      </c>
      <c r="AQ164" t="str">
        <f t="shared" si="51"/>
        <v/>
      </c>
      <c r="AR164" t="str">
        <f t="shared" si="52"/>
        <v>0</v>
      </c>
      <c r="AS164" t="str">
        <f t="shared" si="53"/>
        <v>0</v>
      </c>
      <c r="AT164">
        <f t="shared" si="54"/>
        <v>543</v>
      </c>
      <c r="AU164" t="str">
        <f t="shared" si="55"/>
        <v>/0/543</v>
      </c>
    </row>
    <row r="165" spans="2:47">
      <c r="B165" s="11">
        <v>171</v>
      </c>
      <c r="C165" s="14" t="s">
        <v>121</v>
      </c>
      <c r="D165" s="14" t="s">
        <v>532</v>
      </c>
      <c r="E165" s="6"/>
      <c r="F165" s="11">
        <v>187</v>
      </c>
      <c r="G165" s="15" t="s">
        <v>137</v>
      </c>
      <c r="H165" s="15" t="s">
        <v>539</v>
      </c>
      <c r="K165" t="str">
        <f t="shared" si="39"/>
        <v>BARBADOS</v>
      </c>
      <c r="L165">
        <f t="shared" si="40"/>
        <v>174</v>
      </c>
      <c r="P165" t="str">
        <f t="shared" si="41"/>
        <v/>
      </c>
      <c r="Q165" t="str">
        <f t="shared" si="42"/>
        <v>BOLIVIA</v>
      </c>
      <c r="R165">
        <f t="shared" si="43"/>
        <v>190</v>
      </c>
      <c r="V165" t="str">
        <f>IF(TIM!F165="","",TIM!F165)</f>
        <v/>
      </c>
      <c r="W165" t="str">
        <f t="shared" si="44"/>
        <v/>
      </c>
      <c r="X165">
        <f t="shared" si="45"/>
        <v>0</v>
      </c>
      <c r="AI165">
        <f>IF(TIM!P165=TIM!P165,TIM!P165,"")</f>
        <v>0</v>
      </c>
      <c r="AJ165" t="str">
        <f t="shared" si="46"/>
        <v/>
      </c>
      <c r="AK165" t="str">
        <f t="shared" si="47"/>
        <v>0</v>
      </c>
      <c r="AL165" t="str">
        <f t="shared" si="48"/>
        <v>0</v>
      </c>
      <c r="AM165">
        <f t="shared" si="49"/>
        <v>543</v>
      </c>
      <c r="AN165" t="str">
        <f t="shared" si="50"/>
        <v>/0/543</v>
      </c>
      <c r="AP165">
        <f>IF(TIM!O165=TIM!O165,TIM!O165,"")</f>
        <v>0</v>
      </c>
      <c r="AQ165" t="str">
        <f t="shared" si="51"/>
        <v/>
      </c>
      <c r="AR165" t="str">
        <f t="shared" si="52"/>
        <v>0</v>
      </c>
      <c r="AS165" t="str">
        <f t="shared" si="53"/>
        <v>0</v>
      </c>
      <c r="AT165">
        <f t="shared" si="54"/>
        <v>543</v>
      </c>
      <c r="AU165" t="str">
        <f t="shared" si="55"/>
        <v>/0/543</v>
      </c>
    </row>
    <row r="166" spans="2:47">
      <c r="B166" s="11">
        <v>172</v>
      </c>
      <c r="C166" s="14" t="s">
        <v>122</v>
      </c>
      <c r="D166" s="14" t="s">
        <v>761</v>
      </c>
      <c r="E166" s="6"/>
      <c r="F166" s="11">
        <v>188</v>
      </c>
      <c r="G166" s="15" t="s">
        <v>138</v>
      </c>
      <c r="H166" s="15" t="s">
        <v>826</v>
      </c>
      <c r="K166" t="str">
        <f t="shared" si="39"/>
        <v>BELIZE</v>
      </c>
      <c r="L166">
        <f t="shared" si="40"/>
        <v>175</v>
      </c>
      <c r="P166" t="str">
        <f t="shared" si="41"/>
        <v/>
      </c>
      <c r="Q166" t="str">
        <f t="shared" si="42"/>
        <v>REPUBLIC OF ECUADOR</v>
      </c>
      <c r="R166">
        <f t="shared" si="43"/>
        <v>191</v>
      </c>
      <c r="V166" t="str">
        <f>IF(TIM!F166="","",TIM!F166)</f>
        <v/>
      </c>
      <c r="W166" t="str">
        <f t="shared" si="44"/>
        <v/>
      </c>
      <c r="X166">
        <f t="shared" si="45"/>
        <v>0</v>
      </c>
      <c r="AI166">
        <f>IF(TIM!P166=TIM!P166,TIM!P166,"")</f>
        <v>0</v>
      </c>
      <c r="AJ166" t="str">
        <f t="shared" si="46"/>
        <v/>
      </c>
      <c r="AK166" t="str">
        <f t="shared" si="47"/>
        <v>0</v>
      </c>
      <c r="AL166" t="str">
        <f t="shared" si="48"/>
        <v>0</v>
      </c>
      <c r="AM166">
        <f t="shared" si="49"/>
        <v>543</v>
      </c>
      <c r="AN166" t="str">
        <f t="shared" si="50"/>
        <v>/0/543</v>
      </c>
      <c r="AP166">
        <f>IF(TIM!O166=TIM!O166,TIM!O166,"")</f>
        <v>0</v>
      </c>
      <c r="AQ166" t="str">
        <f t="shared" si="51"/>
        <v/>
      </c>
      <c r="AR166" t="str">
        <f t="shared" si="52"/>
        <v>0</v>
      </c>
      <c r="AS166" t="str">
        <f t="shared" si="53"/>
        <v>0</v>
      </c>
      <c r="AT166">
        <f t="shared" si="54"/>
        <v>543</v>
      </c>
      <c r="AU166" t="str">
        <f t="shared" si="55"/>
        <v>/0/543</v>
      </c>
    </row>
    <row r="167" spans="2:47">
      <c r="B167" s="11">
        <v>173</v>
      </c>
      <c r="C167" s="14" t="s">
        <v>123</v>
      </c>
      <c r="D167" s="14" t="s">
        <v>601</v>
      </c>
      <c r="E167" s="6"/>
      <c r="F167" s="11">
        <v>189</v>
      </c>
      <c r="G167" s="15" t="s">
        <v>139</v>
      </c>
      <c r="H167" s="15" t="s">
        <v>838</v>
      </c>
      <c r="K167" t="str">
        <f t="shared" si="39"/>
        <v>COSTA RICA</v>
      </c>
      <c r="L167">
        <f t="shared" si="40"/>
        <v>176</v>
      </c>
      <c r="P167" t="str">
        <f t="shared" si="41"/>
        <v/>
      </c>
      <c r="Q167" t="str">
        <f t="shared" si="42"/>
        <v>COOPERATIVE REPUBLIC OF GUYANA</v>
      </c>
      <c r="R167">
        <f t="shared" si="43"/>
        <v>192</v>
      </c>
      <c r="V167" t="str">
        <f>IF(TIM!F167="","",TIM!F167)</f>
        <v/>
      </c>
      <c r="W167" t="str">
        <f t="shared" si="44"/>
        <v/>
      </c>
      <c r="X167">
        <f t="shared" si="45"/>
        <v>0</v>
      </c>
      <c r="AI167">
        <f>IF(TIM!P167=TIM!P167,TIM!P167,"")</f>
        <v>0</v>
      </c>
      <c r="AJ167" t="str">
        <f t="shared" si="46"/>
        <v/>
      </c>
      <c r="AK167" t="str">
        <f t="shared" si="47"/>
        <v>0</v>
      </c>
      <c r="AL167" t="str">
        <f t="shared" si="48"/>
        <v>0</v>
      </c>
      <c r="AM167">
        <f t="shared" si="49"/>
        <v>543</v>
      </c>
      <c r="AN167" t="str">
        <f t="shared" si="50"/>
        <v>/0/543</v>
      </c>
      <c r="AP167">
        <f>IF(TIM!O167=TIM!O167,TIM!O167,"")</f>
        <v>0</v>
      </c>
      <c r="AQ167" t="str">
        <f t="shared" si="51"/>
        <v/>
      </c>
      <c r="AR167" t="str">
        <f t="shared" si="52"/>
        <v>0</v>
      </c>
      <c r="AS167" t="str">
        <f t="shared" si="53"/>
        <v>0</v>
      </c>
      <c r="AT167">
        <f t="shared" si="54"/>
        <v>543</v>
      </c>
      <c r="AU167" t="str">
        <f t="shared" si="55"/>
        <v>/0/543</v>
      </c>
    </row>
    <row r="168" spans="2:47">
      <c r="B168" s="11">
        <v>174</v>
      </c>
      <c r="C168" s="14" t="s">
        <v>124</v>
      </c>
      <c r="D168" s="14" t="s">
        <v>599</v>
      </c>
      <c r="E168" s="6"/>
      <c r="F168" s="11">
        <v>190</v>
      </c>
      <c r="G168" s="15" t="s">
        <v>140</v>
      </c>
      <c r="H168" s="15" t="s">
        <v>611</v>
      </c>
      <c r="K168" t="str">
        <f t="shared" si="39"/>
        <v>DOMINICA</v>
      </c>
      <c r="L168">
        <f t="shared" si="40"/>
        <v>177</v>
      </c>
      <c r="P168" t="str">
        <f t="shared" si="41"/>
        <v/>
      </c>
      <c r="Q168" t="str">
        <f t="shared" si="42"/>
        <v>REPUBLIC OF PARAGUAY</v>
      </c>
      <c r="R168">
        <f t="shared" si="43"/>
        <v>193</v>
      </c>
      <c r="V168" t="str">
        <f>IF(TIM!F168="","",TIM!F168)</f>
        <v/>
      </c>
      <c r="W168" t="str">
        <f t="shared" si="44"/>
        <v/>
      </c>
      <c r="X168">
        <f t="shared" si="45"/>
        <v>0</v>
      </c>
      <c r="AI168">
        <f>IF(TIM!P168=TIM!P168,TIM!P168,"")</f>
        <v>0</v>
      </c>
      <c r="AJ168" t="str">
        <f t="shared" si="46"/>
        <v/>
      </c>
      <c r="AK168" t="str">
        <f t="shared" si="47"/>
        <v>0</v>
      </c>
      <c r="AL168" t="str">
        <f t="shared" si="48"/>
        <v>0</v>
      </c>
      <c r="AM168">
        <f t="shared" si="49"/>
        <v>543</v>
      </c>
      <c r="AN168" t="str">
        <f t="shared" si="50"/>
        <v>/0/543</v>
      </c>
      <c r="AP168">
        <f>IF(TIM!O168=TIM!O168,TIM!O168,"")</f>
        <v>0</v>
      </c>
      <c r="AQ168" t="str">
        <f t="shared" si="51"/>
        <v/>
      </c>
      <c r="AR168" t="str">
        <f t="shared" si="52"/>
        <v>0</v>
      </c>
      <c r="AS168" t="str">
        <f t="shared" si="53"/>
        <v>0</v>
      </c>
      <c r="AT168">
        <f t="shared" si="54"/>
        <v>543</v>
      </c>
      <c r="AU168" t="str">
        <f t="shared" si="55"/>
        <v>/0/543</v>
      </c>
    </row>
    <row r="169" spans="2:47">
      <c r="B169" s="11">
        <v>175</v>
      </c>
      <c r="C169" s="14" t="s">
        <v>125</v>
      </c>
      <c r="D169" s="14" t="s">
        <v>609</v>
      </c>
      <c r="E169" s="6"/>
      <c r="F169" s="11">
        <v>191</v>
      </c>
      <c r="G169" s="15" t="s">
        <v>141</v>
      </c>
      <c r="H169" s="15" t="s">
        <v>990</v>
      </c>
      <c r="K169" t="str">
        <f t="shared" si="39"/>
        <v>DOMINICAN</v>
      </c>
      <c r="L169">
        <f t="shared" si="40"/>
        <v>178</v>
      </c>
      <c r="P169" t="str">
        <f t="shared" si="41"/>
        <v/>
      </c>
      <c r="Q169" t="str">
        <f t="shared" si="42"/>
        <v>REPUBLIC OF SURINAME</v>
      </c>
      <c r="R169">
        <f t="shared" si="43"/>
        <v>194</v>
      </c>
      <c r="V169" t="str">
        <f>IF(TIM!F169="","",TIM!F169)</f>
        <v/>
      </c>
      <c r="W169" t="str">
        <f t="shared" si="44"/>
        <v/>
      </c>
      <c r="X169">
        <f t="shared" si="45"/>
        <v>0</v>
      </c>
      <c r="AI169">
        <f>IF(TIM!P169=TIM!P169,TIM!P169,"")</f>
        <v>0</v>
      </c>
      <c r="AJ169" t="str">
        <f t="shared" si="46"/>
        <v/>
      </c>
      <c r="AK169" t="str">
        <f t="shared" si="47"/>
        <v>0</v>
      </c>
      <c r="AL169" t="str">
        <f t="shared" si="48"/>
        <v>0</v>
      </c>
      <c r="AM169">
        <f t="shared" si="49"/>
        <v>543</v>
      </c>
      <c r="AN169" t="str">
        <f t="shared" si="50"/>
        <v>/0/543</v>
      </c>
      <c r="AP169">
        <f>IF(TIM!O169=TIM!O169,TIM!O169,"")</f>
        <v>0</v>
      </c>
      <c r="AQ169" t="str">
        <f t="shared" si="51"/>
        <v/>
      </c>
      <c r="AR169" t="str">
        <f t="shared" si="52"/>
        <v>0</v>
      </c>
      <c r="AS169" t="str">
        <f t="shared" si="53"/>
        <v>0</v>
      </c>
      <c r="AT169">
        <f t="shared" si="54"/>
        <v>543</v>
      </c>
      <c r="AU169" t="str">
        <f t="shared" si="55"/>
        <v>/0/543</v>
      </c>
    </row>
    <row r="170" spans="2:47">
      <c r="B170" s="11">
        <v>176</v>
      </c>
      <c r="C170" s="14" t="s">
        <v>126</v>
      </c>
      <c r="D170" s="14" t="s">
        <v>491</v>
      </c>
      <c r="E170" s="6"/>
      <c r="F170" s="11">
        <v>192</v>
      </c>
      <c r="G170" s="15" t="s">
        <v>142</v>
      </c>
      <c r="H170" s="15" t="s">
        <v>788</v>
      </c>
      <c r="K170" t="str">
        <f t="shared" si="39"/>
        <v>EL,SALVADOR</v>
      </c>
      <c r="L170">
        <f t="shared" si="40"/>
        <v>179</v>
      </c>
      <c r="P170" t="str">
        <f t="shared" si="41"/>
        <v/>
      </c>
      <c r="Q170" t="str">
        <f t="shared" si="42"/>
        <v>ARAB</v>
      </c>
      <c r="R170">
        <f t="shared" si="43"/>
        <v>195</v>
      </c>
      <c r="V170" t="str">
        <f>IF(TIM!F170="","",TIM!F170)</f>
        <v/>
      </c>
      <c r="W170" t="str">
        <f t="shared" si="44"/>
        <v/>
      </c>
      <c r="X170">
        <f t="shared" si="45"/>
        <v>0</v>
      </c>
      <c r="AI170">
        <f>IF(TIM!P170=TIM!P170,TIM!P170,"")</f>
        <v>0</v>
      </c>
      <c r="AJ170" t="str">
        <f t="shared" si="46"/>
        <v/>
      </c>
      <c r="AK170" t="str">
        <f t="shared" si="47"/>
        <v>0</v>
      </c>
      <c r="AL170" t="str">
        <f t="shared" si="48"/>
        <v>0</v>
      </c>
      <c r="AM170">
        <f t="shared" si="49"/>
        <v>543</v>
      </c>
      <c r="AN170" t="str">
        <f t="shared" si="50"/>
        <v>/0/543</v>
      </c>
      <c r="AP170">
        <f>IF(TIM!O170=TIM!O170,TIM!O170,"")</f>
        <v>0</v>
      </c>
      <c r="AQ170" t="str">
        <f t="shared" si="51"/>
        <v/>
      </c>
      <c r="AR170" t="str">
        <f t="shared" si="52"/>
        <v>0</v>
      </c>
      <c r="AS170" t="str">
        <f t="shared" si="53"/>
        <v>0</v>
      </c>
      <c r="AT170">
        <f t="shared" si="54"/>
        <v>543</v>
      </c>
      <c r="AU170" t="str">
        <f t="shared" si="55"/>
        <v>/0/543</v>
      </c>
    </row>
    <row r="171" spans="2:47">
      <c r="B171" s="11">
        <v>177</v>
      </c>
      <c r="C171" s="14" t="s">
        <v>127</v>
      </c>
      <c r="D171" s="14" t="s">
        <v>557</v>
      </c>
      <c r="E171" s="6"/>
      <c r="F171" s="11">
        <v>193</v>
      </c>
      <c r="G171" s="15" t="s">
        <v>143</v>
      </c>
      <c r="H171" s="15" t="s">
        <v>877</v>
      </c>
      <c r="K171" t="str">
        <f t="shared" si="39"/>
        <v>GRENADA</v>
      </c>
      <c r="L171">
        <f t="shared" si="40"/>
        <v>180</v>
      </c>
      <c r="P171" t="str">
        <f t="shared" si="41"/>
        <v/>
      </c>
      <c r="Q171" t="str">
        <f t="shared" si="42"/>
        <v>UKRAINE</v>
      </c>
      <c r="R171">
        <f t="shared" si="43"/>
        <v>216</v>
      </c>
      <c r="V171" t="str">
        <f>IF(TIM!F171="","",TIM!F171)</f>
        <v/>
      </c>
      <c r="W171" t="str">
        <f t="shared" si="44"/>
        <v/>
      </c>
      <c r="X171">
        <f t="shared" si="45"/>
        <v>0</v>
      </c>
      <c r="AI171">
        <f>IF(TIM!P171=TIM!P171,TIM!P171,"")</f>
        <v>0</v>
      </c>
      <c r="AJ171" t="str">
        <f t="shared" si="46"/>
        <v/>
      </c>
      <c r="AK171" t="str">
        <f t="shared" si="47"/>
        <v>0</v>
      </c>
      <c r="AL171" t="str">
        <f t="shared" si="48"/>
        <v>0</v>
      </c>
      <c r="AM171">
        <f t="shared" si="49"/>
        <v>543</v>
      </c>
      <c r="AN171" t="str">
        <f t="shared" si="50"/>
        <v>/0/543</v>
      </c>
      <c r="AP171">
        <f>IF(TIM!O171=TIM!O171,TIM!O171,"")</f>
        <v>0</v>
      </c>
      <c r="AQ171" t="str">
        <f t="shared" si="51"/>
        <v/>
      </c>
      <c r="AR171" t="str">
        <f t="shared" si="52"/>
        <v>0</v>
      </c>
      <c r="AS171" t="str">
        <f t="shared" si="53"/>
        <v>0</v>
      </c>
      <c r="AT171">
        <f t="shared" si="54"/>
        <v>543</v>
      </c>
      <c r="AU171" t="str">
        <f t="shared" si="55"/>
        <v>/0/543</v>
      </c>
    </row>
    <row r="172" spans="2:47">
      <c r="B172" s="11">
        <v>178</v>
      </c>
      <c r="C172" s="14" t="s">
        <v>128</v>
      </c>
      <c r="D172" s="14" t="s">
        <v>556</v>
      </c>
      <c r="E172" s="6"/>
      <c r="F172" s="11">
        <v>194</v>
      </c>
      <c r="G172" s="15" t="s">
        <v>144</v>
      </c>
      <c r="H172" s="15" t="s">
        <v>824</v>
      </c>
      <c r="K172" t="str">
        <f t="shared" si="39"/>
        <v>GUATEMALA</v>
      </c>
      <c r="L172">
        <f t="shared" si="40"/>
        <v>181</v>
      </c>
      <c r="P172" t="str">
        <f t="shared" si="41"/>
        <v/>
      </c>
      <c r="Q172" t="str">
        <f t="shared" si="42"/>
        <v>CHINA (TAIWAN)</v>
      </c>
      <c r="R172">
        <f t="shared" si="43"/>
        <v>220</v>
      </c>
      <c r="V172" t="str">
        <f>IF(TIM!F172="","",TIM!F172)</f>
        <v/>
      </c>
      <c r="W172" t="str">
        <f t="shared" si="44"/>
        <v/>
      </c>
      <c r="X172">
        <f t="shared" si="45"/>
        <v>0</v>
      </c>
      <c r="AI172">
        <f>IF(TIM!P172=TIM!P172,TIM!P172,"")</f>
        <v>0</v>
      </c>
      <c r="AJ172" t="str">
        <f t="shared" si="46"/>
        <v/>
      </c>
      <c r="AK172" t="str">
        <f t="shared" si="47"/>
        <v>0</v>
      </c>
      <c r="AL172" t="str">
        <f t="shared" si="48"/>
        <v>0</v>
      </c>
      <c r="AM172">
        <f t="shared" si="49"/>
        <v>543</v>
      </c>
      <c r="AN172" t="str">
        <f t="shared" si="50"/>
        <v>/0/543</v>
      </c>
      <c r="AP172">
        <f>IF(TIM!O172=TIM!O172,TIM!O172,"")</f>
        <v>0</v>
      </c>
      <c r="AQ172" t="str">
        <f t="shared" si="51"/>
        <v/>
      </c>
      <c r="AR172" t="str">
        <f t="shared" si="52"/>
        <v>0</v>
      </c>
      <c r="AS172" t="str">
        <f t="shared" si="53"/>
        <v>0</v>
      </c>
      <c r="AT172">
        <f t="shared" si="54"/>
        <v>543</v>
      </c>
      <c r="AU172" t="str">
        <f t="shared" si="55"/>
        <v>/0/543</v>
      </c>
    </row>
    <row r="173" spans="2:47">
      <c r="B173" s="11">
        <v>179</v>
      </c>
      <c r="C173" s="14" t="s">
        <v>129</v>
      </c>
      <c r="D173" s="14" t="s">
        <v>758</v>
      </c>
      <c r="E173" s="6"/>
      <c r="F173" s="11">
        <v>195</v>
      </c>
      <c r="G173" s="15" t="s">
        <v>145</v>
      </c>
      <c r="H173" s="15" t="s">
        <v>735</v>
      </c>
      <c r="K173" t="str">
        <f t="shared" si="39"/>
        <v>HAITI</v>
      </c>
      <c r="L173">
        <f t="shared" si="40"/>
        <v>182</v>
      </c>
      <c r="P173" t="str">
        <f t="shared" si="41"/>
        <v/>
      </c>
      <c r="Q173" t="str">
        <f t="shared" si="42"/>
        <v>REPUBLIC OF CROATIA</v>
      </c>
      <c r="R173">
        <f t="shared" si="43"/>
        <v>221</v>
      </c>
      <c r="V173" t="str">
        <f>IF(TIM!F173="","",TIM!F173)</f>
        <v/>
      </c>
      <c r="W173" t="str">
        <f t="shared" si="44"/>
        <v/>
      </c>
      <c r="X173">
        <f t="shared" si="45"/>
        <v>0</v>
      </c>
      <c r="AI173">
        <f>IF(TIM!P173=TIM!P173,TIM!P173,"")</f>
        <v>0</v>
      </c>
      <c r="AJ173" t="str">
        <f t="shared" si="46"/>
        <v/>
      </c>
      <c r="AK173" t="str">
        <f t="shared" si="47"/>
        <v>0</v>
      </c>
      <c r="AL173" t="str">
        <f t="shared" si="48"/>
        <v>0</v>
      </c>
      <c r="AM173">
        <f t="shared" si="49"/>
        <v>543</v>
      </c>
      <c r="AN173" t="str">
        <f t="shared" si="50"/>
        <v>/0/543</v>
      </c>
      <c r="AP173">
        <f>IF(TIM!O173=TIM!O173,TIM!O173,"")</f>
        <v>0</v>
      </c>
      <c r="AQ173" t="str">
        <f t="shared" si="51"/>
        <v/>
      </c>
      <c r="AR173" t="str">
        <f t="shared" si="52"/>
        <v>0</v>
      </c>
      <c r="AS173" t="str">
        <f t="shared" si="53"/>
        <v>0</v>
      </c>
      <c r="AT173">
        <f t="shared" si="54"/>
        <v>543</v>
      </c>
      <c r="AU173" t="str">
        <f t="shared" si="55"/>
        <v>/0/543</v>
      </c>
    </row>
    <row r="174" spans="2:47">
      <c r="B174" s="11">
        <v>180</v>
      </c>
      <c r="C174" s="14" t="s">
        <v>130</v>
      </c>
      <c r="D174" s="14" t="s">
        <v>481</v>
      </c>
      <c r="E174" s="6"/>
      <c r="F174" s="11">
        <v>216</v>
      </c>
      <c r="G174" s="15" t="s">
        <v>666</v>
      </c>
      <c r="H174" s="15" t="s">
        <v>667</v>
      </c>
      <c r="K174" t="str">
        <f t="shared" si="39"/>
        <v>HONDURAS</v>
      </c>
      <c r="L174">
        <f t="shared" si="40"/>
        <v>183</v>
      </c>
      <c r="P174" t="str">
        <f t="shared" si="41"/>
        <v/>
      </c>
      <c r="Q174" t="str">
        <f t="shared" si="42"/>
        <v>REPUBLIC OF KAZAKHSTAN</v>
      </c>
      <c r="R174">
        <f t="shared" si="43"/>
        <v>223</v>
      </c>
      <c r="V174" t="str">
        <f>IF(TIM!F174="","",TIM!F174)</f>
        <v/>
      </c>
      <c r="W174" t="str">
        <f t="shared" si="44"/>
        <v/>
      </c>
      <c r="X174">
        <f t="shared" si="45"/>
        <v>0</v>
      </c>
      <c r="AI174">
        <f>IF(TIM!P174=TIM!P174,TIM!P174,"")</f>
        <v>0</v>
      </c>
      <c r="AJ174" t="str">
        <f t="shared" si="46"/>
        <v/>
      </c>
      <c r="AK174" t="str">
        <f t="shared" si="47"/>
        <v>0</v>
      </c>
      <c r="AL174" t="str">
        <f t="shared" si="48"/>
        <v>0</v>
      </c>
      <c r="AM174">
        <f t="shared" si="49"/>
        <v>543</v>
      </c>
      <c r="AN174" t="str">
        <f t="shared" si="50"/>
        <v>/0/543</v>
      </c>
      <c r="AP174">
        <f>IF(TIM!O174=TIM!O174,TIM!O174,"")</f>
        <v>0</v>
      </c>
      <c r="AQ174" t="str">
        <f t="shared" si="51"/>
        <v/>
      </c>
      <c r="AR174" t="str">
        <f t="shared" si="52"/>
        <v>0</v>
      </c>
      <c r="AS174" t="str">
        <f t="shared" si="53"/>
        <v>0</v>
      </c>
      <c r="AT174">
        <f t="shared" si="54"/>
        <v>543</v>
      </c>
      <c r="AU174" t="str">
        <f t="shared" si="55"/>
        <v>/0/543</v>
      </c>
    </row>
    <row r="175" spans="2:47">
      <c r="B175" s="11">
        <v>181</v>
      </c>
      <c r="C175" s="14" t="s">
        <v>131</v>
      </c>
      <c r="D175" s="14" t="s">
        <v>472</v>
      </c>
      <c r="E175" s="6"/>
      <c r="F175" s="11">
        <v>220</v>
      </c>
      <c r="G175" s="15" t="s">
        <v>846</v>
      </c>
      <c r="H175" s="15" t="s">
        <v>517</v>
      </c>
      <c r="K175" t="str">
        <f t="shared" si="39"/>
        <v>JAMAICA</v>
      </c>
      <c r="L175">
        <f t="shared" si="40"/>
        <v>184</v>
      </c>
      <c r="P175" t="str">
        <f t="shared" si="41"/>
        <v/>
      </c>
      <c r="Q175" t="str">
        <f t="shared" si="42"/>
        <v>REPUBLIC OF ARMENIA</v>
      </c>
      <c r="R175">
        <f t="shared" si="43"/>
        <v>224</v>
      </c>
      <c r="V175" t="str">
        <f>IF(TIM!F175="","",TIM!F175)</f>
        <v/>
      </c>
      <c r="W175" t="str">
        <f t="shared" si="44"/>
        <v/>
      </c>
      <c r="X175">
        <f t="shared" si="45"/>
        <v>0</v>
      </c>
      <c r="AI175">
        <f>IF(TIM!P175=TIM!P175,TIM!P175,"")</f>
        <v>0</v>
      </c>
      <c r="AJ175" t="str">
        <f t="shared" si="46"/>
        <v/>
      </c>
      <c r="AK175" t="str">
        <f t="shared" si="47"/>
        <v>0</v>
      </c>
      <c r="AL175" t="str">
        <f t="shared" si="48"/>
        <v>0</v>
      </c>
      <c r="AM175">
        <f t="shared" si="49"/>
        <v>543</v>
      </c>
      <c r="AN175" t="str">
        <f t="shared" si="50"/>
        <v>/0/543</v>
      </c>
      <c r="AP175">
        <f>IF(TIM!O175=TIM!O175,TIM!O175,"")</f>
        <v>0</v>
      </c>
      <c r="AQ175" t="str">
        <f t="shared" si="51"/>
        <v/>
      </c>
      <c r="AR175" t="str">
        <f t="shared" si="52"/>
        <v>0</v>
      </c>
      <c r="AS175" t="str">
        <f t="shared" si="53"/>
        <v>0</v>
      </c>
      <c r="AT175">
        <f t="shared" si="54"/>
        <v>543</v>
      </c>
      <c r="AU175" t="str">
        <f t="shared" si="55"/>
        <v>/0/543</v>
      </c>
    </row>
    <row r="176" spans="2:47">
      <c r="B176" s="11">
        <v>182</v>
      </c>
      <c r="C176" s="14" t="s">
        <v>132</v>
      </c>
      <c r="D176" s="14" t="s">
        <v>776</v>
      </c>
      <c r="E176" s="6"/>
      <c r="F176" s="11">
        <v>221</v>
      </c>
      <c r="G176" s="15" t="s">
        <v>945</v>
      </c>
      <c r="H176" s="15" t="s">
        <v>946</v>
      </c>
      <c r="K176" t="str">
        <f t="shared" si="39"/>
        <v>NICARAGUA</v>
      </c>
      <c r="L176">
        <f t="shared" si="40"/>
        <v>185</v>
      </c>
      <c r="P176" t="str">
        <f t="shared" si="41"/>
        <v/>
      </c>
      <c r="Q176" t="str">
        <f t="shared" si="42"/>
        <v>REPUBLIC OF AZERBAIJAN</v>
      </c>
      <c r="R176">
        <f t="shared" si="43"/>
        <v>225</v>
      </c>
      <c r="V176" t="str">
        <f>IF(TIM!F176="","",TIM!F176)</f>
        <v/>
      </c>
      <c r="W176" t="str">
        <f t="shared" si="44"/>
        <v/>
      </c>
      <c r="X176">
        <f t="shared" si="45"/>
        <v>0</v>
      </c>
      <c r="AI176">
        <f>IF(TIM!P176=TIM!P176,TIM!P176,"")</f>
        <v>0</v>
      </c>
      <c r="AJ176" t="str">
        <f t="shared" si="46"/>
        <v/>
      </c>
      <c r="AK176" t="str">
        <f t="shared" si="47"/>
        <v>0</v>
      </c>
      <c r="AL176" t="str">
        <f t="shared" si="48"/>
        <v>0</v>
      </c>
      <c r="AM176">
        <f t="shared" si="49"/>
        <v>543</v>
      </c>
      <c r="AN176" t="str">
        <f t="shared" si="50"/>
        <v>/0/543</v>
      </c>
      <c r="AP176">
        <f>IF(TIM!O176=TIM!O176,TIM!O176,"")</f>
        <v>0</v>
      </c>
      <c r="AQ176" t="str">
        <f t="shared" si="51"/>
        <v/>
      </c>
      <c r="AR176" t="str">
        <f t="shared" si="52"/>
        <v>0</v>
      </c>
      <c r="AS176" t="str">
        <f t="shared" si="53"/>
        <v>0</v>
      </c>
      <c r="AT176">
        <f t="shared" si="54"/>
        <v>543</v>
      </c>
      <c r="AU176" t="str">
        <f t="shared" si="55"/>
        <v>/0/543</v>
      </c>
    </row>
    <row r="177" spans="2:47">
      <c r="B177" s="11">
        <v>183</v>
      </c>
      <c r="C177" s="14" t="s">
        <v>133</v>
      </c>
      <c r="D177" s="14" t="s">
        <v>773</v>
      </c>
      <c r="E177" s="6"/>
      <c r="F177" s="11">
        <v>223</v>
      </c>
      <c r="G177" s="15" t="s">
        <v>802</v>
      </c>
      <c r="H177" s="15" t="s">
        <v>803</v>
      </c>
      <c r="K177" t="str">
        <f t="shared" si="39"/>
        <v>SAINT KITTS AND NEVIS</v>
      </c>
      <c r="L177">
        <f t="shared" si="40"/>
        <v>186</v>
      </c>
      <c r="P177" t="str">
        <f t="shared" si="41"/>
        <v/>
      </c>
      <c r="Q177" t="str">
        <f t="shared" si="42"/>
        <v>REPUBLIC OF GEORGIA</v>
      </c>
      <c r="R177">
        <f t="shared" si="43"/>
        <v>226</v>
      </c>
      <c r="V177" t="str">
        <f>IF(TIM!F177="","",TIM!F177)</f>
        <v/>
      </c>
      <c r="W177" t="str">
        <f t="shared" si="44"/>
        <v/>
      </c>
      <c r="X177">
        <f t="shared" si="45"/>
        <v>0</v>
      </c>
      <c r="AI177">
        <f>IF(TIM!P177=TIM!P177,TIM!P177,"")</f>
        <v>0</v>
      </c>
      <c r="AJ177" t="str">
        <f t="shared" si="46"/>
        <v/>
      </c>
      <c r="AK177" t="str">
        <f t="shared" si="47"/>
        <v>0</v>
      </c>
      <c r="AL177" t="str">
        <f t="shared" si="48"/>
        <v>0</v>
      </c>
      <c r="AM177">
        <f t="shared" si="49"/>
        <v>543</v>
      </c>
      <c r="AN177" t="str">
        <f t="shared" si="50"/>
        <v>/0/543</v>
      </c>
      <c r="AP177">
        <f>IF(TIM!O177=TIM!O177,TIM!O177,"")</f>
        <v>0</v>
      </c>
      <c r="AQ177" t="str">
        <f t="shared" si="51"/>
        <v/>
      </c>
      <c r="AR177" t="str">
        <f t="shared" si="52"/>
        <v>0</v>
      </c>
      <c r="AS177" t="str">
        <f t="shared" si="53"/>
        <v>0</v>
      </c>
      <c r="AT177">
        <f t="shared" si="54"/>
        <v>543</v>
      </c>
      <c r="AU177" t="str">
        <f t="shared" si="55"/>
        <v>/0/543</v>
      </c>
    </row>
    <row r="178" spans="2:47">
      <c r="B178" s="11">
        <v>184</v>
      </c>
      <c r="C178" s="14" t="s">
        <v>134</v>
      </c>
      <c r="D178" s="14" t="s">
        <v>511</v>
      </c>
      <c r="E178" s="6"/>
      <c r="F178" s="11">
        <v>224</v>
      </c>
      <c r="G178" s="15" t="s">
        <v>161</v>
      </c>
      <c r="H178" s="15" t="s">
        <v>977</v>
      </c>
      <c r="K178" t="str">
        <f t="shared" si="39"/>
        <v>SAINT LUCIA</v>
      </c>
      <c r="L178">
        <f t="shared" si="40"/>
        <v>187</v>
      </c>
      <c r="P178" t="str">
        <f t="shared" si="41"/>
        <v/>
      </c>
      <c r="Q178" t="str">
        <f t="shared" si="42"/>
        <v>KYRGYZ REPUBLIC</v>
      </c>
      <c r="R178">
        <f t="shared" si="43"/>
        <v>227</v>
      </c>
      <c r="V178" t="str">
        <f>IF(TIM!F178="","",TIM!F178)</f>
        <v/>
      </c>
      <c r="W178" t="str">
        <f t="shared" si="44"/>
        <v/>
      </c>
      <c r="X178">
        <f t="shared" si="45"/>
        <v>0</v>
      </c>
      <c r="AI178">
        <f>IF(TIM!P178=TIM!P178,TIM!P178,"")</f>
        <v>0</v>
      </c>
      <c r="AJ178" t="str">
        <f t="shared" si="46"/>
        <v/>
      </c>
      <c r="AK178" t="str">
        <f t="shared" si="47"/>
        <v>0</v>
      </c>
      <c r="AL178" t="str">
        <f t="shared" si="48"/>
        <v>0</v>
      </c>
      <c r="AM178">
        <f t="shared" si="49"/>
        <v>543</v>
      </c>
      <c r="AN178" t="str">
        <f t="shared" si="50"/>
        <v>/0/543</v>
      </c>
      <c r="AP178">
        <f>IF(TIM!O178=TIM!O178,TIM!O178,"")</f>
        <v>0</v>
      </c>
      <c r="AQ178" t="str">
        <f t="shared" si="51"/>
        <v/>
      </c>
      <c r="AR178" t="str">
        <f t="shared" si="52"/>
        <v>0</v>
      </c>
      <c r="AS178" t="str">
        <f t="shared" si="53"/>
        <v>0</v>
      </c>
      <c r="AT178">
        <f t="shared" si="54"/>
        <v>543</v>
      </c>
      <c r="AU178" t="str">
        <f t="shared" si="55"/>
        <v>/0/543</v>
      </c>
    </row>
    <row r="179" spans="2:47">
      <c r="B179" s="11">
        <v>185</v>
      </c>
      <c r="C179" s="14" t="s">
        <v>135</v>
      </c>
      <c r="D179" s="14" t="s">
        <v>581</v>
      </c>
      <c r="E179" s="6"/>
      <c r="F179" s="11">
        <v>225</v>
      </c>
      <c r="G179" s="15" t="s">
        <v>162</v>
      </c>
      <c r="H179" s="15" t="s">
        <v>975</v>
      </c>
      <c r="K179" t="str">
        <f t="shared" si="39"/>
        <v>SAINT VINCENT AND THE</v>
      </c>
      <c r="L179">
        <f t="shared" si="40"/>
        <v>188</v>
      </c>
      <c r="P179" t="str">
        <f t="shared" si="41"/>
        <v/>
      </c>
      <c r="Q179" t="str">
        <f t="shared" si="42"/>
        <v>REPUBLIC OF TAJIKSTAN</v>
      </c>
      <c r="R179">
        <f t="shared" si="43"/>
        <v>228</v>
      </c>
      <c r="V179" t="str">
        <f>IF(TIM!F179="","",TIM!F179)</f>
        <v/>
      </c>
      <c r="W179" t="str">
        <f t="shared" si="44"/>
        <v/>
      </c>
      <c r="X179">
        <f t="shared" si="45"/>
        <v>0</v>
      </c>
      <c r="AI179">
        <f>IF(TIM!P179=TIM!P179,TIM!P179,"")</f>
        <v>0</v>
      </c>
      <c r="AJ179" t="str">
        <f t="shared" si="46"/>
        <v/>
      </c>
      <c r="AK179" t="str">
        <f t="shared" si="47"/>
        <v>0</v>
      </c>
      <c r="AL179" t="str">
        <f t="shared" si="48"/>
        <v>0</v>
      </c>
      <c r="AM179">
        <f t="shared" si="49"/>
        <v>543</v>
      </c>
      <c r="AN179" t="str">
        <f t="shared" si="50"/>
        <v>/0/543</v>
      </c>
      <c r="AP179">
        <f>IF(TIM!O179=TIM!O179,TIM!O179,"")</f>
        <v>0</v>
      </c>
      <c r="AQ179" t="str">
        <f t="shared" si="51"/>
        <v/>
      </c>
      <c r="AR179" t="str">
        <f t="shared" si="52"/>
        <v>0</v>
      </c>
      <c r="AS179" t="str">
        <f t="shared" si="53"/>
        <v>0</v>
      </c>
      <c r="AT179">
        <f t="shared" si="54"/>
        <v>543</v>
      </c>
      <c r="AU179" t="str">
        <f t="shared" si="55"/>
        <v>/0/543</v>
      </c>
    </row>
    <row r="180" spans="2:47">
      <c r="B180" s="11">
        <v>186</v>
      </c>
      <c r="C180" s="14" t="s">
        <v>136</v>
      </c>
      <c r="D180" s="14" t="s">
        <v>538</v>
      </c>
      <c r="E180" s="6"/>
      <c r="F180" s="11">
        <v>226</v>
      </c>
      <c r="G180" s="15" t="s">
        <v>163</v>
      </c>
      <c r="H180" s="15" t="s">
        <v>813</v>
      </c>
      <c r="K180" t="str">
        <f t="shared" si="39"/>
        <v>TRINIDAD AND TOBAGO</v>
      </c>
      <c r="L180">
        <f t="shared" si="40"/>
        <v>189</v>
      </c>
      <c r="P180" t="str">
        <f t="shared" si="41"/>
        <v/>
      </c>
      <c r="Q180" t="str">
        <f t="shared" si="42"/>
        <v>REPUBLIC OF UZBEKISTAN</v>
      </c>
      <c r="R180">
        <f t="shared" si="43"/>
        <v>229</v>
      </c>
      <c r="V180" t="str">
        <f>IF(TIM!F180="","",TIM!F180)</f>
        <v/>
      </c>
      <c r="W180" t="str">
        <f t="shared" si="44"/>
        <v/>
      </c>
      <c r="X180">
        <f t="shared" si="45"/>
        <v>0</v>
      </c>
      <c r="AI180">
        <f>IF(TIM!P180=TIM!P180,TIM!P180,"")</f>
        <v>0</v>
      </c>
      <c r="AJ180" t="str">
        <f t="shared" si="46"/>
        <v/>
      </c>
      <c r="AK180" t="str">
        <f t="shared" si="47"/>
        <v>0</v>
      </c>
      <c r="AL180" t="str">
        <f t="shared" si="48"/>
        <v>0</v>
      </c>
      <c r="AM180">
        <f t="shared" si="49"/>
        <v>543</v>
      </c>
      <c r="AN180" t="str">
        <f t="shared" si="50"/>
        <v>/0/543</v>
      </c>
      <c r="AP180">
        <f>IF(TIM!O180=TIM!O180,TIM!O180,"")</f>
        <v>0</v>
      </c>
      <c r="AQ180" t="str">
        <f t="shared" si="51"/>
        <v/>
      </c>
      <c r="AR180" t="str">
        <f t="shared" si="52"/>
        <v>0</v>
      </c>
      <c r="AS180" t="str">
        <f t="shared" si="53"/>
        <v>0</v>
      </c>
      <c r="AT180">
        <f t="shared" si="54"/>
        <v>543</v>
      </c>
      <c r="AU180" t="str">
        <f t="shared" si="55"/>
        <v>/0/543</v>
      </c>
    </row>
    <row r="181" spans="2:47">
      <c r="B181" s="11">
        <v>187</v>
      </c>
      <c r="C181" s="14" t="s">
        <v>137</v>
      </c>
      <c r="D181" s="14" t="s">
        <v>539</v>
      </c>
      <c r="E181" s="6"/>
      <c r="F181" s="11">
        <v>227</v>
      </c>
      <c r="G181" s="15" t="s">
        <v>164</v>
      </c>
      <c r="H181" s="15" t="s">
        <v>806</v>
      </c>
      <c r="K181" t="str">
        <f t="shared" si="39"/>
        <v>BOLIVIA</v>
      </c>
      <c r="L181">
        <f t="shared" si="40"/>
        <v>190</v>
      </c>
      <c r="P181" t="str">
        <f t="shared" si="41"/>
        <v/>
      </c>
      <c r="Q181" t="str">
        <f t="shared" si="42"/>
        <v>REPUBLIC OF THE MARSHALL ISLANDS</v>
      </c>
      <c r="R181">
        <f t="shared" si="43"/>
        <v>230</v>
      </c>
      <c r="V181" t="str">
        <f>IF(TIM!F181="","",TIM!F181)</f>
        <v/>
      </c>
      <c r="W181" t="str">
        <f t="shared" si="44"/>
        <v/>
      </c>
      <c r="X181">
        <f t="shared" si="45"/>
        <v>0</v>
      </c>
      <c r="AI181">
        <f>IF(TIM!P181=TIM!P181,TIM!P181,"")</f>
        <v>0</v>
      </c>
      <c r="AJ181" t="str">
        <f t="shared" si="46"/>
        <v/>
      </c>
      <c r="AK181" t="str">
        <f t="shared" si="47"/>
        <v>0</v>
      </c>
      <c r="AL181" t="str">
        <f t="shared" si="48"/>
        <v>0</v>
      </c>
      <c r="AM181">
        <f t="shared" si="49"/>
        <v>543</v>
      </c>
      <c r="AN181" t="str">
        <f t="shared" si="50"/>
        <v>/0/543</v>
      </c>
      <c r="AP181">
        <f>IF(TIM!O181=TIM!O181,TIM!O181,"")</f>
        <v>0</v>
      </c>
      <c r="AQ181" t="str">
        <f t="shared" si="51"/>
        <v/>
      </c>
      <c r="AR181" t="str">
        <f t="shared" si="52"/>
        <v>0</v>
      </c>
      <c r="AS181" t="str">
        <f t="shared" si="53"/>
        <v>0</v>
      </c>
      <c r="AT181">
        <f t="shared" si="54"/>
        <v>543</v>
      </c>
      <c r="AU181" t="str">
        <f t="shared" si="55"/>
        <v>/0/543</v>
      </c>
    </row>
    <row r="182" spans="2:47">
      <c r="B182" s="11">
        <v>188</v>
      </c>
      <c r="C182" s="14" t="s">
        <v>138</v>
      </c>
      <c r="D182" s="14" t="s">
        <v>540</v>
      </c>
      <c r="E182" s="6"/>
      <c r="F182" s="11">
        <v>228</v>
      </c>
      <c r="G182" s="15" t="s">
        <v>847</v>
      </c>
      <c r="H182" s="15" t="s">
        <v>848</v>
      </c>
      <c r="K182" t="str">
        <f t="shared" si="39"/>
        <v>ECUADOR</v>
      </c>
      <c r="L182">
        <f t="shared" si="40"/>
        <v>191</v>
      </c>
      <c r="P182" t="str">
        <f t="shared" si="41"/>
        <v/>
      </c>
      <c r="Q182" t="str">
        <f t="shared" si="42"/>
        <v>FEDERATED STATES OF MICRONESIA</v>
      </c>
      <c r="R182">
        <f t="shared" si="43"/>
        <v>231</v>
      </c>
      <c r="V182" t="str">
        <f>IF(TIM!F182="","",TIM!F182)</f>
        <v/>
      </c>
      <c r="W182" t="str">
        <f t="shared" si="44"/>
        <v/>
      </c>
      <c r="X182">
        <f t="shared" si="45"/>
        <v>0</v>
      </c>
      <c r="AI182">
        <f>IF(TIM!P182=TIM!P182,TIM!P182,"")</f>
        <v>0</v>
      </c>
      <c r="AJ182" t="str">
        <f t="shared" si="46"/>
        <v/>
      </c>
      <c r="AK182" t="str">
        <f t="shared" si="47"/>
        <v>0</v>
      </c>
      <c r="AL182" t="str">
        <f t="shared" si="48"/>
        <v>0</v>
      </c>
      <c r="AM182">
        <f t="shared" si="49"/>
        <v>543</v>
      </c>
      <c r="AN182" t="str">
        <f t="shared" si="50"/>
        <v>/0/543</v>
      </c>
      <c r="AP182">
        <f>IF(TIM!O182=TIM!O182,TIM!O182,"")</f>
        <v>0</v>
      </c>
      <c r="AQ182" t="str">
        <f t="shared" si="51"/>
        <v/>
      </c>
      <c r="AR182" t="str">
        <f t="shared" si="52"/>
        <v>0</v>
      </c>
      <c r="AS182" t="str">
        <f t="shared" si="53"/>
        <v>0</v>
      </c>
      <c r="AT182">
        <f t="shared" si="54"/>
        <v>543</v>
      </c>
      <c r="AU182" t="str">
        <f t="shared" si="55"/>
        <v>/0/543</v>
      </c>
    </row>
    <row r="183" spans="2:47">
      <c r="B183" s="11">
        <v>189</v>
      </c>
      <c r="C183" s="14" t="s">
        <v>139</v>
      </c>
      <c r="D183" s="14" t="s">
        <v>558</v>
      </c>
      <c r="E183" s="6"/>
      <c r="F183" s="11">
        <v>229</v>
      </c>
      <c r="G183" s="15" t="s">
        <v>988</v>
      </c>
      <c r="H183" s="15" t="s">
        <v>989</v>
      </c>
      <c r="K183" t="str">
        <f t="shared" si="39"/>
        <v>GUYANA</v>
      </c>
      <c r="L183">
        <f t="shared" si="40"/>
        <v>192</v>
      </c>
      <c r="P183" t="str">
        <f t="shared" si="41"/>
        <v/>
      </c>
      <c r="Q183" t="str">
        <f t="shared" si="42"/>
        <v>REPUBLIC OF PALAU</v>
      </c>
      <c r="R183">
        <f t="shared" si="43"/>
        <v>232</v>
      </c>
      <c r="V183" t="str">
        <f>IF(TIM!F183="","",TIM!F183)</f>
        <v/>
      </c>
      <c r="W183" t="str">
        <f t="shared" si="44"/>
        <v/>
      </c>
      <c r="X183">
        <f t="shared" si="45"/>
        <v>0</v>
      </c>
      <c r="AI183">
        <f>IF(TIM!P183=TIM!P183,TIM!P183,"")</f>
        <v>0</v>
      </c>
      <c r="AJ183" t="str">
        <f t="shared" si="46"/>
        <v/>
      </c>
      <c r="AK183" t="str">
        <f t="shared" si="47"/>
        <v>0</v>
      </c>
      <c r="AL183" t="str">
        <f t="shared" si="48"/>
        <v>0</v>
      </c>
      <c r="AM183">
        <f t="shared" si="49"/>
        <v>543</v>
      </c>
      <c r="AN183" t="str">
        <f t="shared" si="50"/>
        <v>/0/543</v>
      </c>
      <c r="AP183">
        <f>IF(TIM!O183=TIM!O183,TIM!O183,"")</f>
        <v>0</v>
      </c>
      <c r="AQ183" t="str">
        <f t="shared" si="51"/>
        <v/>
      </c>
      <c r="AR183" t="str">
        <f t="shared" si="52"/>
        <v>0</v>
      </c>
      <c r="AS183" t="str">
        <f t="shared" si="53"/>
        <v>0</v>
      </c>
      <c r="AT183">
        <f t="shared" si="54"/>
        <v>543</v>
      </c>
      <c r="AU183" t="str">
        <f t="shared" si="55"/>
        <v>/0/543</v>
      </c>
    </row>
    <row r="184" spans="2:47">
      <c r="B184" s="11">
        <v>190</v>
      </c>
      <c r="C184" s="14" t="s">
        <v>140</v>
      </c>
      <c r="D184" s="14" t="s">
        <v>611</v>
      </c>
      <c r="E184" s="6"/>
      <c r="F184" s="11">
        <v>230</v>
      </c>
      <c r="G184" s="15" t="s">
        <v>167</v>
      </c>
      <c r="H184" s="15" t="s">
        <v>969</v>
      </c>
      <c r="K184" t="str">
        <f t="shared" si="39"/>
        <v>PARAGUAY</v>
      </c>
      <c r="L184">
        <f t="shared" si="40"/>
        <v>193</v>
      </c>
      <c r="P184" t="str">
        <f t="shared" si="41"/>
        <v/>
      </c>
      <c r="Q184" t="str">
        <f t="shared" si="42"/>
        <v>REPUBLIC OF BELARUS</v>
      </c>
      <c r="R184">
        <f t="shared" si="43"/>
        <v>233</v>
      </c>
      <c r="V184" t="str">
        <f>IF(TIM!F184="","",TIM!F184)</f>
        <v/>
      </c>
      <c r="W184" t="str">
        <f t="shared" si="44"/>
        <v/>
      </c>
      <c r="X184">
        <f t="shared" si="45"/>
        <v>0</v>
      </c>
      <c r="AI184">
        <f>IF(TIM!P184=TIM!P184,TIM!P184,"")</f>
        <v>0</v>
      </c>
      <c r="AJ184" t="str">
        <f t="shared" si="46"/>
        <v/>
      </c>
      <c r="AK184" t="str">
        <f t="shared" si="47"/>
        <v>0</v>
      </c>
      <c r="AL184" t="str">
        <f t="shared" si="48"/>
        <v>0</v>
      </c>
      <c r="AM184">
        <f t="shared" si="49"/>
        <v>543</v>
      </c>
      <c r="AN184" t="str">
        <f t="shared" si="50"/>
        <v>/0/543</v>
      </c>
      <c r="AP184">
        <f>IF(TIM!O184=TIM!O184,TIM!O184,"")</f>
        <v>0</v>
      </c>
      <c r="AQ184" t="str">
        <f t="shared" si="51"/>
        <v/>
      </c>
      <c r="AR184" t="str">
        <f t="shared" si="52"/>
        <v>0</v>
      </c>
      <c r="AS184" t="str">
        <f t="shared" si="53"/>
        <v>0</v>
      </c>
      <c r="AT184">
        <f t="shared" si="54"/>
        <v>543</v>
      </c>
      <c r="AU184" t="str">
        <f t="shared" si="55"/>
        <v>/0/543</v>
      </c>
    </row>
    <row r="185" spans="2:47">
      <c r="B185" s="11">
        <v>191</v>
      </c>
      <c r="C185" s="14" t="s">
        <v>141</v>
      </c>
      <c r="D185" s="14" t="s">
        <v>755</v>
      </c>
      <c r="E185" s="6"/>
      <c r="F185" s="11">
        <v>231</v>
      </c>
      <c r="G185" s="15" t="s">
        <v>168</v>
      </c>
      <c r="H185" s="15" t="s">
        <v>904</v>
      </c>
      <c r="K185" t="str">
        <f t="shared" si="39"/>
        <v>SURINAME</v>
      </c>
      <c r="L185">
        <f t="shared" si="40"/>
        <v>194</v>
      </c>
      <c r="P185" t="str">
        <f t="shared" si="41"/>
        <v/>
      </c>
      <c r="Q185" t="str">
        <f t="shared" si="42"/>
        <v>REPUBLIC OF BOSNIA AND HERZEGOVINA</v>
      </c>
      <c r="R185">
        <f t="shared" si="43"/>
        <v>234</v>
      </c>
      <c r="V185" t="str">
        <f>IF(TIM!F185="","",TIM!F185)</f>
        <v/>
      </c>
      <c r="W185" t="str">
        <f t="shared" si="44"/>
        <v/>
      </c>
      <c r="X185">
        <f t="shared" si="45"/>
        <v>0</v>
      </c>
      <c r="AI185">
        <f>IF(TIM!P185=TIM!P185,TIM!P185,"")</f>
        <v>0</v>
      </c>
      <c r="AJ185" t="str">
        <f t="shared" si="46"/>
        <v/>
      </c>
      <c r="AK185" t="str">
        <f t="shared" si="47"/>
        <v>0</v>
      </c>
      <c r="AL185" t="str">
        <f t="shared" si="48"/>
        <v>0</v>
      </c>
      <c r="AM185">
        <f t="shared" si="49"/>
        <v>543</v>
      </c>
      <c r="AN185" t="str">
        <f t="shared" si="50"/>
        <v>/0/543</v>
      </c>
      <c r="AP185">
        <f>IF(TIM!O185=TIM!O185,TIM!O185,"")</f>
        <v>0</v>
      </c>
      <c r="AQ185" t="str">
        <f t="shared" si="51"/>
        <v/>
      </c>
      <c r="AR185" t="str">
        <f t="shared" si="52"/>
        <v>0</v>
      </c>
      <c r="AS185" t="str">
        <f t="shared" si="53"/>
        <v>0</v>
      </c>
      <c r="AT185">
        <f t="shared" si="54"/>
        <v>543</v>
      </c>
      <c r="AU185" t="str">
        <f t="shared" si="55"/>
        <v>/0/543</v>
      </c>
    </row>
    <row r="186" spans="2:47">
      <c r="B186" s="11">
        <v>192</v>
      </c>
      <c r="C186" s="14" t="s">
        <v>142</v>
      </c>
      <c r="D186" s="14" t="s">
        <v>478</v>
      </c>
      <c r="E186" s="6"/>
      <c r="F186" s="11">
        <v>232</v>
      </c>
      <c r="G186" s="15" t="s">
        <v>169</v>
      </c>
      <c r="H186" s="15" t="s">
        <v>878</v>
      </c>
      <c r="K186" t="str">
        <f t="shared" si="39"/>
        <v>ARAB</v>
      </c>
      <c r="L186">
        <f t="shared" si="40"/>
        <v>195</v>
      </c>
      <c r="P186" t="str">
        <f t="shared" si="41"/>
        <v/>
      </c>
      <c r="Q186" t="str">
        <f t="shared" si="42"/>
        <v>TURKMENISTAN</v>
      </c>
      <c r="R186">
        <f t="shared" si="43"/>
        <v>235</v>
      </c>
      <c r="V186" t="str">
        <f>IF(TIM!F186="","",TIM!F186)</f>
        <v/>
      </c>
      <c r="W186" t="str">
        <f t="shared" si="44"/>
        <v/>
      </c>
      <c r="X186">
        <f t="shared" si="45"/>
        <v>0</v>
      </c>
      <c r="AI186">
        <f>IF(TIM!P186=TIM!P186,TIM!P186,"")</f>
        <v>0</v>
      </c>
      <c r="AJ186" t="str">
        <f t="shared" si="46"/>
        <v/>
      </c>
      <c r="AK186" t="str">
        <f t="shared" si="47"/>
        <v>0</v>
      </c>
      <c r="AL186" t="str">
        <f t="shared" si="48"/>
        <v>0</v>
      </c>
      <c r="AM186">
        <f t="shared" si="49"/>
        <v>543</v>
      </c>
      <c r="AN186" t="str">
        <f t="shared" si="50"/>
        <v>/0/543</v>
      </c>
      <c r="AP186">
        <f>IF(TIM!O186=TIM!O186,TIM!O186,"")</f>
        <v>0</v>
      </c>
      <c r="AQ186" t="str">
        <f t="shared" si="51"/>
        <v/>
      </c>
      <c r="AR186" t="str">
        <f t="shared" si="52"/>
        <v>0</v>
      </c>
      <c r="AS186" t="str">
        <f t="shared" si="53"/>
        <v>0</v>
      </c>
      <c r="AT186">
        <f t="shared" si="54"/>
        <v>543</v>
      </c>
      <c r="AU186" t="str">
        <f t="shared" si="55"/>
        <v>/0/543</v>
      </c>
    </row>
    <row r="187" spans="2:47">
      <c r="B187" s="11">
        <v>193</v>
      </c>
      <c r="C187" s="14" t="s">
        <v>143</v>
      </c>
      <c r="D187" s="14" t="s">
        <v>619</v>
      </c>
      <c r="E187" s="6"/>
      <c r="F187" s="11">
        <v>233</v>
      </c>
      <c r="G187" s="15" t="s">
        <v>607</v>
      </c>
      <c r="H187" s="15" t="s">
        <v>872</v>
      </c>
      <c r="K187" t="str">
        <f t="shared" si="39"/>
        <v>Kachin</v>
      </c>
      <c r="L187">
        <f t="shared" si="40"/>
        <v>196</v>
      </c>
      <c r="P187" t="str">
        <f t="shared" si="41"/>
        <v/>
      </c>
      <c r="Q187" t="str">
        <f t="shared" si="42"/>
        <v>REPUBLIC OF ESTONIA</v>
      </c>
      <c r="R187">
        <f t="shared" si="43"/>
        <v>236</v>
      </c>
      <c r="V187" t="str">
        <f>IF(TIM!F187="","",TIM!F187)</f>
        <v/>
      </c>
      <c r="W187" t="str">
        <f t="shared" si="44"/>
        <v/>
      </c>
      <c r="X187">
        <f t="shared" si="45"/>
        <v>0</v>
      </c>
      <c r="AI187">
        <f>IF(TIM!P187=TIM!P187,TIM!P187,"")</f>
        <v>0</v>
      </c>
      <c r="AJ187" t="str">
        <f t="shared" si="46"/>
        <v/>
      </c>
      <c r="AK187" t="str">
        <f t="shared" si="47"/>
        <v>0</v>
      </c>
      <c r="AL187" t="str">
        <f t="shared" si="48"/>
        <v>0</v>
      </c>
      <c r="AM187">
        <f t="shared" si="49"/>
        <v>543</v>
      </c>
      <c r="AN187" t="str">
        <f t="shared" si="50"/>
        <v>/0/543</v>
      </c>
      <c r="AP187">
        <f>IF(TIM!O187=TIM!O187,TIM!O187,"")</f>
        <v>0</v>
      </c>
      <c r="AQ187" t="str">
        <f t="shared" si="51"/>
        <v/>
      </c>
      <c r="AR187" t="str">
        <f t="shared" si="52"/>
        <v>0</v>
      </c>
      <c r="AS187" t="str">
        <f t="shared" si="53"/>
        <v>0</v>
      </c>
      <c r="AT187">
        <f t="shared" si="54"/>
        <v>543</v>
      </c>
      <c r="AU187" t="str">
        <f t="shared" si="55"/>
        <v>/0/543</v>
      </c>
    </row>
    <row r="188" spans="2:47">
      <c r="B188" s="11">
        <v>194</v>
      </c>
      <c r="C188" s="14" t="s">
        <v>144</v>
      </c>
      <c r="D188" s="14" t="s">
        <v>536</v>
      </c>
      <c r="E188" s="6"/>
      <c r="F188" s="11">
        <v>234</v>
      </c>
      <c r="G188" s="15" t="s">
        <v>170</v>
      </c>
      <c r="H188" s="15" t="s">
        <v>864</v>
      </c>
      <c r="K188" t="str">
        <f t="shared" si="39"/>
        <v>Wa</v>
      </c>
      <c r="L188">
        <f t="shared" si="40"/>
        <v>197</v>
      </c>
      <c r="P188" t="str">
        <f t="shared" si="41"/>
        <v/>
      </c>
      <c r="Q188" t="str">
        <f t="shared" si="42"/>
        <v>REPUBLIC OF LATVIA</v>
      </c>
      <c r="R188">
        <f t="shared" si="43"/>
        <v>237</v>
      </c>
      <c r="V188" t="str">
        <f>IF(TIM!F188="","",TIM!F188)</f>
        <v/>
      </c>
      <c r="W188" t="str">
        <f t="shared" si="44"/>
        <v/>
      </c>
      <c r="X188">
        <f t="shared" si="45"/>
        <v>0</v>
      </c>
      <c r="AI188">
        <f>IF(TIM!P188=TIM!P188,TIM!P188,"")</f>
        <v>0</v>
      </c>
      <c r="AJ188" t="str">
        <f t="shared" si="46"/>
        <v/>
      </c>
      <c r="AK188" t="str">
        <f t="shared" si="47"/>
        <v>0</v>
      </c>
      <c r="AL188" t="str">
        <f t="shared" si="48"/>
        <v>0</v>
      </c>
      <c r="AM188">
        <f t="shared" si="49"/>
        <v>543</v>
      </c>
      <c r="AN188" t="str">
        <f t="shared" si="50"/>
        <v>/0/543</v>
      </c>
      <c r="AP188">
        <f>IF(TIM!O188=TIM!O188,TIM!O188,"")</f>
        <v>0</v>
      </c>
      <c r="AQ188" t="str">
        <f t="shared" si="51"/>
        <v/>
      </c>
      <c r="AR188" t="str">
        <f t="shared" si="52"/>
        <v>0</v>
      </c>
      <c r="AS188" t="str">
        <f t="shared" si="53"/>
        <v>0</v>
      </c>
      <c r="AT188">
        <f t="shared" si="54"/>
        <v>543</v>
      </c>
      <c r="AU188" t="str">
        <f t="shared" si="55"/>
        <v>/0/543</v>
      </c>
    </row>
    <row r="189" spans="2:47">
      <c r="B189" s="11">
        <v>195</v>
      </c>
      <c r="C189" s="14" t="s">
        <v>145</v>
      </c>
      <c r="D189" s="14" t="s">
        <v>735</v>
      </c>
      <c r="E189" s="6"/>
      <c r="F189" s="11">
        <v>235</v>
      </c>
      <c r="G189" s="15" t="s">
        <v>843</v>
      </c>
      <c r="H189" s="15" t="s">
        <v>844</v>
      </c>
      <c r="K189" t="str">
        <f t="shared" si="39"/>
        <v>Shan</v>
      </c>
      <c r="L189">
        <f t="shared" si="40"/>
        <v>198</v>
      </c>
      <c r="P189" t="str">
        <f t="shared" si="41"/>
        <v/>
      </c>
      <c r="Q189" t="str">
        <f t="shared" si="42"/>
        <v>REPUBLIC OF LITHUANIA</v>
      </c>
      <c r="R189">
        <f t="shared" si="43"/>
        <v>238</v>
      </c>
      <c r="V189" t="str">
        <f>IF(TIM!F189="","",TIM!F189)</f>
        <v/>
      </c>
      <c r="W189" t="str">
        <f t="shared" si="44"/>
        <v/>
      </c>
      <c r="X189">
        <f t="shared" si="45"/>
        <v>0</v>
      </c>
      <c r="AI189">
        <f>IF(TIM!P189=TIM!P189,TIM!P189,"")</f>
        <v>0</v>
      </c>
      <c r="AJ189" t="str">
        <f t="shared" si="46"/>
        <v/>
      </c>
      <c r="AK189" t="str">
        <f t="shared" si="47"/>
        <v>0</v>
      </c>
      <c r="AL189" t="str">
        <f t="shared" si="48"/>
        <v>0</v>
      </c>
      <c r="AM189">
        <f t="shared" si="49"/>
        <v>543</v>
      </c>
      <c r="AN189" t="str">
        <f t="shared" si="50"/>
        <v>/0/543</v>
      </c>
      <c r="AP189">
        <f>IF(TIM!O189=TIM!O189,TIM!O189,"")</f>
        <v>0</v>
      </c>
      <c r="AQ189" t="str">
        <f t="shared" si="51"/>
        <v/>
      </c>
      <c r="AR189" t="str">
        <f t="shared" si="52"/>
        <v>0</v>
      </c>
      <c r="AS189" t="str">
        <f t="shared" si="53"/>
        <v>0</v>
      </c>
      <c r="AT189">
        <f t="shared" si="54"/>
        <v>543</v>
      </c>
      <c r="AU189" t="str">
        <f t="shared" si="55"/>
        <v>/0/543</v>
      </c>
    </row>
    <row r="190" spans="2:47">
      <c r="B190" s="11">
        <v>196</v>
      </c>
      <c r="C190" s="14" t="s">
        <v>146</v>
      </c>
      <c r="D190" s="14" t="s">
        <v>492</v>
      </c>
      <c r="E190" s="6"/>
      <c r="F190" s="11">
        <v>236</v>
      </c>
      <c r="G190" s="15" t="s">
        <v>172</v>
      </c>
      <c r="H190" s="15" t="s">
        <v>994</v>
      </c>
      <c r="K190" t="str">
        <f t="shared" si="39"/>
        <v>THAILUE</v>
      </c>
      <c r="L190">
        <f t="shared" si="40"/>
        <v>199</v>
      </c>
      <c r="P190" t="str">
        <f t="shared" si="41"/>
        <v/>
      </c>
      <c r="Q190" t="str">
        <f t="shared" si="42"/>
        <v>REPUBLIC OF MACEDONIA</v>
      </c>
      <c r="R190">
        <f t="shared" si="43"/>
        <v>239</v>
      </c>
      <c r="V190" t="str">
        <f>IF(TIM!F190="","",TIM!F190)</f>
        <v/>
      </c>
      <c r="W190" t="str">
        <f t="shared" si="44"/>
        <v/>
      </c>
      <c r="X190">
        <f t="shared" si="45"/>
        <v>0</v>
      </c>
      <c r="AI190">
        <f>IF(TIM!P190=TIM!P190,TIM!P190,"")</f>
        <v>0</v>
      </c>
      <c r="AJ190" t="str">
        <f t="shared" si="46"/>
        <v/>
      </c>
      <c r="AK190" t="str">
        <f t="shared" si="47"/>
        <v>0</v>
      </c>
      <c r="AL190" t="str">
        <f t="shared" si="48"/>
        <v>0</v>
      </c>
      <c r="AM190">
        <f t="shared" si="49"/>
        <v>543</v>
      </c>
      <c r="AN190" t="str">
        <f t="shared" si="50"/>
        <v>/0/543</v>
      </c>
      <c r="AP190">
        <f>IF(TIM!O190=TIM!O190,TIM!O190,"")</f>
        <v>0</v>
      </c>
      <c r="AQ190" t="str">
        <f t="shared" si="51"/>
        <v/>
      </c>
      <c r="AR190" t="str">
        <f t="shared" si="52"/>
        <v>0</v>
      </c>
      <c r="AS190" t="str">
        <f t="shared" si="53"/>
        <v>0</v>
      </c>
      <c r="AT190">
        <f t="shared" si="54"/>
        <v>543</v>
      </c>
      <c r="AU190" t="str">
        <f t="shared" si="55"/>
        <v>/0/543</v>
      </c>
    </row>
    <row r="191" spans="2:47">
      <c r="B191" s="11">
        <v>197</v>
      </c>
      <c r="C191" s="14" t="s">
        <v>147</v>
      </c>
      <c r="D191" s="14" t="s">
        <v>695</v>
      </c>
      <c r="E191" s="6"/>
      <c r="F191" s="11">
        <v>237</v>
      </c>
      <c r="G191" s="15" t="s">
        <v>173</v>
      </c>
      <c r="H191" s="15" t="s">
        <v>915</v>
      </c>
      <c r="K191" t="str">
        <f t="shared" si="39"/>
        <v>KHAMU</v>
      </c>
      <c r="L191">
        <f t="shared" si="40"/>
        <v>200</v>
      </c>
      <c r="P191" t="str">
        <f t="shared" si="41"/>
        <v/>
      </c>
      <c r="Q191" t="str">
        <f t="shared" si="42"/>
        <v>REPUBLIC OF MOLDOVA</v>
      </c>
      <c r="R191">
        <f t="shared" si="43"/>
        <v>240</v>
      </c>
      <c r="V191" t="str">
        <f>IF(TIM!F191="","",TIM!F191)</f>
        <v/>
      </c>
      <c r="W191" t="str">
        <f t="shared" si="44"/>
        <v/>
      </c>
      <c r="X191">
        <f t="shared" si="45"/>
        <v>0</v>
      </c>
      <c r="AI191">
        <f>IF(TIM!P191=TIM!P191,TIM!P191,"")</f>
        <v>0</v>
      </c>
      <c r="AJ191" t="str">
        <f t="shared" si="46"/>
        <v/>
      </c>
      <c r="AK191" t="str">
        <f t="shared" si="47"/>
        <v>0</v>
      </c>
      <c r="AL191" t="str">
        <f t="shared" si="48"/>
        <v>0</v>
      </c>
      <c r="AM191">
        <f t="shared" si="49"/>
        <v>543</v>
      </c>
      <c r="AN191" t="str">
        <f t="shared" si="50"/>
        <v>/0/543</v>
      </c>
      <c r="AP191">
        <f>IF(TIM!O191=TIM!O191,TIM!O191,"")</f>
        <v>0</v>
      </c>
      <c r="AQ191" t="str">
        <f t="shared" si="51"/>
        <v/>
      </c>
      <c r="AR191" t="str">
        <f t="shared" si="52"/>
        <v>0</v>
      </c>
      <c r="AS191" t="str">
        <f t="shared" si="53"/>
        <v>0</v>
      </c>
      <c r="AT191">
        <f t="shared" si="54"/>
        <v>543</v>
      </c>
      <c r="AU191" t="str">
        <f t="shared" si="55"/>
        <v>/0/543</v>
      </c>
    </row>
    <row r="192" spans="2:47">
      <c r="B192" s="11">
        <v>198</v>
      </c>
      <c r="C192" s="14" t="s">
        <v>148</v>
      </c>
      <c r="D192" s="14" t="s">
        <v>576</v>
      </c>
      <c r="E192" s="6"/>
      <c r="F192" s="11">
        <v>238</v>
      </c>
      <c r="G192" s="15" t="s">
        <v>174</v>
      </c>
      <c r="H192" s="15" t="s">
        <v>918</v>
      </c>
      <c r="K192" t="str">
        <f t="shared" si="39"/>
        <v>TONGSU</v>
      </c>
      <c r="L192">
        <f t="shared" si="40"/>
        <v>201</v>
      </c>
      <c r="P192" t="str">
        <f t="shared" si="41"/>
        <v/>
      </c>
      <c r="Q192" t="str">
        <f t="shared" si="42"/>
        <v>SLOVAK REPUBLIC</v>
      </c>
      <c r="R192">
        <f t="shared" si="43"/>
        <v>241</v>
      </c>
      <c r="V192" t="str">
        <f>IF(TIM!F192="","",TIM!F192)</f>
        <v/>
      </c>
      <c r="W192" t="str">
        <f t="shared" si="44"/>
        <v/>
      </c>
      <c r="X192">
        <f t="shared" si="45"/>
        <v>0</v>
      </c>
      <c r="AI192">
        <f>IF(TIM!P192=TIM!P192,TIM!P192,"")</f>
        <v>0</v>
      </c>
      <c r="AJ192" t="str">
        <f t="shared" si="46"/>
        <v/>
      </c>
      <c r="AK192" t="str">
        <f t="shared" si="47"/>
        <v>0</v>
      </c>
      <c r="AL192" t="str">
        <f t="shared" si="48"/>
        <v>0</v>
      </c>
      <c r="AM192">
        <f t="shared" si="49"/>
        <v>543</v>
      </c>
      <c r="AN192" t="str">
        <f t="shared" si="50"/>
        <v>/0/543</v>
      </c>
      <c r="AP192">
        <f>IF(TIM!O192=TIM!O192,TIM!O192,"")</f>
        <v>0</v>
      </c>
      <c r="AQ192" t="str">
        <f t="shared" si="51"/>
        <v/>
      </c>
      <c r="AR192" t="str">
        <f t="shared" si="52"/>
        <v>0</v>
      </c>
      <c r="AS192" t="str">
        <f t="shared" si="53"/>
        <v>0</v>
      </c>
      <c r="AT192">
        <f t="shared" si="54"/>
        <v>543</v>
      </c>
      <c r="AU192" t="str">
        <f t="shared" si="55"/>
        <v>/0/543</v>
      </c>
    </row>
    <row r="193" spans="2:47">
      <c r="B193" s="11">
        <v>199</v>
      </c>
      <c r="C193" s="14" t="s">
        <v>149</v>
      </c>
      <c r="D193" s="14" t="s">
        <v>574</v>
      </c>
      <c r="E193" s="6"/>
      <c r="F193" s="11">
        <v>239</v>
      </c>
      <c r="G193" s="15" t="s">
        <v>175</v>
      </c>
      <c r="H193" s="15" t="s">
        <v>894</v>
      </c>
      <c r="K193" t="str">
        <f t="shared" si="39"/>
        <v>LAWA</v>
      </c>
      <c r="L193">
        <f t="shared" si="40"/>
        <v>203</v>
      </c>
      <c r="P193" t="str">
        <f t="shared" si="41"/>
        <v/>
      </c>
      <c r="Q193" t="str">
        <f t="shared" si="42"/>
        <v>REPUBLIC OF SLOVENIA</v>
      </c>
      <c r="R193">
        <f t="shared" si="43"/>
        <v>242</v>
      </c>
      <c r="V193" t="str">
        <f>IF(TIM!F193="","",TIM!F193)</f>
        <v/>
      </c>
      <c r="W193" t="str">
        <f t="shared" si="44"/>
        <v/>
      </c>
      <c r="X193">
        <f t="shared" si="45"/>
        <v>0</v>
      </c>
      <c r="AI193">
        <f>IF(TIM!P193=TIM!P193,TIM!P193,"")</f>
        <v>0</v>
      </c>
      <c r="AJ193" t="str">
        <f t="shared" si="46"/>
        <v/>
      </c>
      <c r="AK193" t="str">
        <f t="shared" si="47"/>
        <v>0</v>
      </c>
      <c r="AL193" t="str">
        <f t="shared" si="48"/>
        <v>0</v>
      </c>
      <c r="AM193">
        <f t="shared" si="49"/>
        <v>543</v>
      </c>
      <c r="AN193" t="str">
        <f t="shared" si="50"/>
        <v>/0/543</v>
      </c>
      <c r="AP193">
        <f>IF(TIM!O193=TIM!O193,TIM!O193,"")</f>
        <v>0</v>
      </c>
      <c r="AQ193" t="str">
        <f t="shared" si="51"/>
        <v/>
      </c>
      <c r="AR193" t="str">
        <f t="shared" si="52"/>
        <v>0</v>
      </c>
      <c r="AS193" t="str">
        <f t="shared" si="53"/>
        <v>0</v>
      </c>
      <c r="AT193">
        <f t="shared" si="54"/>
        <v>543</v>
      </c>
      <c r="AU193" t="str">
        <f t="shared" si="55"/>
        <v>/0/543</v>
      </c>
    </row>
    <row r="194" spans="2:47">
      <c r="B194" s="11">
        <v>200</v>
      </c>
      <c r="C194" s="14" t="s">
        <v>150</v>
      </c>
      <c r="D194" s="14" t="s">
        <v>486</v>
      </c>
      <c r="E194" s="6"/>
      <c r="F194" s="11">
        <v>240</v>
      </c>
      <c r="G194" s="15" t="s">
        <v>176</v>
      </c>
      <c r="H194" s="15" t="s">
        <v>890</v>
      </c>
      <c r="K194" t="str">
        <f t="shared" si="39"/>
        <v>PALONG</v>
      </c>
      <c r="L194">
        <f t="shared" si="40"/>
        <v>205</v>
      </c>
      <c r="P194" t="str">
        <f t="shared" si="41"/>
        <v/>
      </c>
      <c r="Q194" t="str">
        <f t="shared" si="42"/>
        <v>ERITREA</v>
      </c>
      <c r="R194">
        <f t="shared" si="43"/>
        <v>243</v>
      </c>
      <c r="V194" t="str">
        <f>IF(TIM!F194="","",TIM!F194)</f>
        <v/>
      </c>
      <c r="W194" t="str">
        <f t="shared" si="44"/>
        <v/>
      </c>
      <c r="X194">
        <f t="shared" si="45"/>
        <v>0</v>
      </c>
      <c r="AI194">
        <f>IF(TIM!P194=TIM!P194,TIM!P194,"")</f>
        <v>0</v>
      </c>
      <c r="AJ194" t="str">
        <f t="shared" si="46"/>
        <v/>
      </c>
      <c r="AK194" t="str">
        <f t="shared" si="47"/>
        <v>0</v>
      </c>
      <c r="AL194" t="str">
        <f t="shared" si="48"/>
        <v>0</v>
      </c>
      <c r="AM194">
        <f t="shared" si="49"/>
        <v>543</v>
      </c>
      <c r="AN194" t="str">
        <f t="shared" si="50"/>
        <v>/0/543</v>
      </c>
      <c r="AP194">
        <f>IF(TIM!O194=TIM!O194,TIM!O194,"")</f>
        <v>0</v>
      </c>
      <c r="AQ194" t="str">
        <f t="shared" si="51"/>
        <v/>
      </c>
      <c r="AR194" t="str">
        <f t="shared" si="52"/>
        <v>0</v>
      </c>
      <c r="AS194" t="str">
        <f t="shared" si="53"/>
        <v>0</v>
      </c>
      <c r="AT194">
        <f t="shared" si="54"/>
        <v>543</v>
      </c>
      <c r="AU194" t="str">
        <f t="shared" si="55"/>
        <v>/0/543</v>
      </c>
    </row>
    <row r="195" spans="2:47">
      <c r="B195" s="11">
        <v>201</v>
      </c>
      <c r="C195" s="14" t="s">
        <v>151</v>
      </c>
      <c r="D195" s="14" t="s">
        <v>560</v>
      </c>
      <c r="E195" s="6"/>
      <c r="F195" s="11">
        <v>241</v>
      </c>
      <c r="G195" s="15" t="s">
        <v>929</v>
      </c>
      <c r="H195" s="15" t="s">
        <v>930</v>
      </c>
      <c r="K195" t="str">
        <f t="shared" ref="K195:K258" si="56">D198</f>
        <v>Htin</v>
      </c>
      <c r="L195">
        <f t="shared" ref="L195:L258" si="57">B198</f>
        <v>206</v>
      </c>
      <c r="P195" t="str">
        <f t="shared" ref="P195:P208" si="58">IF(J195="","",J195)</f>
        <v/>
      </c>
      <c r="Q195" t="str">
        <f t="shared" ref="Q195:Q208" si="59">H198</f>
        <v>REPUBLIC OF NAMIBIA</v>
      </c>
      <c r="R195">
        <f t="shared" ref="R195:R208" si="60">F198</f>
        <v>244</v>
      </c>
      <c r="V195" t="str">
        <f>IF(TIM!F195="","",TIM!F195)</f>
        <v/>
      </c>
      <c r="W195" t="str">
        <f t="shared" ref="W195:W258" si="61">IFERROR(VLOOKUP(V195,$J$2:$N$258,5,FALSE),"")</f>
        <v/>
      </c>
      <c r="X195">
        <f t="shared" ref="X195:X258" si="62">IFERROR(VLOOKUP(V195,$P$2:$T$208,5,FALSE),"")</f>
        <v>0</v>
      </c>
      <c r="AI195">
        <f>IF(TIM!P195=TIM!P195,TIM!P195,"")</f>
        <v>0</v>
      </c>
      <c r="AJ195" t="str">
        <f t="shared" ref="AJ195:AJ258" si="63">MID(AI195,4,2)</f>
        <v/>
      </c>
      <c r="AK195" t="str">
        <f t="shared" ref="AK195:AK258" si="64">LEFT(AI195,2)</f>
        <v>0</v>
      </c>
      <c r="AL195" t="str">
        <f t="shared" ref="AL195:AL258" si="65">RIGHT(AI195,4)</f>
        <v>0</v>
      </c>
      <c r="AM195">
        <f t="shared" ref="AM195:AM258" si="66">AL195+543</f>
        <v>543</v>
      </c>
      <c r="AN195" t="str">
        <f t="shared" ref="AN195:AN258" si="67">AJ195&amp;"/"&amp;AK195&amp;"/"&amp;AM195</f>
        <v>/0/543</v>
      </c>
      <c r="AP195">
        <f>IF(TIM!O195=TIM!O195,TIM!O195,"")</f>
        <v>0</v>
      </c>
      <c r="AQ195" t="str">
        <f t="shared" ref="AQ195:AQ258" si="68">MID(AP195,4,2)</f>
        <v/>
      </c>
      <c r="AR195" t="str">
        <f t="shared" ref="AR195:AR258" si="69">LEFT(AP195,2)</f>
        <v>0</v>
      </c>
      <c r="AS195" t="str">
        <f t="shared" ref="AS195:AS258" si="70">RIGHT(AP195,4)</f>
        <v>0</v>
      </c>
      <c r="AT195">
        <f t="shared" ref="AT195:AT258" si="71">AS195+543</f>
        <v>543</v>
      </c>
      <c r="AU195" t="str">
        <f t="shared" ref="AU195:AU258" si="72">AQ195&amp;"/"&amp;AR195&amp;"/"&amp;AT195</f>
        <v>/0/543</v>
      </c>
    </row>
    <row r="196" spans="2:47">
      <c r="B196" s="11">
        <v>203</v>
      </c>
      <c r="C196" s="14" t="s">
        <v>152</v>
      </c>
      <c r="D196" s="14" t="s">
        <v>677</v>
      </c>
      <c r="E196" s="6"/>
      <c r="F196" s="11">
        <v>242</v>
      </c>
      <c r="G196" s="15" t="s">
        <v>965</v>
      </c>
      <c r="H196" s="15" t="s">
        <v>966</v>
      </c>
      <c r="K196" t="str">
        <f t="shared" si="56"/>
        <v>PAO</v>
      </c>
      <c r="L196">
        <f t="shared" si="57"/>
        <v>207</v>
      </c>
      <c r="P196" t="str">
        <f t="shared" si="58"/>
        <v/>
      </c>
      <c r="Q196" t="str">
        <f t="shared" si="59"/>
        <v>REPUBLIC OF BOLIVIA</v>
      </c>
      <c r="R196">
        <f t="shared" si="60"/>
        <v>245</v>
      </c>
      <c r="V196" t="str">
        <f>IF(TIM!F196="","",TIM!F196)</f>
        <v/>
      </c>
      <c r="W196" t="str">
        <f t="shared" si="61"/>
        <v/>
      </c>
      <c r="X196">
        <f t="shared" si="62"/>
        <v>0</v>
      </c>
      <c r="AI196">
        <f>IF(TIM!P196=TIM!P196,TIM!P196,"")</f>
        <v>0</v>
      </c>
      <c r="AJ196" t="str">
        <f t="shared" si="63"/>
        <v/>
      </c>
      <c r="AK196" t="str">
        <f t="shared" si="64"/>
        <v>0</v>
      </c>
      <c r="AL196" t="str">
        <f t="shared" si="65"/>
        <v>0</v>
      </c>
      <c r="AM196">
        <f t="shared" si="66"/>
        <v>543</v>
      </c>
      <c r="AN196" t="str">
        <f t="shared" si="67"/>
        <v>/0/543</v>
      </c>
      <c r="AP196">
        <f>IF(TIM!O196=TIM!O196,TIM!O196,"")</f>
        <v>0</v>
      </c>
      <c r="AQ196" t="str">
        <f t="shared" si="68"/>
        <v/>
      </c>
      <c r="AR196" t="str">
        <f t="shared" si="69"/>
        <v>0</v>
      </c>
      <c r="AS196" t="str">
        <f t="shared" si="70"/>
        <v>0</v>
      </c>
      <c r="AT196">
        <f t="shared" si="71"/>
        <v>543</v>
      </c>
      <c r="AU196" t="str">
        <f t="shared" si="72"/>
        <v>/0/543</v>
      </c>
    </row>
    <row r="197" spans="2:47">
      <c r="B197" s="11">
        <v>205</v>
      </c>
      <c r="C197" s="14" t="s">
        <v>153</v>
      </c>
      <c r="D197" s="14" t="s">
        <v>612</v>
      </c>
      <c r="E197" s="6"/>
      <c r="F197" s="11">
        <v>243</v>
      </c>
      <c r="G197" s="15" t="s">
        <v>179</v>
      </c>
      <c r="H197" s="15" t="s">
        <v>992</v>
      </c>
      <c r="K197" t="str">
        <f t="shared" si="56"/>
        <v>Mon</v>
      </c>
      <c r="L197">
        <f t="shared" si="57"/>
        <v>208</v>
      </c>
      <c r="P197" t="str">
        <f t="shared" si="58"/>
        <v/>
      </c>
      <c r="Q197" t="str">
        <f t="shared" si="59"/>
        <v>COOK ISLANDS</v>
      </c>
      <c r="R197">
        <f t="shared" si="60"/>
        <v>246</v>
      </c>
      <c r="V197" t="str">
        <f>IF(TIM!F197="","",TIM!F197)</f>
        <v/>
      </c>
      <c r="W197" t="str">
        <f t="shared" si="61"/>
        <v/>
      </c>
      <c r="X197">
        <f t="shared" si="62"/>
        <v>0</v>
      </c>
      <c r="AI197">
        <f>IF(TIM!P197=TIM!P197,TIM!P197,"")</f>
        <v>0</v>
      </c>
      <c r="AJ197" t="str">
        <f t="shared" si="63"/>
        <v/>
      </c>
      <c r="AK197" t="str">
        <f t="shared" si="64"/>
        <v>0</v>
      </c>
      <c r="AL197" t="str">
        <f t="shared" si="65"/>
        <v>0</v>
      </c>
      <c r="AM197">
        <f t="shared" si="66"/>
        <v>543</v>
      </c>
      <c r="AN197" t="str">
        <f t="shared" si="67"/>
        <v>/0/543</v>
      </c>
      <c r="AP197">
        <f>IF(TIM!O197=TIM!O197,TIM!O197,"")</f>
        <v>0</v>
      </c>
      <c r="AQ197" t="str">
        <f t="shared" si="68"/>
        <v/>
      </c>
      <c r="AR197" t="str">
        <f t="shared" si="69"/>
        <v>0</v>
      </c>
      <c r="AS197" t="str">
        <f t="shared" si="70"/>
        <v>0</v>
      </c>
      <c r="AT197">
        <f t="shared" si="71"/>
        <v>543</v>
      </c>
      <c r="AU197" t="str">
        <f t="shared" si="72"/>
        <v>/0/543</v>
      </c>
    </row>
    <row r="198" spans="2:47">
      <c r="B198" s="11">
        <v>206</v>
      </c>
      <c r="C198" s="14" t="s">
        <v>154</v>
      </c>
      <c r="D198" s="14" t="s">
        <v>569</v>
      </c>
      <c r="E198" s="6"/>
      <c r="F198" s="11">
        <v>244</v>
      </c>
      <c r="G198" s="15" t="s">
        <v>180</v>
      </c>
      <c r="H198" s="15" t="s">
        <v>852</v>
      </c>
      <c r="K198" t="str">
        <f t="shared" si="56"/>
        <v>Mlabri</v>
      </c>
      <c r="L198">
        <f t="shared" si="57"/>
        <v>209</v>
      </c>
      <c r="P198" t="str">
        <f t="shared" si="58"/>
        <v/>
      </c>
      <c r="Q198" t="str">
        <f t="shared" si="59"/>
        <v>THE DEMOCRATIC REPUBLIC OF TIMOR- LESTE</v>
      </c>
      <c r="R198">
        <f t="shared" si="60"/>
        <v>247</v>
      </c>
      <c r="V198" t="str">
        <f>IF(TIM!F198="","",TIM!F198)</f>
        <v/>
      </c>
      <c r="W198" t="str">
        <f t="shared" si="61"/>
        <v/>
      </c>
      <c r="X198">
        <f t="shared" si="62"/>
        <v>0</v>
      </c>
      <c r="AI198">
        <f>IF(TIM!P198=TIM!P198,TIM!P198,"")</f>
        <v>0</v>
      </c>
      <c r="AJ198" t="str">
        <f t="shared" si="63"/>
        <v/>
      </c>
      <c r="AK198" t="str">
        <f t="shared" si="64"/>
        <v>0</v>
      </c>
      <c r="AL198" t="str">
        <f t="shared" si="65"/>
        <v>0</v>
      </c>
      <c r="AM198">
        <f t="shared" si="66"/>
        <v>543</v>
      </c>
      <c r="AN198" t="str">
        <f t="shared" si="67"/>
        <v>/0/543</v>
      </c>
      <c r="AP198">
        <f>IF(TIM!O198=TIM!O198,TIM!O198,"")</f>
        <v>0</v>
      </c>
      <c r="AQ198" t="str">
        <f t="shared" si="68"/>
        <v/>
      </c>
      <c r="AR198" t="str">
        <f t="shared" si="69"/>
        <v>0</v>
      </c>
      <c r="AS198" t="str">
        <f t="shared" si="70"/>
        <v>0</v>
      </c>
      <c r="AT198">
        <f t="shared" si="71"/>
        <v>543</v>
      </c>
      <c r="AU198" t="str">
        <f t="shared" si="72"/>
        <v>/0/543</v>
      </c>
    </row>
    <row r="199" spans="2:47">
      <c r="B199" s="11">
        <v>207</v>
      </c>
      <c r="C199" s="14" t="s">
        <v>155</v>
      </c>
      <c r="D199" s="14" t="s">
        <v>613</v>
      </c>
      <c r="E199" s="6"/>
      <c r="F199" s="11">
        <v>245</v>
      </c>
      <c r="G199" s="15" t="s">
        <v>181</v>
      </c>
      <c r="H199" s="15" t="s">
        <v>874</v>
      </c>
      <c r="K199" t="str">
        <f t="shared" si="56"/>
        <v xml:space="preserve"> </v>
      </c>
      <c r="L199">
        <f t="shared" si="57"/>
        <v>212</v>
      </c>
      <c r="P199" t="str">
        <f t="shared" si="58"/>
        <v/>
      </c>
      <c r="Q199" t="str">
        <f t="shared" si="59"/>
        <v>PALESTINE</v>
      </c>
      <c r="R199">
        <f t="shared" si="60"/>
        <v>260</v>
      </c>
      <c r="V199" t="str">
        <f>IF(TIM!F199="","",TIM!F199)</f>
        <v/>
      </c>
      <c r="W199" t="str">
        <f t="shared" si="61"/>
        <v/>
      </c>
      <c r="X199">
        <f t="shared" si="62"/>
        <v>0</v>
      </c>
      <c r="AI199">
        <f>IF(TIM!P199=TIM!P199,TIM!P199,"")</f>
        <v>0</v>
      </c>
      <c r="AJ199" t="str">
        <f t="shared" si="63"/>
        <v/>
      </c>
      <c r="AK199" t="str">
        <f t="shared" si="64"/>
        <v>0</v>
      </c>
      <c r="AL199" t="str">
        <f t="shared" si="65"/>
        <v>0</v>
      </c>
      <c r="AM199">
        <f t="shared" si="66"/>
        <v>543</v>
      </c>
      <c r="AN199" t="str">
        <f t="shared" si="67"/>
        <v>/0/543</v>
      </c>
      <c r="AP199">
        <f>IF(TIM!O199=TIM!O199,TIM!O199,"")</f>
        <v>0</v>
      </c>
      <c r="AQ199" t="str">
        <f t="shared" si="68"/>
        <v/>
      </c>
      <c r="AR199" t="str">
        <f t="shared" si="69"/>
        <v>0</v>
      </c>
      <c r="AS199" t="str">
        <f t="shared" si="70"/>
        <v>0</v>
      </c>
      <c r="AT199">
        <f t="shared" si="71"/>
        <v>543</v>
      </c>
      <c r="AU199" t="str">
        <f t="shared" si="72"/>
        <v>/0/543</v>
      </c>
    </row>
    <row r="200" spans="2:47">
      <c r="B200" s="11">
        <v>208</v>
      </c>
      <c r="C200" s="14" t="s">
        <v>156</v>
      </c>
      <c r="D200" s="14" t="s">
        <v>640</v>
      </c>
      <c r="E200" s="6"/>
      <c r="F200" s="11">
        <v>246</v>
      </c>
      <c r="G200" s="15" t="s">
        <v>182</v>
      </c>
      <c r="H200" s="15" t="s">
        <v>719</v>
      </c>
      <c r="K200" t="str">
        <f t="shared" si="56"/>
        <v xml:space="preserve"> </v>
      </c>
      <c r="L200">
        <f t="shared" si="57"/>
        <v>214</v>
      </c>
      <c r="P200" t="str">
        <f t="shared" si="58"/>
        <v/>
      </c>
      <c r="Q200" t="str">
        <f t="shared" si="59"/>
        <v>THE DEMOCRATIC REPUBLIC OF TIMOR-LESTE</v>
      </c>
      <c r="R200">
        <f t="shared" si="60"/>
        <v>261</v>
      </c>
      <c r="V200" t="str">
        <f>IF(TIM!F200="","",TIM!F200)</f>
        <v/>
      </c>
      <c r="W200" t="str">
        <f t="shared" si="61"/>
        <v/>
      </c>
      <c r="X200">
        <f t="shared" si="62"/>
        <v>0</v>
      </c>
      <c r="AI200">
        <f>IF(TIM!P200=TIM!P200,TIM!P200,"")</f>
        <v>0</v>
      </c>
      <c r="AJ200" t="str">
        <f t="shared" si="63"/>
        <v/>
      </c>
      <c r="AK200" t="str">
        <f t="shared" si="64"/>
        <v>0</v>
      </c>
      <c r="AL200" t="str">
        <f t="shared" si="65"/>
        <v>0</v>
      </c>
      <c r="AM200">
        <f t="shared" si="66"/>
        <v>543</v>
      </c>
      <c r="AN200" t="str">
        <f t="shared" si="67"/>
        <v>/0/543</v>
      </c>
      <c r="AP200">
        <f>IF(TIM!O200=TIM!O200,TIM!O200,"")</f>
        <v>0</v>
      </c>
      <c r="AQ200" t="str">
        <f t="shared" si="68"/>
        <v/>
      </c>
      <c r="AR200" t="str">
        <f t="shared" si="69"/>
        <v>0</v>
      </c>
      <c r="AS200" t="str">
        <f t="shared" si="70"/>
        <v>0</v>
      </c>
      <c r="AT200">
        <f t="shared" si="71"/>
        <v>543</v>
      </c>
      <c r="AU200" t="str">
        <f t="shared" si="72"/>
        <v>/0/543</v>
      </c>
    </row>
    <row r="201" spans="2:47">
      <c r="B201" s="11">
        <v>209</v>
      </c>
      <c r="C201" s="14" t="s">
        <v>157</v>
      </c>
      <c r="D201" s="14" t="s">
        <v>638</v>
      </c>
      <c r="E201" s="6"/>
      <c r="F201" s="11">
        <v>247</v>
      </c>
      <c r="G201" s="15" t="s">
        <v>959</v>
      </c>
      <c r="H201" s="15" t="s">
        <v>960</v>
      </c>
      <c r="K201" t="str">
        <f t="shared" si="56"/>
        <v>UKRAINE</v>
      </c>
      <c r="L201">
        <f t="shared" si="57"/>
        <v>216</v>
      </c>
      <c r="P201" t="str">
        <f t="shared" si="58"/>
        <v/>
      </c>
      <c r="Q201" t="str">
        <f t="shared" si="59"/>
        <v>SERBIA AND MONTENEGRO</v>
      </c>
      <c r="R201">
        <f t="shared" si="60"/>
        <v>263</v>
      </c>
      <c r="V201" t="str">
        <f>IF(TIM!F201="","",TIM!F201)</f>
        <v/>
      </c>
      <c r="W201" t="str">
        <f t="shared" si="61"/>
        <v/>
      </c>
      <c r="X201">
        <f t="shared" si="62"/>
        <v>0</v>
      </c>
      <c r="AI201">
        <f>IF(TIM!P201=TIM!P201,TIM!P201,"")</f>
        <v>0</v>
      </c>
      <c r="AJ201" t="str">
        <f t="shared" si="63"/>
        <v/>
      </c>
      <c r="AK201" t="str">
        <f t="shared" si="64"/>
        <v>0</v>
      </c>
      <c r="AL201" t="str">
        <f t="shared" si="65"/>
        <v>0</v>
      </c>
      <c r="AM201">
        <f t="shared" si="66"/>
        <v>543</v>
      </c>
      <c r="AN201" t="str">
        <f t="shared" si="67"/>
        <v>/0/543</v>
      </c>
      <c r="AP201">
        <f>IF(TIM!O201=TIM!O201,TIM!O201,"")</f>
        <v>0</v>
      </c>
      <c r="AQ201" t="str">
        <f t="shared" si="68"/>
        <v/>
      </c>
      <c r="AR201" t="str">
        <f t="shared" si="69"/>
        <v>0</v>
      </c>
      <c r="AS201" t="str">
        <f t="shared" si="70"/>
        <v>0</v>
      </c>
      <c r="AT201">
        <f t="shared" si="71"/>
        <v>543</v>
      </c>
      <c r="AU201" t="str">
        <f t="shared" si="72"/>
        <v>/0/543</v>
      </c>
    </row>
    <row r="202" spans="2:47">
      <c r="B202" s="11">
        <v>212</v>
      </c>
      <c r="C202" s="14" t="s">
        <v>515</v>
      </c>
      <c r="D202" s="14" t="s">
        <v>466</v>
      </c>
      <c r="E202" s="6"/>
      <c r="F202" s="11">
        <v>260</v>
      </c>
      <c r="G202" s="15" t="s">
        <v>192</v>
      </c>
      <c r="H202" s="15" t="s">
        <v>620</v>
      </c>
      <c r="K202" t="str">
        <f t="shared" si="56"/>
        <v>HONGKONG</v>
      </c>
      <c r="L202">
        <f t="shared" si="57"/>
        <v>219</v>
      </c>
      <c r="P202" t="str">
        <f t="shared" si="58"/>
        <v/>
      </c>
      <c r="Q202" t="str">
        <f t="shared" si="59"/>
        <v>SERBIA</v>
      </c>
      <c r="R202">
        <f t="shared" si="60"/>
        <v>267</v>
      </c>
      <c r="V202" t="str">
        <f>IF(TIM!F202="","",TIM!F202)</f>
        <v/>
      </c>
      <c r="W202" t="str">
        <f t="shared" si="61"/>
        <v/>
      </c>
      <c r="X202">
        <f t="shared" si="62"/>
        <v>0</v>
      </c>
      <c r="AI202">
        <f>IF(TIM!P202=TIM!P202,TIM!P202,"")</f>
        <v>0</v>
      </c>
      <c r="AJ202" t="str">
        <f t="shared" si="63"/>
        <v/>
      </c>
      <c r="AK202" t="str">
        <f t="shared" si="64"/>
        <v>0</v>
      </c>
      <c r="AL202" t="str">
        <f t="shared" si="65"/>
        <v>0</v>
      </c>
      <c r="AM202">
        <f t="shared" si="66"/>
        <v>543</v>
      </c>
      <c r="AN202" t="str">
        <f t="shared" si="67"/>
        <v>/0/543</v>
      </c>
      <c r="AP202">
        <f>IF(TIM!O202=TIM!O202,TIM!O202,"")</f>
        <v>0</v>
      </c>
      <c r="AQ202" t="str">
        <f t="shared" si="68"/>
        <v/>
      </c>
      <c r="AR202" t="str">
        <f t="shared" si="69"/>
        <v>0</v>
      </c>
      <c r="AS202" t="str">
        <f t="shared" si="70"/>
        <v>0</v>
      </c>
      <c r="AT202">
        <f t="shared" si="71"/>
        <v>543</v>
      </c>
      <c r="AU202" t="str">
        <f t="shared" si="72"/>
        <v>/0/543</v>
      </c>
    </row>
    <row r="203" spans="2:47">
      <c r="B203" s="11">
        <v>214</v>
      </c>
      <c r="C203" s="14" t="s">
        <v>514</v>
      </c>
      <c r="D203" s="14" t="s">
        <v>466</v>
      </c>
      <c r="E203" s="6"/>
      <c r="F203" s="11">
        <v>261</v>
      </c>
      <c r="G203" s="15" t="s">
        <v>957</v>
      </c>
      <c r="H203" s="15" t="s">
        <v>958</v>
      </c>
      <c r="K203" t="str">
        <f t="shared" si="56"/>
        <v>CHINA (TAIWAN)</v>
      </c>
      <c r="L203">
        <f t="shared" si="57"/>
        <v>220</v>
      </c>
      <c r="P203" t="str">
        <f t="shared" si="58"/>
        <v/>
      </c>
      <c r="Q203" t="str">
        <f t="shared" si="59"/>
        <v>MONTENEGRO</v>
      </c>
      <c r="R203">
        <f t="shared" si="60"/>
        <v>268</v>
      </c>
      <c r="V203" t="str">
        <f>IF(TIM!F203="","",TIM!F203)</f>
        <v/>
      </c>
      <c r="W203" t="str">
        <f t="shared" si="61"/>
        <v/>
      </c>
      <c r="X203">
        <f t="shared" si="62"/>
        <v>0</v>
      </c>
      <c r="AI203">
        <f>IF(TIM!P203=TIM!P203,TIM!P203,"")</f>
        <v>0</v>
      </c>
      <c r="AJ203" t="str">
        <f t="shared" si="63"/>
        <v/>
      </c>
      <c r="AK203" t="str">
        <f t="shared" si="64"/>
        <v>0</v>
      </c>
      <c r="AL203" t="str">
        <f t="shared" si="65"/>
        <v>0</v>
      </c>
      <c r="AM203">
        <f t="shared" si="66"/>
        <v>543</v>
      </c>
      <c r="AN203" t="str">
        <f t="shared" si="67"/>
        <v>/0/543</v>
      </c>
      <c r="AP203">
        <f>IF(TIM!O203=TIM!O203,TIM!O203,"")</f>
        <v>0</v>
      </c>
      <c r="AQ203" t="str">
        <f t="shared" si="68"/>
        <v/>
      </c>
      <c r="AR203" t="str">
        <f t="shared" si="69"/>
        <v>0</v>
      </c>
      <c r="AS203" t="str">
        <f t="shared" si="70"/>
        <v>0</v>
      </c>
      <c r="AT203">
        <f t="shared" si="71"/>
        <v>543</v>
      </c>
      <c r="AU203" t="str">
        <f t="shared" si="72"/>
        <v>/0/543</v>
      </c>
    </row>
    <row r="204" spans="2:47">
      <c r="B204" s="11">
        <v>216</v>
      </c>
      <c r="C204" s="14" t="s">
        <v>666</v>
      </c>
      <c r="D204" s="14" t="s">
        <v>667</v>
      </c>
      <c r="E204" s="6"/>
      <c r="F204" s="11">
        <v>263</v>
      </c>
      <c r="G204" s="15" t="s">
        <v>829</v>
      </c>
      <c r="H204" s="15" t="s">
        <v>543</v>
      </c>
      <c r="K204" t="str">
        <f t="shared" si="56"/>
        <v>CROATIA</v>
      </c>
      <c r="L204">
        <f t="shared" si="57"/>
        <v>221</v>
      </c>
      <c r="P204" t="str">
        <f t="shared" si="58"/>
        <v/>
      </c>
      <c r="Q204" t="str">
        <f t="shared" si="59"/>
        <v>ARUBA</v>
      </c>
      <c r="R204">
        <f t="shared" si="60"/>
        <v>269</v>
      </c>
      <c r="V204" t="str">
        <f>IF(TIM!F204="","",TIM!F204)</f>
        <v/>
      </c>
      <c r="W204" t="str">
        <f t="shared" si="61"/>
        <v/>
      </c>
      <c r="X204">
        <f t="shared" si="62"/>
        <v>0</v>
      </c>
      <c r="AI204">
        <f>IF(TIM!P204=TIM!P204,TIM!P204,"")</f>
        <v>0</v>
      </c>
      <c r="AJ204" t="str">
        <f t="shared" si="63"/>
        <v/>
      </c>
      <c r="AK204" t="str">
        <f t="shared" si="64"/>
        <v>0</v>
      </c>
      <c r="AL204" t="str">
        <f t="shared" si="65"/>
        <v>0</v>
      </c>
      <c r="AM204">
        <f t="shared" si="66"/>
        <v>543</v>
      </c>
      <c r="AN204" t="str">
        <f t="shared" si="67"/>
        <v>/0/543</v>
      </c>
      <c r="AP204">
        <f>IF(TIM!O204=TIM!O204,TIM!O204,"")</f>
        <v>0</v>
      </c>
      <c r="AQ204" t="str">
        <f t="shared" si="68"/>
        <v/>
      </c>
      <c r="AR204" t="str">
        <f t="shared" si="69"/>
        <v>0</v>
      </c>
      <c r="AS204" t="str">
        <f t="shared" si="70"/>
        <v>0</v>
      </c>
      <c r="AT204">
        <f t="shared" si="71"/>
        <v>543</v>
      </c>
      <c r="AU204" t="str">
        <f t="shared" si="72"/>
        <v>/0/543</v>
      </c>
    </row>
    <row r="205" spans="2:47">
      <c r="B205" s="11">
        <v>219</v>
      </c>
      <c r="C205" s="14" t="s">
        <v>158</v>
      </c>
      <c r="D205" s="14" t="s">
        <v>519</v>
      </c>
      <c r="E205" s="6"/>
      <c r="F205" s="11">
        <v>267</v>
      </c>
      <c r="G205" s="15" t="s">
        <v>194</v>
      </c>
      <c r="H205" s="15" t="s">
        <v>828</v>
      </c>
      <c r="K205" t="str">
        <f t="shared" si="56"/>
        <v>KAZAKH</v>
      </c>
      <c r="L205">
        <f t="shared" si="57"/>
        <v>223</v>
      </c>
      <c r="P205" t="str">
        <f t="shared" si="58"/>
        <v/>
      </c>
      <c r="Q205" t="str">
        <f t="shared" si="59"/>
        <v>Republic of Cabo Verde</v>
      </c>
      <c r="R205">
        <f t="shared" si="60"/>
        <v>270</v>
      </c>
      <c r="V205" t="str">
        <f>IF(TIM!F205="","",TIM!F205)</f>
        <v/>
      </c>
      <c r="W205" t="str">
        <f t="shared" si="61"/>
        <v/>
      </c>
      <c r="X205">
        <f t="shared" si="62"/>
        <v>0</v>
      </c>
      <c r="AI205">
        <f>IF(TIM!P205=TIM!P205,TIM!P205,"")</f>
        <v>0</v>
      </c>
      <c r="AJ205" t="str">
        <f t="shared" si="63"/>
        <v/>
      </c>
      <c r="AK205" t="str">
        <f t="shared" si="64"/>
        <v>0</v>
      </c>
      <c r="AL205" t="str">
        <f t="shared" si="65"/>
        <v>0</v>
      </c>
      <c r="AM205">
        <f t="shared" si="66"/>
        <v>543</v>
      </c>
      <c r="AN205" t="str">
        <f t="shared" si="67"/>
        <v>/0/543</v>
      </c>
      <c r="AP205">
        <f>IF(TIM!O205=TIM!O205,TIM!O205,"")</f>
        <v>0</v>
      </c>
      <c r="AQ205" t="str">
        <f t="shared" si="68"/>
        <v/>
      </c>
      <c r="AR205" t="str">
        <f t="shared" si="69"/>
        <v>0</v>
      </c>
      <c r="AS205" t="str">
        <f t="shared" si="70"/>
        <v>0</v>
      </c>
      <c r="AT205">
        <f t="shared" si="71"/>
        <v>543</v>
      </c>
      <c r="AU205" t="str">
        <f t="shared" si="72"/>
        <v>/0/543</v>
      </c>
    </row>
    <row r="206" spans="2:47">
      <c r="B206" s="11">
        <v>220</v>
      </c>
      <c r="C206" s="14" t="s">
        <v>159</v>
      </c>
      <c r="D206" s="14" t="s">
        <v>517</v>
      </c>
      <c r="E206" s="6"/>
      <c r="F206" s="11">
        <v>268</v>
      </c>
      <c r="G206" s="15" t="s">
        <v>195</v>
      </c>
      <c r="H206" s="15" t="s">
        <v>888</v>
      </c>
      <c r="K206" t="str">
        <f t="shared" si="56"/>
        <v>ARMENIAN</v>
      </c>
      <c r="L206">
        <f t="shared" si="57"/>
        <v>224</v>
      </c>
      <c r="P206" t="str">
        <f t="shared" si="58"/>
        <v/>
      </c>
      <c r="Q206" t="str">
        <f t="shared" si="59"/>
        <v>Republic of Kosovo</v>
      </c>
      <c r="R206">
        <f t="shared" si="60"/>
        <v>271</v>
      </c>
      <c r="V206" t="str">
        <f>IF(TIM!F206="","",TIM!F206)</f>
        <v/>
      </c>
      <c r="W206" t="str">
        <f t="shared" si="61"/>
        <v/>
      </c>
      <c r="X206">
        <f t="shared" si="62"/>
        <v>0</v>
      </c>
      <c r="AI206">
        <f>IF(TIM!P206=TIM!P206,TIM!P206,"")</f>
        <v>0</v>
      </c>
      <c r="AJ206" t="str">
        <f t="shared" si="63"/>
        <v/>
      </c>
      <c r="AK206" t="str">
        <f t="shared" si="64"/>
        <v>0</v>
      </c>
      <c r="AL206" t="str">
        <f t="shared" si="65"/>
        <v>0</v>
      </c>
      <c r="AM206">
        <f t="shared" si="66"/>
        <v>543</v>
      </c>
      <c r="AN206" t="str">
        <f t="shared" si="67"/>
        <v>/0/543</v>
      </c>
      <c r="AP206">
        <f>IF(TIM!O206=TIM!O206,TIM!O206,"")</f>
        <v>0</v>
      </c>
      <c r="AQ206" t="str">
        <f t="shared" si="68"/>
        <v/>
      </c>
      <c r="AR206" t="str">
        <f t="shared" si="69"/>
        <v>0</v>
      </c>
      <c r="AS206" t="str">
        <f t="shared" si="70"/>
        <v>0</v>
      </c>
      <c r="AT206">
        <f t="shared" si="71"/>
        <v>543</v>
      </c>
      <c r="AU206" t="str">
        <f t="shared" si="72"/>
        <v>/0/543</v>
      </c>
    </row>
    <row r="207" spans="2:47">
      <c r="B207" s="11">
        <v>221</v>
      </c>
      <c r="C207" s="14" t="s">
        <v>160</v>
      </c>
      <c r="D207" s="14" t="s">
        <v>506</v>
      </c>
      <c r="E207" s="6"/>
      <c r="F207" s="11">
        <v>269</v>
      </c>
      <c r="G207" s="15" t="s">
        <v>978</v>
      </c>
      <c r="H207" s="15" t="s">
        <v>979</v>
      </c>
      <c r="K207" t="str">
        <f t="shared" si="56"/>
        <v>AZERBAIJANI</v>
      </c>
      <c r="L207">
        <f t="shared" si="57"/>
        <v>225</v>
      </c>
      <c r="P207" t="str">
        <f t="shared" si="58"/>
        <v/>
      </c>
      <c r="Q207" t="str">
        <f t="shared" si="59"/>
        <v>Republic of South Sudan</v>
      </c>
      <c r="R207">
        <f t="shared" si="60"/>
        <v>272</v>
      </c>
      <c r="V207" t="str">
        <f>IF(TIM!F207="","",TIM!F207)</f>
        <v/>
      </c>
      <c r="W207" t="str">
        <f t="shared" si="61"/>
        <v/>
      </c>
      <c r="X207">
        <f t="shared" si="62"/>
        <v>0</v>
      </c>
      <c r="AI207">
        <f>IF(TIM!P207=TIM!P207,TIM!P207,"")</f>
        <v>0</v>
      </c>
      <c r="AJ207" t="str">
        <f t="shared" si="63"/>
        <v/>
      </c>
      <c r="AK207" t="str">
        <f t="shared" si="64"/>
        <v>0</v>
      </c>
      <c r="AL207" t="str">
        <f t="shared" si="65"/>
        <v>0</v>
      </c>
      <c r="AM207">
        <f t="shared" si="66"/>
        <v>543</v>
      </c>
      <c r="AN207" t="str">
        <f t="shared" si="67"/>
        <v>/0/543</v>
      </c>
      <c r="AP207">
        <f>IF(TIM!O207=TIM!O207,TIM!O207,"")</f>
        <v>0</v>
      </c>
      <c r="AQ207" t="str">
        <f t="shared" si="68"/>
        <v/>
      </c>
      <c r="AR207" t="str">
        <f t="shared" si="69"/>
        <v>0</v>
      </c>
      <c r="AS207" t="str">
        <f t="shared" si="70"/>
        <v>0</v>
      </c>
      <c r="AT207">
        <f t="shared" si="71"/>
        <v>543</v>
      </c>
      <c r="AU207" t="str">
        <f t="shared" si="72"/>
        <v>/0/543</v>
      </c>
    </row>
    <row r="208" spans="2:47">
      <c r="B208" s="11">
        <v>223</v>
      </c>
      <c r="C208" s="14" t="s">
        <v>493</v>
      </c>
      <c r="D208" s="14" t="s">
        <v>494</v>
      </c>
      <c r="E208" s="6"/>
      <c r="F208" s="11">
        <v>270</v>
      </c>
      <c r="G208" s="15" t="s">
        <v>941</v>
      </c>
      <c r="H208" s="15" t="s">
        <v>942</v>
      </c>
      <c r="K208" t="str">
        <f t="shared" si="56"/>
        <v>GEORGIAN</v>
      </c>
      <c r="L208">
        <f t="shared" si="57"/>
        <v>226</v>
      </c>
      <c r="P208" t="str">
        <f t="shared" si="58"/>
        <v/>
      </c>
      <c r="Q208" t="str">
        <f t="shared" si="59"/>
        <v>HONG KONG</v>
      </c>
      <c r="R208">
        <f t="shared" si="60"/>
        <v>931</v>
      </c>
      <c r="V208" t="str">
        <f>IF(TIM!F208="","",TIM!F208)</f>
        <v/>
      </c>
      <c r="W208" t="str">
        <f t="shared" si="61"/>
        <v/>
      </c>
      <c r="X208">
        <f t="shared" si="62"/>
        <v>0</v>
      </c>
      <c r="AI208">
        <f>IF(TIM!P208=TIM!P208,TIM!P208,"")</f>
        <v>0</v>
      </c>
      <c r="AJ208" t="str">
        <f t="shared" si="63"/>
        <v/>
      </c>
      <c r="AK208" t="str">
        <f t="shared" si="64"/>
        <v>0</v>
      </c>
      <c r="AL208" t="str">
        <f t="shared" si="65"/>
        <v>0</v>
      </c>
      <c r="AM208">
        <f t="shared" si="66"/>
        <v>543</v>
      </c>
      <c r="AN208" t="str">
        <f t="shared" si="67"/>
        <v>/0/543</v>
      </c>
      <c r="AP208">
        <f>IF(TIM!O208=TIM!O208,TIM!O208,"")</f>
        <v>0</v>
      </c>
      <c r="AQ208" t="str">
        <f t="shared" si="68"/>
        <v/>
      </c>
      <c r="AR208" t="str">
        <f t="shared" si="69"/>
        <v>0</v>
      </c>
      <c r="AS208" t="str">
        <f t="shared" si="70"/>
        <v>0</v>
      </c>
      <c r="AT208">
        <f t="shared" si="71"/>
        <v>543</v>
      </c>
      <c r="AU208" t="str">
        <f t="shared" si="72"/>
        <v>/0/543</v>
      </c>
    </row>
    <row r="209" spans="2:47">
      <c r="B209" s="11">
        <v>224</v>
      </c>
      <c r="C209" s="14" t="s">
        <v>161</v>
      </c>
      <c r="D209" s="14" t="s">
        <v>734</v>
      </c>
      <c r="E209" s="6"/>
      <c r="F209" s="11">
        <v>271</v>
      </c>
      <c r="G209" s="15" t="s">
        <v>943</v>
      </c>
      <c r="H209" s="15" t="s">
        <v>944</v>
      </c>
      <c r="K209" t="str">
        <f t="shared" si="56"/>
        <v>KYRGYZ</v>
      </c>
      <c r="L209">
        <f t="shared" si="57"/>
        <v>227</v>
      </c>
      <c r="V209" t="str">
        <f>IF(TIM!F209="","",TIM!F209)</f>
        <v/>
      </c>
      <c r="W209" t="str">
        <f t="shared" si="61"/>
        <v/>
      </c>
      <c r="X209">
        <f t="shared" si="62"/>
        <v>0</v>
      </c>
      <c r="AI209">
        <f>IF(TIM!P209=TIM!P209,TIM!P209,"")</f>
        <v>0</v>
      </c>
      <c r="AJ209" t="str">
        <f t="shared" si="63"/>
        <v/>
      </c>
      <c r="AK209" t="str">
        <f t="shared" si="64"/>
        <v>0</v>
      </c>
      <c r="AL209" t="str">
        <f t="shared" si="65"/>
        <v>0</v>
      </c>
      <c r="AM209">
        <f t="shared" si="66"/>
        <v>543</v>
      </c>
      <c r="AN209" t="str">
        <f t="shared" si="67"/>
        <v>/0/543</v>
      </c>
      <c r="AP209">
        <f>IF(TIM!O209=TIM!O209,TIM!O209,"")</f>
        <v>0</v>
      </c>
      <c r="AQ209" t="str">
        <f t="shared" si="68"/>
        <v/>
      </c>
      <c r="AR209" t="str">
        <f t="shared" si="69"/>
        <v>0</v>
      </c>
      <c r="AS209" t="str">
        <f t="shared" si="70"/>
        <v>0</v>
      </c>
      <c r="AT209">
        <f t="shared" si="71"/>
        <v>543</v>
      </c>
      <c r="AU209" t="str">
        <f t="shared" si="72"/>
        <v>/0/543</v>
      </c>
    </row>
    <row r="210" spans="2:47">
      <c r="B210" s="11">
        <v>225</v>
      </c>
      <c r="C210" s="14" t="s">
        <v>162</v>
      </c>
      <c r="D210" s="14" t="s">
        <v>731</v>
      </c>
      <c r="E210" s="6"/>
      <c r="F210" s="11">
        <v>272</v>
      </c>
      <c r="G210" s="15" t="s">
        <v>949</v>
      </c>
      <c r="H210" s="15" t="s">
        <v>950</v>
      </c>
      <c r="K210" t="str">
        <f t="shared" si="56"/>
        <v>TAJIK</v>
      </c>
      <c r="L210">
        <f t="shared" si="57"/>
        <v>228</v>
      </c>
      <c r="V210" t="str">
        <f>IF(TIM!F210="","",TIM!F210)</f>
        <v/>
      </c>
      <c r="W210" t="str">
        <f t="shared" si="61"/>
        <v/>
      </c>
      <c r="X210">
        <f t="shared" si="62"/>
        <v>0</v>
      </c>
      <c r="AI210">
        <f>IF(TIM!P210=TIM!P210,TIM!P210,"")</f>
        <v>0</v>
      </c>
      <c r="AJ210" t="str">
        <f t="shared" si="63"/>
        <v/>
      </c>
      <c r="AK210" t="str">
        <f t="shared" si="64"/>
        <v>0</v>
      </c>
      <c r="AL210" t="str">
        <f t="shared" si="65"/>
        <v>0</v>
      </c>
      <c r="AM210">
        <f t="shared" si="66"/>
        <v>543</v>
      </c>
      <c r="AN210" t="str">
        <f t="shared" si="67"/>
        <v>/0/543</v>
      </c>
      <c r="AP210">
        <f>IF(TIM!O210=TIM!O210,TIM!O210,"")</f>
        <v>0</v>
      </c>
      <c r="AQ210" t="str">
        <f t="shared" si="68"/>
        <v/>
      </c>
      <c r="AR210" t="str">
        <f t="shared" si="69"/>
        <v>0</v>
      </c>
      <c r="AS210" t="str">
        <f t="shared" si="70"/>
        <v>0</v>
      </c>
      <c r="AT210">
        <f t="shared" si="71"/>
        <v>543</v>
      </c>
      <c r="AU210" t="str">
        <f t="shared" si="72"/>
        <v>/0/543</v>
      </c>
    </row>
    <row r="211" spans="2:47">
      <c r="B211" s="11">
        <v>226</v>
      </c>
      <c r="C211" s="14" t="s">
        <v>163</v>
      </c>
      <c r="D211" s="14" t="s">
        <v>509</v>
      </c>
      <c r="E211" s="6"/>
      <c r="F211" s="11">
        <v>931</v>
      </c>
      <c r="G211" s="15" t="s">
        <v>797</v>
      </c>
      <c r="H211" s="15" t="s">
        <v>798</v>
      </c>
      <c r="K211" t="str">
        <f t="shared" si="56"/>
        <v>UZBEK</v>
      </c>
      <c r="L211">
        <f t="shared" si="57"/>
        <v>229</v>
      </c>
      <c r="V211" t="str">
        <f>IF(TIM!F211="","",TIM!F211)</f>
        <v/>
      </c>
      <c r="W211" t="str">
        <f t="shared" si="61"/>
        <v/>
      </c>
      <c r="X211">
        <f t="shared" si="62"/>
        <v>0</v>
      </c>
      <c r="AI211">
        <f>IF(TIM!P211=TIM!P211,TIM!P211,"")</f>
        <v>0</v>
      </c>
      <c r="AJ211" t="str">
        <f t="shared" si="63"/>
        <v/>
      </c>
      <c r="AK211" t="str">
        <f t="shared" si="64"/>
        <v>0</v>
      </c>
      <c r="AL211" t="str">
        <f t="shared" si="65"/>
        <v>0</v>
      </c>
      <c r="AM211">
        <f t="shared" si="66"/>
        <v>543</v>
      </c>
      <c r="AN211" t="str">
        <f t="shared" si="67"/>
        <v>/0/543</v>
      </c>
      <c r="AP211">
        <f>IF(TIM!O211=TIM!O211,TIM!O211,"")</f>
        <v>0</v>
      </c>
      <c r="AQ211" t="str">
        <f t="shared" si="68"/>
        <v/>
      </c>
      <c r="AR211" t="str">
        <f t="shared" si="69"/>
        <v>0</v>
      </c>
      <c r="AS211" t="str">
        <f t="shared" si="70"/>
        <v>0</v>
      </c>
      <c r="AT211">
        <f t="shared" si="71"/>
        <v>543</v>
      </c>
      <c r="AU211" t="str">
        <f t="shared" si="72"/>
        <v>/0/543</v>
      </c>
    </row>
    <row r="212" spans="2:47">
      <c r="B212" s="11">
        <v>227</v>
      </c>
      <c r="C212" s="14" t="s">
        <v>164</v>
      </c>
      <c r="D212" s="14" t="s">
        <v>498</v>
      </c>
      <c r="E212" s="6"/>
      <c r="F212" s="6"/>
      <c r="G212" s="6"/>
      <c r="H212" s="6"/>
      <c r="K212" t="str">
        <f t="shared" si="56"/>
        <v>THE MARSHALL ISLANDS</v>
      </c>
      <c r="L212">
        <f t="shared" si="57"/>
        <v>230</v>
      </c>
      <c r="V212" t="str">
        <f>IF(TIM!F212="","",TIM!F212)</f>
        <v/>
      </c>
      <c r="W212" t="str">
        <f t="shared" si="61"/>
        <v/>
      </c>
      <c r="X212">
        <f t="shared" si="62"/>
        <v>0</v>
      </c>
      <c r="AI212">
        <f>IF(TIM!P212=TIM!P212,TIM!P212,"")</f>
        <v>0</v>
      </c>
      <c r="AJ212" t="str">
        <f t="shared" si="63"/>
        <v/>
      </c>
      <c r="AK212" t="str">
        <f t="shared" si="64"/>
        <v>0</v>
      </c>
      <c r="AL212" t="str">
        <f t="shared" si="65"/>
        <v>0</v>
      </c>
      <c r="AM212">
        <f t="shared" si="66"/>
        <v>543</v>
      </c>
      <c r="AN212" t="str">
        <f t="shared" si="67"/>
        <v>/0/543</v>
      </c>
      <c r="AP212">
        <f>IF(TIM!O212=TIM!O212,TIM!O212,"")</f>
        <v>0</v>
      </c>
      <c r="AQ212" t="str">
        <f t="shared" si="68"/>
        <v/>
      </c>
      <c r="AR212" t="str">
        <f t="shared" si="69"/>
        <v>0</v>
      </c>
      <c r="AS212" t="str">
        <f t="shared" si="70"/>
        <v>0</v>
      </c>
      <c r="AT212">
        <f t="shared" si="71"/>
        <v>543</v>
      </c>
      <c r="AU212" t="str">
        <f t="shared" si="72"/>
        <v>/0/543</v>
      </c>
    </row>
    <row r="213" spans="2:47">
      <c r="B213" s="11">
        <v>228</v>
      </c>
      <c r="C213" s="14" t="s">
        <v>165</v>
      </c>
      <c r="D213" s="14" t="s">
        <v>570</v>
      </c>
      <c r="E213" s="6"/>
      <c r="F213" s="6"/>
      <c r="G213" s="6"/>
      <c r="H213" s="6"/>
      <c r="K213" t="str">
        <f t="shared" si="56"/>
        <v>MICRONESIA</v>
      </c>
      <c r="L213">
        <f t="shared" si="57"/>
        <v>231</v>
      </c>
      <c r="V213" t="str">
        <f>IF(TIM!F213="","",TIM!F213)</f>
        <v/>
      </c>
      <c r="W213" t="str">
        <f t="shared" si="61"/>
        <v/>
      </c>
      <c r="X213">
        <f t="shared" si="62"/>
        <v>0</v>
      </c>
      <c r="AI213">
        <f>IF(TIM!P213=TIM!P213,TIM!P213,"")</f>
        <v>0</v>
      </c>
      <c r="AJ213" t="str">
        <f t="shared" si="63"/>
        <v/>
      </c>
      <c r="AK213" t="str">
        <f t="shared" si="64"/>
        <v>0</v>
      </c>
      <c r="AL213" t="str">
        <f t="shared" si="65"/>
        <v>0</v>
      </c>
      <c r="AM213">
        <f t="shared" si="66"/>
        <v>543</v>
      </c>
      <c r="AN213" t="str">
        <f t="shared" si="67"/>
        <v>/0/543</v>
      </c>
      <c r="AP213">
        <f>IF(TIM!O213=TIM!O213,TIM!O213,"")</f>
        <v>0</v>
      </c>
      <c r="AQ213" t="str">
        <f t="shared" si="68"/>
        <v/>
      </c>
      <c r="AR213" t="str">
        <f t="shared" si="69"/>
        <v>0</v>
      </c>
      <c r="AS213" t="str">
        <f t="shared" si="70"/>
        <v>0</v>
      </c>
      <c r="AT213">
        <f t="shared" si="71"/>
        <v>543</v>
      </c>
      <c r="AU213" t="str">
        <f t="shared" si="72"/>
        <v>/0/543</v>
      </c>
    </row>
    <row r="214" spans="2:47">
      <c r="B214" s="11">
        <v>229</v>
      </c>
      <c r="C214" s="14" t="s">
        <v>166</v>
      </c>
      <c r="D214" s="14" t="s">
        <v>752</v>
      </c>
      <c r="E214" s="6"/>
      <c r="F214" s="6"/>
      <c r="G214" s="6"/>
      <c r="H214" s="6"/>
      <c r="K214" t="str">
        <f t="shared" si="56"/>
        <v>PALAU</v>
      </c>
      <c r="L214">
        <f t="shared" si="57"/>
        <v>232</v>
      </c>
      <c r="V214" t="str">
        <f>IF(TIM!F214="","",TIM!F214)</f>
        <v/>
      </c>
      <c r="W214" t="str">
        <f t="shared" si="61"/>
        <v/>
      </c>
      <c r="X214">
        <f t="shared" si="62"/>
        <v>0</v>
      </c>
      <c r="AI214">
        <f>IF(TIM!P214=TIM!P214,TIM!P214,"")</f>
        <v>0</v>
      </c>
      <c r="AJ214" t="str">
        <f t="shared" si="63"/>
        <v/>
      </c>
      <c r="AK214" t="str">
        <f t="shared" si="64"/>
        <v>0</v>
      </c>
      <c r="AL214" t="str">
        <f t="shared" si="65"/>
        <v>0</v>
      </c>
      <c r="AM214">
        <f t="shared" si="66"/>
        <v>543</v>
      </c>
      <c r="AN214" t="str">
        <f t="shared" si="67"/>
        <v>/0/543</v>
      </c>
      <c r="AP214">
        <f>IF(TIM!O214=TIM!O214,TIM!O214,"")</f>
        <v>0</v>
      </c>
      <c r="AQ214" t="str">
        <f t="shared" si="68"/>
        <v/>
      </c>
      <c r="AR214" t="str">
        <f t="shared" si="69"/>
        <v>0</v>
      </c>
      <c r="AS214" t="str">
        <f t="shared" si="70"/>
        <v>0</v>
      </c>
      <c r="AT214">
        <f t="shared" si="71"/>
        <v>543</v>
      </c>
      <c r="AU214" t="str">
        <f t="shared" si="72"/>
        <v>/0/543</v>
      </c>
    </row>
    <row r="215" spans="2:47">
      <c r="B215" s="11">
        <v>230</v>
      </c>
      <c r="C215" s="14" t="s">
        <v>167</v>
      </c>
      <c r="D215" s="14" t="s">
        <v>721</v>
      </c>
      <c r="E215" s="6"/>
      <c r="F215" s="6"/>
      <c r="G215" s="6"/>
      <c r="H215" s="6"/>
      <c r="K215" t="str">
        <f t="shared" si="56"/>
        <v>BELARUSIAN</v>
      </c>
      <c r="L215">
        <f t="shared" si="57"/>
        <v>233</v>
      </c>
      <c r="V215" t="str">
        <f>IF(TIM!F215="","",TIM!F215)</f>
        <v/>
      </c>
      <c r="W215" t="str">
        <f t="shared" si="61"/>
        <v/>
      </c>
      <c r="X215">
        <f t="shared" si="62"/>
        <v>0</v>
      </c>
      <c r="AI215">
        <f>IF(TIM!P215=TIM!P215,TIM!P215,"")</f>
        <v>0</v>
      </c>
      <c r="AJ215" t="str">
        <f t="shared" si="63"/>
        <v/>
      </c>
      <c r="AK215" t="str">
        <f t="shared" si="64"/>
        <v>0</v>
      </c>
      <c r="AL215" t="str">
        <f t="shared" si="65"/>
        <v>0</v>
      </c>
      <c r="AM215">
        <f t="shared" si="66"/>
        <v>543</v>
      </c>
      <c r="AN215" t="str">
        <f t="shared" si="67"/>
        <v>/0/543</v>
      </c>
      <c r="AP215">
        <f>IF(TIM!O215=TIM!O215,TIM!O215,"")</f>
        <v>0</v>
      </c>
      <c r="AQ215" t="str">
        <f t="shared" si="68"/>
        <v/>
      </c>
      <c r="AR215" t="str">
        <f t="shared" si="69"/>
        <v>0</v>
      </c>
      <c r="AS215" t="str">
        <f t="shared" si="70"/>
        <v>0</v>
      </c>
      <c r="AT215">
        <f t="shared" si="71"/>
        <v>543</v>
      </c>
      <c r="AU215" t="str">
        <f t="shared" si="72"/>
        <v>/0/543</v>
      </c>
    </row>
    <row r="216" spans="2:47">
      <c r="B216" s="11">
        <v>231</v>
      </c>
      <c r="C216" s="14" t="s">
        <v>168</v>
      </c>
      <c r="D216" s="14" t="s">
        <v>662</v>
      </c>
      <c r="E216" s="6"/>
      <c r="F216" s="6"/>
      <c r="G216" s="6"/>
      <c r="H216" s="6"/>
      <c r="K216" t="str">
        <f t="shared" si="56"/>
        <v>REPBLIC OF BOSNIA HERAEGO</v>
      </c>
      <c r="L216">
        <f t="shared" si="57"/>
        <v>234</v>
      </c>
      <c r="V216" t="str">
        <f>IF(TIM!F216="","",TIM!F216)</f>
        <v/>
      </c>
      <c r="W216" t="str">
        <f t="shared" si="61"/>
        <v/>
      </c>
      <c r="X216">
        <f t="shared" si="62"/>
        <v>0</v>
      </c>
      <c r="AI216">
        <f>IF(TIM!P216=TIM!P216,TIM!P216,"")</f>
        <v>0</v>
      </c>
      <c r="AJ216" t="str">
        <f t="shared" si="63"/>
        <v/>
      </c>
      <c r="AK216" t="str">
        <f t="shared" si="64"/>
        <v>0</v>
      </c>
      <c r="AL216" t="str">
        <f t="shared" si="65"/>
        <v>0</v>
      </c>
      <c r="AM216">
        <f t="shared" si="66"/>
        <v>543</v>
      </c>
      <c r="AN216" t="str">
        <f t="shared" si="67"/>
        <v>/0/543</v>
      </c>
      <c r="AP216">
        <f>IF(TIM!O216=TIM!O216,TIM!O216,"")</f>
        <v>0</v>
      </c>
      <c r="AQ216" t="str">
        <f t="shared" si="68"/>
        <v/>
      </c>
      <c r="AR216" t="str">
        <f t="shared" si="69"/>
        <v>0</v>
      </c>
      <c r="AS216" t="str">
        <f t="shared" si="70"/>
        <v>0</v>
      </c>
      <c r="AT216">
        <f t="shared" si="71"/>
        <v>543</v>
      </c>
      <c r="AU216" t="str">
        <f t="shared" si="72"/>
        <v>/0/543</v>
      </c>
    </row>
    <row r="217" spans="2:47">
      <c r="B217" s="11">
        <v>232</v>
      </c>
      <c r="C217" s="14" t="s">
        <v>169</v>
      </c>
      <c r="D217" s="14" t="s">
        <v>621</v>
      </c>
      <c r="E217" s="6"/>
      <c r="F217" s="6"/>
      <c r="G217" s="6"/>
      <c r="H217" s="6"/>
      <c r="K217" t="str">
        <f t="shared" si="56"/>
        <v>TURKMEN</v>
      </c>
      <c r="L217">
        <f t="shared" si="57"/>
        <v>235</v>
      </c>
      <c r="V217" t="str">
        <f>IF(TIM!F217="","",TIM!F217)</f>
        <v/>
      </c>
      <c r="W217" t="str">
        <f t="shared" si="61"/>
        <v/>
      </c>
      <c r="X217">
        <f t="shared" si="62"/>
        <v>0</v>
      </c>
      <c r="AI217">
        <f>IF(TIM!P217=TIM!P217,TIM!P217,"")</f>
        <v>0</v>
      </c>
      <c r="AJ217" t="str">
        <f t="shared" si="63"/>
        <v/>
      </c>
      <c r="AK217" t="str">
        <f t="shared" si="64"/>
        <v>0</v>
      </c>
      <c r="AL217" t="str">
        <f t="shared" si="65"/>
        <v>0</v>
      </c>
      <c r="AM217">
        <f t="shared" si="66"/>
        <v>543</v>
      </c>
      <c r="AN217" t="str">
        <f t="shared" si="67"/>
        <v>/0/543</v>
      </c>
      <c r="AP217">
        <f>IF(TIM!O217=TIM!O217,TIM!O217,"")</f>
        <v>0</v>
      </c>
      <c r="AQ217" t="str">
        <f t="shared" si="68"/>
        <v/>
      </c>
      <c r="AR217" t="str">
        <f t="shared" si="69"/>
        <v>0</v>
      </c>
      <c r="AS217" t="str">
        <f t="shared" si="70"/>
        <v>0</v>
      </c>
      <c r="AT217">
        <f t="shared" si="71"/>
        <v>543</v>
      </c>
      <c r="AU217" t="str">
        <f t="shared" si="72"/>
        <v>/0/543</v>
      </c>
    </row>
    <row r="218" spans="2:47">
      <c r="B218" s="11">
        <v>233</v>
      </c>
      <c r="C218" s="14" t="s">
        <v>607</v>
      </c>
      <c r="D218" s="14" t="s">
        <v>608</v>
      </c>
      <c r="E218" s="6"/>
      <c r="F218" s="6"/>
      <c r="G218" s="6"/>
      <c r="H218" s="6"/>
      <c r="K218" t="str">
        <f t="shared" si="56"/>
        <v>ESTONIAN</v>
      </c>
      <c r="L218">
        <f t="shared" si="57"/>
        <v>236</v>
      </c>
      <c r="V218" t="str">
        <f>IF(TIM!F218="","",TIM!F218)</f>
        <v/>
      </c>
      <c r="W218" t="str">
        <f t="shared" si="61"/>
        <v/>
      </c>
      <c r="X218">
        <f t="shared" si="62"/>
        <v>0</v>
      </c>
      <c r="AI218">
        <f>IF(TIM!P218=TIM!P218,TIM!P218,"")</f>
        <v>0</v>
      </c>
      <c r="AJ218" t="str">
        <f t="shared" si="63"/>
        <v/>
      </c>
      <c r="AK218" t="str">
        <f t="shared" si="64"/>
        <v>0</v>
      </c>
      <c r="AL218" t="str">
        <f t="shared" si="65"/>
        <v>0</v>
      </c>
      <c r="AM218">
        <f t="shared" si="66"/>
        <v>543</v>
      </c>
      <c r="AN218" t="str">
        <f t="shared" si="67"/>
        <v>/0/543</v>
      </c>
      <c r="AP218">
        <f>IF(TIM!O218=TIM!O218,TIM!O218,"")</f>
        <v>0</v>
      </c>
      <c r="AQ218" t="str">
        <f t="shared" si="68"/>
        <v/>
      </c>
      <c r="AR218" t="str">
        <f t="shared" si="69"/>
        <v>0</v>
      </c>
      <c r="AS218" t="str">
        <f t="shared" si="70"/>
        <v>0</v>
      </c>
      <c r="AT218">
        <f t="shared" si="71"/>
        <v>543</v>
      </c>
      <c r="AU218" t="str">
        <f t="shared" si="72"/>
        <v>/0/543</v>
      </c>
    </row>
    <row r="219" spans="2:47">
      <c r="B219" s="11">
        <v>234</v>
      </c>
      <c r="C219" s="14" t="s">
        <v>170</v>
      </c>
      <c r="D219" s="14" t="s">
        <v>595</v>
      </c>
      <c r="E219" s="6"/>
      <c r="F219" s="6"/>
      <c r="G219" s="6"/>
      <c r="H219" s="6"/>
      <c r="K219" t="str">
        <f t="shared" si="56"/>
        <v>LATVIAN</v>
      </c>
      <c r="L219">
        <f t="shared" si="57"/>
        <v>237</v>
      </c>
      <c r="V219" t="str">
        <f>IF(TIM!F219="","",TIM!F219)</f>
        <v/>
      </c>
      <c r="W219" t="str">
        <f t="shared" si="61"/>
        <v/>
      </c>
      <c r="X219">
        <f t="shared" si="62"/>
        <v>0</v>
      </c>
      <c r="AI219">
        <f>IF(TIM!P219=TIM!P219,TIM!P219,"")</f>
        <v>0</v>
      </c>
      <c r="AJ219" t="str">
        <f t="shared" si="63"/>
        <v/>
      </c>
      <c r="AK219" t="str">
        <f t="shared" si="64"/>
        <v>0</v>
      </c>
      <c r="AL219" t="str">
        <f t="shared" si="65"/>
        <v>0</v>
      </c>
      <c r="AM219">
        <f t="shared" si="66"/>
        <v>543</v>
      </c>
      <c r="AN219" t="str">
        <f t="shared" si="67"/>
        <v>/0/543</v>
      </c>
      <c r="AP219">
        <f>IF(TIM!O219=TIM!O219,TIM!O219,"")</f>
        <v>0</v>
      </c>
      <c r="AQ219" t="str">
        <f t="shared" si="68"/>
        <v/>
      </c>
      <c r="AR219" t="str">
        <f t="shared" si="69"/>
        <v>0</v>
      </c>
      <c r="AS219" t="str">
        <f t="shared" si="70"/>
        <v>0</v>
      </c>
      <c r="AT219">
        <f t="shared" si="71"/>
        <v>543</v>
      </c>
      <c r="AU219" t="str">
        <f t="shared" si="72"/>
        <v>/0/543</v>
      </c>
    </row>
    <row r="220" spans="2:47">
      <c r="B220" s="11">
        <v>235</v>
      </c>
      <c r="C220" s="14" t="s">
        <v>171</v>
      </c>
      <c r="D220" s="14" t="s">
        <v>567</v>
      </c>
      <c r="E220" s="6"/>
      <c r="F220" s="6"/>
      <c r="G220" s="6"/>
      <c r="H220" s="6"/>
      <c r="K220" t="str">
        <f t="shared" si="56"/>
        <v>LITHUANIAN</v>
      </c>
      <c r="L220">
        <f t="shared" si="57"/>
        <v>238</v>
      </c>
      <c r="V220" t="str">
        <f>IF(TIM!F220="","",TIM!F220)</f>
        <v/>
      </c>
      <c r="W220" t="str">
        <f t="shared" si="61"/>
        <v/>
      </c>
      <c r="X220">
        <f t="shared" si="62"/>
        <v>0</v>
      </c>
      <c r="AI220">
        <f>IF(TIM!P220=TIM!P220,TIM!P220,"")</f>
        <v>0</v>
      </c>
      <c r="AJ220" t="str">
        <f t="shared" si="63"/>
        <v/>
      </c>
      <c r="AK220" t="str">
        <f t="shared" si="64"/>
        <v>0</v>
      </c>
      <c r="AL220" t="str">
        <f t="shared" si="65"/>
        <v>0</v>
      </c>
      <c r="AM220">
        <f t="shared" si="66"/>
        <v>543</v>
      </c>
      <c r="AN220" t="str">
        <f t="shared" si="67"/>
        <v>/0/543</v>
      </c>
      <c r="AP220">
        <f>IF(TIM!O220=TIM!O220,TIM!O220,"")</f>
        <v>0</v>
      </c>
      <c r="AQ220" t="str">
        <f t="shared" si="68"/>
        <v/>
      </c>
      <c r="AR220" t="str">
        <f t="shared" si="69"/>
        <v>0</v>
      </c>
      <c r="AS220" t="str">
        <f t="shared" si="70"/>
        <v>0</v>
      </c>
      <c r="AT220">
        <f t="shared" si="71"/>
        <v>543</v>
      </c>
      <c r="AU220" t="str">
        <f t="shared" si="72"/>
        <v>/0/543</v>
      </c>
    </row>
    <row r="221" spans="2:47">
      <c r="B221" s="11">
        <v>236</v>
      </c>
      <c r="C221" s="14" t="s">
        <v>172</v>
      </c>
      <c r="D221" s="14" t="s">
        <v>759</v>
      </c>
      <c r="E221" s="6"/>
      <c r="F221" s="6"/>
      <c r="G221" s="6"/>
      <c r="H221" s="6"/>
      <c r="K221" t="str">
        <f t="shared" si="56"/>
        <v>MACEDONIA</v>
      </c>
      <c r="L221">
        <f t="shared" si="57"/>
        <v>239</v>
      </c>
      <c r="V221" t="str">
        <f>IF(TIM!F221="","",TIM!F221)</f>
        <v/>
      </c>
      <c r="W221" t="str">
        <f t="shared" si="61"/>
        <v/>
      </c>
      <c r="X221">
        <f t="shared" si="62"/>
        <v>0</v>
      </c>
      <c r="AI221">
        <f>IF(TIM!P221=TIM!P221,TIM!P221,"")</f>
        <v>0</v>
      </c>
      <c r="AJ221" t="str">
        <f t="shared" si="63"/>
        <v/>
      </c>
      <c r="AK221" t="str">
        <f t="shared" si="64"/>
        <v>0</v>
      </c>
      <c r="AL221" t="str">
        <f t="shared" si="65"/>
        <v>0</v>
      </c>
      <c r="AM221">
        <f t="shared" si="66"/>
        <v>543</v>
      </c>
      <c r="AN221" t="str">
        <f t="shared" si="67"/>
        <v>/0/543</v>
      </c>
      <c r="AP221">
        <f>IF(TIM!O221=TIM!O221,TIM!O221,"")</f>
        <v>0</v>
      </c>
      <c r="AQ221" t="str">
        <f t="shared" si="68"/>
        <v/>
      </c>
      <c r="AR221" t="str">
        <f t="shared" si="69"/>
        <v>0</v>
      </c>
      <c r="AS221" t="str">
        <f t="shared" si="70"/>
        <v>0</v>
      </c>
      <c r="AT221">
        <f t="shared" si="71"/>
        <v>543</v>
      </c>
      <c r="AU221" t="str">
        <f t="shared" si="72"/>
        <v>/0/543</v>
      </c>
    </row>
    <row r="222" spans="2:47">
      <c r="B222" s="11">
        <v>237</v>
      </c>
      <c r="C222" s="14" t="s">
        <v>173</v>
      </c>
      <c r="D222" s="14" t="s">
        <v>680</v>
      </c>
      <c r="E222" s="6"/>
      <c r="F222" s="6"/>
      <c r="G222" s="6"/>
      <c r="H222" s="6"/>
      <c r="K222" t="str">
        <f t="shared" si="56"/>
        <v>MOLDOVAN</v>
      </c>
      <c r="L222">
        <f t="shared" si="57"/>
        <v>240</v>
      </c>
      <c r="V222" t="str">
        <f>IF(TIM!F222="","",TIM!F222)</f>
        <v/>
      </c>
      <c r="W222" t="str">
        <f t="shared" si="61"/>
        <v/>
      </c>
      <c r="X222">
        <f t="shared" si="62"/>
        <v>0</v>
      </c>
      <c r="AI222">
        <f>IF(TIM!P222=TIM!P222,TIM!P222,"")</f>
        <v>0</v>
      </c>
      <c r="AJ222" t="str">
        <f t="shared" si="63"/>
        <v/>
      </c>
      <c r="AK222" t="str">
        <f t="shared" si="64"/>
        <v>0</v>
      </c>
      <c r="AL222" t="str">
        <f t="shared" si="65"/>
        <v>0</v>
      </c>
      <c r="AM222">
        <f t="shared" si="66"/>
        <v>543</v>
      </c>
      <c r="AN222" t="str">
        <f t="shared" si="67"/>
        <v>/0/543</v>
      </c>
      <c r="AP222">
        <f>IF(TIM!O222=TIM!O222,TIM!O222,"")</f>
        <v>0</v>
      </c>
      <c r="AQ222" t="str">
        <f t="shared" si="68"/>
        <v/>
      </c>
      <c r="AR222" t="str">
        <f t="shared" si="69"/>
        <v>0</v>
      </c>
      <c r="AS222" t="str">
        <f t="shared" si="70"/>
        <v>0</v>
      </c>
      <c r="AT222">
        <f t="shared" si="71"/>
        <v>543</v>
      </c>
      <c r="AU222" t="str">
        <f t="shared" si="72"/>
        <v>/0/543</v>
      </c>
    </row>
    <row r="223" spans="2:47">
      <c r="B223" s="11">
        <v>238</v>
      </c>
      <c r="C223" s="14" t="s">
        <v>174</v>
      </c>
      <c r="D223" s="14" t="s">
        <v>688</v>
      </c>
      <c r="E223" s="6"/>
      <c r="F223" s="6"/>
      <c r="G223" s="6"/>
      <c r="H223" s="6"/>
      <c r="K223" t="str">
        <f t="shared" si="56"/>
        <v>SLOVAK</v>
      </c>
      <c r="L223">
        <f t="shared" si="57"/>
        <v>241</v>
      </c>
      <c r="V223" t="str">
        <f>IF(TIM!F223="","",TIM!F223)</f>
        <v/>
      </c>
      <c r="W223" t="str">
        <f t="shared" si="61"/>
        <v/>
      </c>
      <c r="X223">
        <f t="shared" si="62"/>
        <v>0</v>
      </c>
      <c r="AI223">
        <f>IF(TIM!P223=TIM!P223,TIM!P223,"")</f>
        <v>0</v>
      </c>
      <c r="AJ223" t="str">
        <f t="shared" si="63"/>
        <v/>
      </c>
      <c r="AK223" t="str">
        <f t="shared" si="64"/>
        <v>0</v>
      </c>
      <c r="AL223" t="str">
        <f t="shared" si="65"/>
        <v>0</v>
      </c>
      <c r="AM223">
        <f t="shared" si="66"/>
        <v>543</v>
      </c>
      <c r="AN223" t="str">
        <f t="shared" si="67"/>
        <v>/0/543</v>
      </c>
      <c r="AP223">
        <f>IF(TIM!O223=TIM!O223,TIM!O223,"")</f>
        <v>0</v>
      </c>
      <c r="AQ223" t="str">
        <f t="shared" si="68"/>
        <v/>
      </c>
      <c r="AR223" t="str">
        <f t="shared" si="69"/>
        <v>0</v>
      </c>
      <c r="AS223" t="str">
        <f t="shared" si="70"/>
        <v>0</v>
      </c>
      <c r="AT223">
        <f t="shared" si="71"/>
        <v>543</v>
      </c>
      <c r="AU223" t="str">
        <f t="shared" si="72"/>
        <v>/0/543</v>
      </c>
    </row>
    <row r="224" spans="2:47">
      <c r="B224" s="11">
        <v>239</v>
      </c>
      <c r="C224" s="14" t="s">
        <v>175</v>
      </c>
      <c r="D224" s="14" t="s">
        <v>647</v>
      </c>
      <c r="E224" s="6"/>
      <c r="F224" s="6"/>
      <c r="G224" s="6"/>
      <c r="H224" s="6"/>
      <c r="K224" t="str">
        <f t="shared" si="56"/>
        <v>SLOVENE</v>
      </c>
      <c r="L224">
        <f t="shared" si="57"/>
        <v>242</v>
      </c>
      <c r="V224" t="str">
        <f>IF(TIM!F224="","",TIM!F224)</f>
        <v/>
      </c>
      <c r="W224" t="str">
        <f t="shared" si="61"/>
        <v/>
      </c>
      <c r="X224">
        <f t="shared" si="62"/>
        <v>0</v>
      </c>
      <c r="AI224">
        <f>IF(TIM!P224=TIM!P224,TIM!P224,"")</f>
        <v>0</v>
      </c>
      <c r="AJ224" t="str">
        <f t="shared" si="63"/>
        <v/>
      </c>
      <c r="AK224" t="str">
        <f t="shared" si="64"/>
        <v>0</v>
      </c>
      <c r="AL224" t="str">
        <f t="shared" si="65"/>
        <v>0</v>
      </c>
      <c r="AM224">
        <f t="shared" si="66"/>
        <v>543</v>
      </c>
      <c r="AN224" t="str">
        <f t="shared" si="67"/>
        <v>/0/543</v>
      </c>
      <c r="AP224">
        <f>IF(TIM!O224=TIM!O224,TIM!O224,"")</f>
        <v>0</v>
      </c>
      <c r="AQ224" t="str">
        <f t="shared" si="68"/>
        <v/>
      </c>
      <c r="AR224" t="str">
        <f t="shared" si="69"/>
        <v>0</v>
      </c>
      <c r="AS224" t="str">
        <f t="shared" si="70"/>
        <v>0</v>
      </c>
      <c r="AT224">
        <f t="shared" si="71"/>
        <v>543</v>
      </c>
      <c r="AU224" t="str">
        <f t="shared" si="72"/>
        <v>/0/543</v>
      </c>
    </row>
    <row r="225" spans="2:47">
      <c r="B225" s="11">
        <v>240</v>
      </c>
      <c r="C225" s="14" t="s">
        <v>176</v>
      </c>
      <c r="D225" s="14" t="s">
        <v>644</v>
      </c>
      <c r="E225" s="6"/>
      <c r="F225" s="6"/>
      <c r="G225" s="6"/>
      <c r="H225" s="6"/>
      <c r="K225" t="str">
        <f t="shared" si="56"/>
        <v>ERITREAN</v>
      </c>
      <c r="L225">
        <f t="shared" si="57"/>
        <v>243</v>
      </c>
      <c r="V225" t="str">
        <f>IF(TIM!F225="","",TIM!F225)</f>
        <v/>
      </c>
      <c r="W225" t="str">
        <f t="shared" si="61"/>
        <v/>
      </c>
      <c r="X225">
        <f t="shared" si="62"/>
        <v>0</v>
      </c>
      <c r="AI225">
        <f>IF(TIM!P225=TIM!P225,TIM!P225,"")</f>
        <v>0</v>
      </c>
      <c r="AJ225" t="str">
        <f t="shared" si="63"/>
        <v/>
      </c>
      <c r="AK225" t="str">
        <f t="shared" si="64"/>
        <v>0</v>
      </c>
      <c r="AL225" t="str">
        <f t="shared" si="65"/>
        <v>0</v>
      </c>
      <c r="AM225">
        <f t="shared" si="66"/>
        <v>543</v>
      </c>
      <c r="AN225" t="str">
        <f t="shared" si="67"/>
        <v>/0/543</v>
      </c>
      <c r="AP225">
        <f>IF(TIM!O225=TIM!O225,TIM!O225,"")</f>
        <v>0</v>
      </c>
      <c r="AQ225" t="str">
        <f t="shared" si="68"/>
        <v/>
      </c>
      <c r="AR225" t="str">
        <f t="shared" si="69"/>
        <v>0</v>
      </c>
      <c r="AS225" t="str">
        <f t="shared" si="70"/>
        <v>0</v>
      </c>
      <c r="AT225">
        <f t="shared" si="71"/>
        <v>543</v>
      </c>
      <c r="AU225" t="str">
        <f t="shared" si="72"/>
        <v>/0/543</v>
      </c>
    </row>
    <row r="226" spans="2:47">
      <c r="B226" s="11">
        <v>241</v>
      </c>
      <c r="C226" s="14" t="s">
        <v>177</v>
      </c>
      <c r="D226" s="14" t="s">
        <v>707</v>
      </c>
      <c r="E226" s="6"/>
      <c r="F226" s="6"/>
      <c r="G226" s="6"/>
      <c r="H226" s="6"/>
      <c r="K226" t="str">
        <f t="shared" si="56"/>
        <v>NAMIBIAN</v>
      </c>
      <c r="L226">
        <f t="shared" si="57"/>
        <v>244</v>
      </c>
      <c r="V226" t="str">
        <f>IF(TIM!F226="","",TIM!F226)</f>
        <v/>
      </c>
      <c r="W226" t="str">
        <f t="shared" si="61"/>
        <v/>
      </c>
      <c r="X226">
        <f t="shared" si="62"/>
        <v>0</v>
      </c>
      <c r="AI226">
        <f>IF(TIM!P226=TIM!P226,TIM!P226,"")</f>
        <v>0</v>
      </c>
      <c r="AJ226" t="str">
        <f t="shared" si="63"/>
        <v/>
      </c>
      <c r="AK226" t="str">
        <f t="shared" si="64"/>
        <v>0</v>
      </c>
      <c r="AL226" t="str">
        <f t="shared" si="65"/>
        <v>0</v>
      </c>
      <c r="AM226">
        <f t="shared" si="66"/>
        <v>543</v>
      </c>
      <c r="AN226" t="str">
        <f t="shared" si="67"/>
        <v>/0/543</v>
      </c>
      <c r="AP226">
        <f>IF(TIM!O226=TIM!O226,TIM!O226,"")</f>
        <v>0</v>
      </c>
      <c r="AQ226" t="str">
        <f t="shared" si="68"/>
        <v/>
      </c>
      <c r="AR226" t="str">
        <f t="shared" si="69"/>
        <v>0</v>
      </c>
      <c r="AS226" t="str">
        <f t="shared" si="70"/>
        <v>0</v>
      </c>
      <c r="AT226">
        <f t="shared" si="71"/>
        <v>543</v>
      </c>
      <c r="AU226" t="str">
        <f t="shared" si="72"/>
        <v>/0/543</v>
      </c>
    </row>
    <row r="227" spans="2:47">
      <c r="B227" s="11">
        <v>242</v>
      </c>
      <c r="C227" s="14" t="s">
        <v>178</v>
      </c>
      <c r="D227" s="14" t="s">
        <v>708</v>
      </c>
      <c r="E227" s="6"/>
      <c r="F227" s="6"/>
      <c r="G227" s="6"/>
      <c r="H227" s="6"/>
      <c r="K227" t="str">
        <f t="shared" si="56"/>
        <v>BOLIVIAN</v>
      </c>
      <c r="L227">
        <f t="shared" si="57"/>
        <v>245</v>
      </c>
      <c r="V227" t="str">
        <f>IF(TIM!F227="","",TIM!F227)</f>
        <v/>
      </c>
      <c r="W227" t="str">
        <f t="shared" si="61"/>
        <v/>
      </c>
      <c r="X227">
        <f t="shared" si="62"/>
        <v>0</v>
      </c>
      <c r="AI227">
        <f>IF(TIM!P227=TIM!P227,TIM!P227,"")</f>
        <v>0</v>
      </c>
      <c r="AJ227" t="str">
        <f t="shared" si="63"/>
        <v/>
      </c>
      <c r="AK227" t="str">
        <f t="shared" si="64"/>
        <v>0</v>
      </c>
      <c r="AL227" t="str">
        <f t="shared" si="65"/>
        <v>0</v>
      </c>
      <c r="AM227">
        <f t="shared" si="66"/>
        <v>543</v>
      </c>
      <c r="AN227" t="str">
        <f t="shared" si="67"/>
        <v>/0/543</v>
      </c>
      <c r="AP227">
        <f>IF(TIM!O227=TIM!O227,TIM!O227,"")</f>
        <v>0</v>
      </c>
      <c r="AQ227" t="str">
        <f t="shared" si="68"/>
        <v/>
      </c>
      <c r="AR227" t="str">
        <f t="shared" si="69"/>
        <v>0</v>
      </c>
      <c r="AS227" t="str">
        <f t="shared" si="70"/>
        <v>0</v>
      </c>
      <c r="AT227">
        <f t="shared" si="71"/>
        <v>543</v>
      </c>
      <c r="AU227" t="str">
        <f t="shared" si="72"/>
        <v>/0/543</v>
      </c>
    </row>
    <row r="228" spans="2:47">
      <c r="B228" s="11">
        <v>243</v>
      </c>
      <c r="C228" s="14" t="s">
        <v>179</v>
      </c>
      <c r="D228" s="14" t="s">
        <v>757</v>
      </c>
      <c r="E228" s="6"/>
      <c r="F228" s="6"/>
      <c r="G228" s="6"/>
      <c r="H228" s="6"/>
      <c r="K228" t="str">
        <f t="shared" si="56"/>
        <v>COOK ISLANDS</v>
      </c>
      <c r="L228">
        <f t="shared" si="57"/>
        <v>246</v>
      </c>
      <c r="V228" t="str">
        <f>IF(TIM!F228="","",TIM!F228)</f>
        <v/>
      </c>
      <c r="W228" t="str">
        <f t="shared" si="61"/>
        <v/>
      </c>
      <c r="X228">
        <f t="shared" si="62"/>
        <v>0</v>
      </c>
      <c r="AI228">
        <f>IF(TIM!P228=TIM!P228,TIM!P228,"")</f>
        <v>0</v>
      </c>
      <c r="AJ228" t="str">
        <f t="shared" si="63"/>
        <v/>
      </c>
      <c r="AK228" t="str">
        <f t="shared" si="64"/>
        <v>0</v>
      </c>
      <c r="AL228" t="str">
        <f t="shared" si="65"/>
        <v>0</v>
      </c>
      <c r="AM228">
        <f t="shared" si="66"/>
        <v>543</v>
      </c>
      <c r="AN228" t="str">
        <f t="shared" si="67"/>
        <v>/0/543</v>
      </c>
      <c r="AP228">
        <f>IF(TIM!O228=TIM!O228,TIM!O228,"")</f>
        <v>0</v>
      </c>
      <c r="AQ228" t="str">
        <f t="shared" si="68"/>
        <v/>
      </c>
      <c r="AR228" t="str">
        <f t="shared" si="69"/>
        <v>0</v>
      </c>
      <c r="AS228" t="str">
        <f t="shared" si="70"/>
        <v>0</v>
      </c>
      <c r="AT228">
        <f t="shared" si="71"/>
        <v>543</v>
      </c>
      <c r="AU228" t="str">
        <f t="shared" si="72"/>
        <v>/0/543</v>
      </c>
    </row>
    <row r="229" spans="2:47">
      <c r="B229" s="11">
        <v>244</v>
      </c>
      <c r="C229" s="14" t="s">
        <v>180</v>
      </c>
      <c r="D229" s="14" t="s">
        <v>579</v>
      </c>
      <c r="E229" s="6"/>
      <c r="F229" s="6"/>
      <c r="G229" s="6"/>
      <c r="H229" s="6"/>
      <c r="K229" t="str">
        <f t="shared" si="56"/>
        <v xml:space="preserve"> </v>
      </c>
      <c r="L229">
        <f t="shared" si="57"/>
        <v>248</v>
      </c>
      <c r="V229" t="str">
        <f>IF(TIM!F229="","",TIM!F229)</f>
        <v/>
      </c>
      <c r="W229" t="str">
        <f t="shared" si="61"/>
        <v/>
      </c>
      <c r="X229">
        <f t="shared" si="62"/>
        <v>0</v>
      </c>
      <c r="AI229">
        <f>IF(TIM!P229=TIM!P229,TIM!P229,"")</f>
        <v>0</v>
      </c>
      <c r="AJ229" t="str">
        <f t="shared" si="63"/>
        <v/>
      </c>
      <c r="AK229" t="str">
        <f t="shared" si="64"/>
        <v>0</v>
      </c>
      <c r="AL229" t="str">
        <f t="shared" si="65"/>
        <v>0</v>
      </c>
      <c r="AM229">
        <f t="shared" si="66"/>
        <v>543</v>
      </c>
      <c r="AN229" t="str">
        <f t="shared" si="67"/>
        <v>/0/543</v>
      </c>
      <c r="AP229">
        <f>IF(TIM!O229=TIM!O229,TIM!O229,"")</f>
        <v>0</v>
      </c>
      <c r="AQ229" t="str">
        <f t="shared" si="68"/>
        <v/>
      </c>
      <c r="AR229" t="str">
        <f t="shared" si="69"/>
        <v>0</v>
      </c>
      <c r="AS229" t="str">
        <f t="shared" si="70"/>
        <v>0</v>
      </c>
      <c r="AT229">
        <f t="shared" si="71"/>
        <v>543</v>
      </c>
      <c r="AU229" t="str">
        <f t="shared" si="72"/>
        <v>/0/543</v>
      </c>
    </row>
    <row r="230" spans="2:47">
      <c r="B230" s="11">
        <v>245</v>
      </c>
      <c r="C230" s="14" t="s">
        <v>181</v>
      </c>
      <c r="D230" s="14" t="s">
        <v>610</v>
      </c>
      <c r="E230" s="6"/>
      <c r="F230" s="6"/>
      <c r="G230" s="6"/>
      <c r="H230" s="6"/>
      <c r="K230" t="str">
        <f t="shared" si="56"/>
        <v xml:space="preserve"> </v>
      </c>
      <c r="L230">
        <f t="shared" si="57"/>
        <v>249</v>
      </c>
      <c r="V230" t="str">
        <f>IF(TIM!F230="","",TIM!F230)</f>
        <v/>
      </c>
      <c r="W230" t="str">
        <f t="shared" si="61"/>
        <v/>
      </c>
      <c r="X230">
        <f t="shared" si="62"/>
        <v>0</v>
      </c>
      <c r="AI230">
        <f>IF(TIM!P230=TIM!P230,TIM!P230,"")</f>
        <v>0</v>
      </c>
      <c r="AJ230" t="str">
        <f t="shared" si="63"/>
        <v/>
      </c>
      <c r="AK230" t="str">
        <f t="shared" si="64"/>
        <v>0</v>
      </c>
      <c r="AL230" t="str">
        <f t="shared" si="65"/>
        <v>0</v>
      </c>
      <c r="AM230">
        <f t="shared" si="66"/>
        <v>543</v>
      </c>
      <c r="AN230" t="str">
        <f t="shared" si="67"/>
        <v>/0/543</v>
      </c>
      <c r="AP230">
        <f>IF(TIM!O230=TIM!O230,TIM!O230,"")</f>
        <v>0</v>
      </c>
      <c r="AQ230" t="str">
        <f t="shared" si="68"/>
        <v/>
      </c>
      <c r="AR230" t="str">
        <f t="shared" si="69"/>
        <v>0</v>
      </c>
      <c r="AS230" t="str">
        <f t="shared" si="70"/>
        <v>0</v>
      </c>
      <c r="AT230">
        <f t="shared" si="71"/>
        <v>543</v>
      </c>
      <c r="AU230" t="str">
        <f t="shared" si="72"/>
        <v>/0/543</v>
      </c>
    </row>
    <row r="231" spans="2:47">
      <c r="B231" s="11">
        <v>246</v>
      </c>
      <c r="C231" s="14" t="s">
        <v>182</v>
      </c>
      <c r="D231" s="14" t="s">
        <v>719</v>
      </c>
      <c r="E231" s="6"/>
      <c r="F231" s="6"/>
      <c r="G231" s="6"/>
      <c r="H231" s="6"/>
      <c r="K231" t="str">
        <f t="shared" si="56"/>
        <v xml:space="preserve"> </v>
      </c>
      <c r="L231">
        <f t="shared" si="57"/>
        <v>250</v>
      </c>
      <c r="V231" t="str">
        <f>IF(TIM!F231="","",TIM!F231)</f>
        <v/>
      </c>
      <c r="W231" t="str">
        <f t="shared" si="61"/>
        <v/>
      </c>
      <c r="X231">
        <f t="shared" si="62"/>
        <v>0</v>
      </c>
      <c r="AI231">
        <f>IF(TIM!P231=TIM!P231,TIM!P231,"")</f>
        <v>0</v>
      </c>
      <c r="AJ231" t="str">
        <f t="shared" si="63"/>
        <v/>
      </c>
      <c r="AK231" t="str">
        <f t="shared" si="64"/>
        <v>0</v>
      </c>
      <c r="AL231" t="str">
        <f t="shared" si="65"/>
        <v>0</v>
      </c>
      <c r="AM231">
        <f t="shared" si="66"/>
        <v>543</v>
      </c>
      <c r="AN231" t="str">
        <f t="shared" si="67"/>
        <v>/0/543</v>
      </c>
      <c r="AP231">
        <f>IF(TIM!O231=TIM!O231,TIM!O231,"")</f>
        <v>0</v>
      </c>
      <c r="AQ231" t="str">
        <f t="shared" si="68"/>
        <v/>
      </c>
      <c r="AR231" t="str">
        <f t="shared" si="69"/>
        <v>0</v>
      </c>
      <c r="AS231" t="str">
        <f t="shared" si="70"/>
        <v>0</v>
      </c>
      <c r="AT231">
        <f t="shared" si="71"/>
        <v>543</v>
      </c>
      <c r="AU231" t="str">
        <f t="shared" si="72"/>
        <v>/0/543</v>
      </c>
    </row>
    <row r="232" spans="2:47">
      <c r="B232" s="11">
        <v>248</v>
      </c>
      <c r="C232" s="14" t="s">
        <v>183</v>
      </c>
      <c r="D232" s="14" t="s">
        <v>466</v>
      </c>
      <c r="E232" s="6"/>
      <c r="F232" s="6"/>
      <c r="G232" s="6"/>
      <c r="H232" s="6"/>
      <c r="K232" t="str">
        <f t="shared" si="56"/>
        <v xml:space="preserve"> </v>
      </c>
      <c r="L232">
        <f t="shared" si="57"/>
        <v>251</v>
      </c>
      <c r="V232" t="str">
        <f>IF(TIM!F232="","",TIM!F232)</f>
        <v/>
      </c>
      <c r="W232" t="str">
        <f t="shared" si="61"/>
        <v/>
      </c>
      <c r="X232">
        <f t="shared" si="62"/>
        <v>0</v>
      </c>
      <c r="AI232">
        <f>IF(TIM!P232=TIM!P232,TIM!P232,"")</f>
        <v>0</v>
      </c>
      <c r="AJ232" t="str">
        <f t="shared" si="63"/>
        <v/>
      </c>
      <c r="AK232" t="str">
        <f t="shared" si="64"/>
        <v>0</v>
      </c>
      <c r="AL232" t="str">
        <f t="shared" si="65"/>
        <v>0</v>
      </c>
      <c r="AM232">
        <f t="shared" si="66"/>
        <v>543</v>
      </c>
      <c r="AN232" t="str">
        <f t="shared" si="67"/>
        <v>/0/543</v>
      </c>
      <c r="AP232">
        <f>IF(TIM!O232=TIM!O232,TIM!O232,"")</f>
        <v>0</v>
      </c>
      <c r="AQ232" t="str">
        <f t="shared" si="68"/>
        <v/>
      </c>
      <c r="AR232" t="str">
        <f t="shared" si="69"/>
        <v>0</v>
      </c>
      <c r="AS232" t="str">
        <f t="shared" si="70"/>
        <v>0</v>
      </c>
      <c r="AT232">
        <f t="shared" si="71"/>
        <v>543</v>
      </c>
      <c r="AU232" t="str">
        <f t="shared" si="72"/>
        <v>/0/543</v>
      </c>
    </row>
    <row r="233" spans="2:47">
      <c r="B233" s="11">
        <v>249</v>
      </c>
      <c r="C233" s="14" t="s">
        <v>184</v>
      </c>
      <c r="D233" s="14" t="s">
        <v>466</v>
      </c>
      <c r="E233" s="6"/>
      <c r="F233" s="6"/>
      <c r="G233" s="6"/>
      <c r="H233" s="6"/>
      <c r="K233" t="str">
        <f t="shared" si="56"/>
        <v xml:space="preserve"> </v>
      </c>
      <c r="L233">
        <f t="shared" si="57"/>
        <v>252</v>
      </c>
      <c r="V233" t="str">
        <f>IF(TIM!F233="","",TIM!F233)</f>
        <v/>
      </c>
      <c r="W233" t="str">
        <f t="shared" si="61"/>
        <v/>
      </c>
      <c r="X233">
        <f t="shared" si="62"/>
        <v>0</v>
      </c>
      <c r="AI233">
        <f>IF(TIM!P233=TIM!P233,TIM!P233,"")</f>
        <v>0</v>
      </c>
      <c r="AJ233" t="str">
        <f t="shared" si="63"/>
        <v/>
      </c>
      <c r="AK233" t="str">
        <f t="shared" si="64"/>
        <v>0</v>
      </c>
      <c r="AL233" t="str">
        <f t="shared" si="65"/>
        <v>0</v>
      </c>
      <c r="AM233">
        <f t="shared" si="66"/>
        <v>543</v>
      </c>
      <c r="AN233" t="str">
        <f t="shared" si="67"/>
        <v>/0/543</v>
      </c>
      <c r="AP233">
        <f>IF(TIM!O233=TIM!O233,TIM!O233,"")</f>
        <v>0</v>
      </c>
      <c r="AQ233" t="str">
        <f t="shared" si="68"/>
        <v/>
      </c>
      <c r="AR233" t="str">
        <f t="shared" si="69"/>
        <v>0</v>
      </c>
      <c r="AS233" t="str">
        <f t="shared" si="70"/>
        <v>0</v>
      </c>
      <c r="AT233">
        <f t="shared" si="71"/>
        <v>543</v>
      </c>
      <c r="AU233" t="str">
        <f t="shared" si="72"/>
        <v>/0/543</v>
      </c>
    </row>
    <row r="234" spans="2:47">
      <c r="B234" s="11">
        <v>250</v>
      </c>
      <c r="C234" s="14" t="s">
        <v>185</v>
      </c>
      <c r="D234" s="14" t="s">
        <v>466</v>
      </c>
      <c r="E234" s="6"/>
      <c r="F234" s="6"/>
      <c r="G234" s="6"/>
      <c r="H234" s="6"/>
      <c r="K234" t="str">
        <f t="shared" si="56"/>
        <v xml:space="preserve"> </v>
      </c>
      <c r="L234">
        <f t="shared" si="57"/>
        <v>253</v>
      </c>
      <c r="V234" t="str">
        <f>IF(TIM!F234="","",TIM!F234)</f>
        <v/>
      </c>
      <c r="W234" t="str">
        <f t="shared" si="61"/>
        <v/>
      </c>
      <c r="X234">
        <f t="shared" si="62"/>
        <v>0</v>
      </c>
      <c r="AI234">
        <f>IF(TIM!P234=TIM!P234,TIM!P234,"")</f>
        <v>0</v>
      </c>
      <c r="AJ234" t="str">
        <f t="shared" si="63"/>
        <v/>
      </c>
      <c r="AK234" t="str">
        <f t="shared" si="64"/>
        <v>0</v>
      </c>
      <c r="AL234" t="str">
        <f t="shared" si="65"/>
        <v>0</v>
      </c>
      <c r="AM234">
        <f t="shared" si="66"/>
        <v>543</v>
      </c>
      <c r="AN234" t="str">
        <f t="shared" si="67"/>
        <v>/0/543</v>
      </c>
      <c r="AP234">
        <f>IF(TIM!O234=TIM!O234,TIM!O234,"")</f>
        <v>0</v>
      </c>
      <c r="AQ234" t="str">
        <f t="shared" si="68"/>
        <v/>
      </c>
      <c r="AR234" t="str">
        <f t="shared" si="69"/>
        <v>0</v>
      </c>
      <c r="AS234" t="str">
        <f t="shared" si="70"/>
        <v>0</v>
      </c>
      <c r="AT234">
        <f t="shared" si="71"/>
        <v>543</v>
      </c>
      <c r="AU234" t="str">
        <f t="shared" si="72"/>
        <v>/0/543</v>
      </c>
    </row>
    <row r="235" spans="2:47">
      <c r="B235" s="11">
        <v>251</v>
      </c>
      <c r="C235" s="14" t="s">
        <v>651</v>
      </c>
      <c r="D235" s="14" t="s">
        <v>466</v>
      </c>
      <c r="E235" s="6"/>
      <c r="F235" s="6"/>
      <c r="G235" s="6"/>
      <c r="H235" s="6"/>
      <c r="K235" t="str">
        <f t="shared" si="56"/>
        <v xml:space="preserve"> </v>
      </c>
      <c r="L235">
        <f t="shared" si="57"/>
        <v>254</v>
      </c>
      <c r="V235" t="str">
        <f>IF(TIM!F235="","",TIM!F235)</f>
        <v/>
      </c>
      <c r="W235" t="str">
        <f t="shared" si="61"/>
        <v/>
      </c>
      <c r="X235">
        <f t="shared" si="62"/>
        <v>0</v>
      </c>
      <c r="AI235">
        <f>IF(TIM!P235=TIM!P235,TIM!P235,"")</f>
        <v>0</v>
      </c>
      <c r="AJ235" t="str">
        <f t="shared" si="63"/>
        <v/>
      </c>
      <c r="AK235" t="str">
        <f t="shared" si="64"/>
        <v>0</v>
      </c>
      <c r="AL235" t="str">
        <f t="shared" si="65"/>
        <v>0</v>
      </c>
      <c r="AM235">
        <f t="shared" si="66"/>
        <v>543</v>
      </c>
      <c r="AN235" t="str">
        <f t="shared" si="67"/>
        <v>/0/543</v>
      </c>
      <c r="AP235">
        <f>IF(TIM!O235=TIM!O235,TIM!O235,"")</f>
        <v>0</v>
      </c>
      <c r="AQ235" t="str">
        <f t="shared" si="68"/>
        <v/>
      </c>
      <c r="AR235" t="str">
        <f t="shared" si="69"/>
        <v>0</v>
      </c>
      <c r="AS235" t="str">
        <f t="shared" si="70"/>
        <v>0</v>
      </c>
      <c r="AT235">
        <f t="shared" si="71"/>
        <v>543</v>
      </c>
      <c r="AU235" t="str">
        <f t="shared" si="72"/>
        <v>/0/543</v>
      </c>
    </row>
    <row r="236" spans="2:47">
      <c r="B236" s="11">
        <v>252</v>
      </c>
      <c r="C236" s="14" t="s">
        <v>518</v>
      </c>
      <c r="D236" s="14" t="s">
        <v>466</v>
      </c>
      <c r="E236" s="6"/>
      <c r="F236" s="6"/>
      <c r="G236" s="6"/>
      <c r="H236" s="6"/>
      <c r="K236" t="str">
        <f t="shared" si="56"/>
        <v xml:space="preserve"> </v>
      </c>
      <c r="L236">
        <f t="shared" si="57"/>
        <v>255</v>
      </c>
      <c r="V236" t="str">
        <f>IF(TIM!F236="","",TIM!F236)</f>
        <v/>
      </c>
      <c r="W236" t="str">
        <f t="shared" si="61"/>
        <v/>
      </c>
      <c r="X236">
        <f t="shared" si="62"/>
        <v>0</v>
      </c>
      <c r="AI236">
        <f>IF(TIM!P236=TIM!P236,TIM!P236,"")</f>
        <v>0</v>
      </c>
      <c r="AJ236" t="str">
        <f t="shared" si="63"/>
        <v/>
      </c>
      <c r="AK236" t="str">
        <f t="shared" si="64"/>
        <v>0</v>
      </c>
      <c r="AL236" t="str">
        <f t="shared" si="65"/>
        <v>0</v>
      </c>
      <c r="AM236">
        <f t="shared" si="66"/>
        <v>543</v>
      </c>
      <c r="AN236" t="str">
        <f t="shared" si="67"/>
        <v>/0/543</v>
      </c>
      <c r="AP236">
        <f>IF(TIM!O236=TIM!O236,TIM!O236,"")</f>
        <v>0</v>
      </c>
      <c r="AQ236" t="str">
        <f t="shared" si="68"/>
        <v/>
      </c>
      <c r="AR236" t="str">
        <f t="shared" si="69"/>
        <v>0</v>
      </c>
      <c r="AS236" t="str">
        <f t="shared" si="70"/>
        <v>0</v>
      </c>
      <c r="AT236">
        <f t="shared" si="71"/>
        <v>543</v>
      </c>
      <c r="AU236" t="str">
        <f t="shared" si="72"/>
        <v>/0/543</v>
      </c>
    </row>
    <row r="237" spans="2:47">
      <c r="B237" s="11">
        <v>253</v>
      </c>
      <c r="C237" s="14" t="s">
        <v>718</v>
      </c>
      <c r="D237" s="14" t="s">
        <v>466</v>
      </c>
      <c r="E237" s="6"/>
      <c r="F237" s="6"/>
      <c r="G237" s="6"/>
      <c r="H237" s="6"/>
      <c r="K237" t="str">
        <f t="shared" si="56"/>
        <v xml:space="preserve"> </v>
      </c>
      <c r="L237">
        <f t="shared" si="57"/>
        <v>256</v>
      </c>
      <c r="V237" t="str">
        <f>IF(TIM!F237="","",TIM!F237)</f>
        <v/>
      </c>
      <c r="W237" t="str">
        <f t="shared" si="61"/>
        <v/>
      </c>
      <c r="X237">
        <f t="shared" si="62"/>
        <v>0</v>
      </c>
      <c r="AI237">
        <f>IF(TIM!P237=TIM!P237,TIM!P237,"")</f>
        <v>0</v>
      </c>
      <c r="AJ237" t="str">
        <f t="shared" si="63"/>
        <v/>
      </c>
      <c r="AK237" t="str">
        <f t="shared" si="64"/>
        <v>0</v>
      </c>
      <c r="AL237" t="str">
        <f t="shared" si="65"/>
        <v>0</v>
      </c>
      <c r="AM237">
        <f t="shared" si="66"/>
        <v>543</v>
      </c>
      <c r="AN237" t="str">
        <f t="shared" si="67"/>
        <v>/0/543</v>
      </c>
      <c r="AP237">
        <f>IF(TIM!O237=TIM!O237,TIM!O237,"")</f>
        <v>0</v>
      </c>
      <c r="AQ237" t="str">
        <f t="shared" si="68"/>
        <v/>
      </c>
      <c r="AR237" t="str">
        <f t="shared" si="69"/>
        <v>0</v>
      </c>
      <c r="AS237" t="str">
        <f t="shared" si="70"/>
        <v>0</v>
      </c>
      <c r="AT237">
        <f t="shared" si="71"/>
        <v>543</v>
      </c>
      <c r="AU237" t="str">
        <f t="shared" si="72"/>
        <v>/0/543</v>
      </c>
    </row>
    <row r="238" spans="2:47">
      <c r="B238" s="11">
        <v>254</v>
      </c>
      <c r="C238" s="14" t="s">
        <v>186</v>
      </c>
      <c r="D238" s="14" t="s">
        <v>466</v>
      </c>
      <c r="E238" s="6"/>
      <c r="F238" s="6"/>
      <c r="G238" s="6"/>
      <c r="H238" s="6"/>
      <c r="K238" t="str">
        <f t="shared" si="56"/>
        <v xml:space="preserve"> </v>
      </c>
      <c r="L238">
        <f t="shared" si="57"/>
        <v>257</v>
      </c>
      <c r="V238" t="str">
        <f>IF(TIM!F238="","",TIM!F238)</f>
        <v/>
      </c>
      <c r="W238" t="str">
        <f t="shared" si="61"/>
        <v/>
      </c>
      <c r="X238">
        <f t="shared" si="62"/>
        <v>0</v>
      </c>
      <c r="AI238">
        <f>IF(TIM!P238=TIM!P238,TIM!P238,"")</f>
        <v>0</v>
      </c>
      <c r="AJ238" t="str">
        <f t="shared" si="63"/>
        <v/>
      </c>
      <c r="AK238" t="str">
        <f t="shared" si="64"/>
        <v>0</v>
      </c>
      <c r="AL238" t="str">
        <f t="shared" si="65"/>
        <v>0</v>
      </c>
      <c r="AM238">
        <f t="shared" si="66"/>
        <v>543</v>
      </c>
      <c r="AN238" t="str">
        <f t="shared" si="67"/>
        <v>/0/543</v>
      </c>
      <c r="AP238">
        <f>IF(TIM!O238=TIM!O238,TIM!O238,"")</f>
        <v>0</v>
      </c>
      <c r="AQ238" t="str">
        <f t="shared" si="68"/>
        <v/>
      </c>
      <c r="AR238" t="str">
        <f t="shared" si="69"/>
        <v>0</v>
      </c>
      <c r="AS238" t="str">
        <f t="shared" si="70"/>
        <v>0</v>
      </c>
      <c r="AT238">
        <f t="shared" si="71"/>
        <v>543</v>
      </c>
      <c r="AU238" t="str">
        <f t="shared" si="72"/>
        <v>/0/543</v>
      </c>
    </row>
    <row r="239" spans="2:47">
      <c r="B239" s="11">
        <v>255</v>
      </c>
      <c r="C239" s="14" t="s">
        <v>187</v>
      </c>
      <c r="D239" s="14" t="s">
        <v>466</v>
      </c>
      <c r="E239" s="6"/>
      <c r="F239" s="6"/>
      <c r="G239" s="6"/>
      <c r="H239" s="6"/>
      <c r="K239" t="str">
        <f t="shared" si="56"/>
        <v xml:space="preserve"> </v>
      </c>
      <c r="L239">
        <f t="shared" si="57"/>
        <v>258</v>
      </c>
      <c r="V239" t="str">
        <f>IF(TIM!F239="","",TIM!F239)</f>
        <v/>
      </c>
      <c r="W239" t="str">
        <f t="shared" si="61"/>
        <v/>
      </c>
      <c r="X239">
        <f t="shared" si="62"/>
        <v>0</v>
      </c>
      <c r="AI239">
        <f>IF(TIM!P239=TIM!P239,TIM!P239,"")</f>
        <v>0</v>
      </c>
      <c r="AJ239" t="str">
        <f t="shared" si="63"/>
        <v/>
      </c>
      <c r="AK239" t="str">
        <f t="shared" si="64"/>
        <v>0</v>
      </c>
      <c r="AL239" t="str">
        <f t="shared" si="65"/>
        <v>0</v>
      </c>
      <c r="AM239">
        <f t="shared" si="66"/>
        <v>543</v>
      </c>
      <c r="AN239" t="str">
        <f t="shared" si="67"/>
        <v>/0/543</v>
      </c>
      <c r="AP239">
        <f>IF(TIM!O239=TIM!O239,TIM!O239,"")</f>
        <v>0</v>
      </c>
      <c r="AQ239" t="str">
        <f t="shared" si="68"/>
        <v/>
      </c>
      <c r="AR239" t="str">
        <f t="shared" si="69"/>
        <v>0</v>
      </c>
      <c r="AS239" t="str">
        <f t="shared" si="70"/>
        <v>0</v>
      </c>
      <c r="AT239">
        <f t="shared" si="71"/>
        <v>543</v>
      </c>
      <c r="AU239" t="str">
        <f t="shared" si="72"/>
        <v>/0/543</v>
      </c>
    </row>
    <row r="240" spans="2:47">
      <c r="B240" s="11">
        <v>256</v>
      </c>
      <c r="C240" s="14" t="s">
        <v>188</v>
      </c>
      <c r="D240" s="14" t="s">
        <v>466</v>
      </c>
      <c r="E240" s="6"/>
      <c r="F240" s="6"/>
      <c r="G240" s="6"/>
      <c r="H240" s="6"/>
      <c r="K240" t="str">
        <f t="shared" si="56"/>
        <v xml:space="preserve"> </v>
      </c>
      <c r="L240">
        <f t="shared" si="57"/>
        <v>259</v>
      </c>
      <c r="V240" t="str">
        <f>IF(TIM!F240="","",TIM!F240)</f>
        <v/>
      </c>
      <c r="W240" t="str">
        <f t="shared" si="61"/>
        <v/>
      </c>
      <c r="X240">
        <f t="shared" si="62"/>
        <v>0</v>
      </c>
      <c r="AI240">
        <f>IF(TIM!P240=TIM!P240,TIM!P240,"")</f>
        <v>0</v>
      </c>
      <c r="AJ240" t="str">
        <f t="shared" si="63"/>
        <v/>
      </c>
      <c r="AK240" t="str">
        <f t="shared" si="64"/>
        <v>0</v>
      </c>
      <c r="AL240" t="str">
        <f t="shared" si="65"/>
        <v>0</v>
      </c>
      <c r="AM240">
        <f t="shared" si="66"/>
        <v>543</v>
      </c>
      <c r="AN240" t="str">
        <f t="shared" si="67"/>
        <v>/0/543</v>
      </c>
      <c r="AP240">
        <f>IF(TIM!O240=TIM!O240,TIM!O240,"")</f>
        <v>0</v>
      </c>
      <c r="AQ240" t="str">
        <f t="shared" si="68"/>
        <v/>
      </c>
      <c r="AR240" t="str">
        <f t="shared" si="69"/>
        <v>0</v>
      </c>
      <c r="AS240" t="str">
        <f t="shared" si="70"/>
        <v>0</v>
      </c>
      <c r="AT240">
        <f t="shared" si="71"/>
        <v>543</v>
      </c>
      <c r="AU240" t="str">
        <f t="shared" si="72"/>
        <v>/0/543</v>
      </c>
    </row>
    <row r="241" spans="2:47">
      <c r="B241" s="11">
        <v>257</v>
      </c>
      <c r="C241" s="14" t="s">
        <v>189</v>
      </c>
      <c r="D241" s="14" t="s">
        <v>466</v>
      </c>
      <c r="E241" s="6"/>
      <c r="F241" s="6"/>
      <c r="G241" s="6"/>
      <c r="H241" s="6"/>
      <c r="K241" t="str">
        <f t="shared" si="56"/>
        <v>PALESTINE</v>
      </c>
      <c r="L241">
        <f t="shared" si="57"/>
        <v>260</v>
      </c>
      <c r="V241" t="str">
        <f>IF(TIM!F241="","",TIM!F241)</f>
        <v/>
      </c>
      <c r="W241" t="str">
        <f t="shared" si="61"/>
        <v/>
      </c>
      <c r="X241">
        <f t="shared" si="62"/>
        <v>0</v>
      </c>
      <c r="AI241">
        <f>IF(TIM!P241=TIM!P241,TIM!P241,"")</f>
        <v>0</v>
      </c>
      <c r="AJ241" t="str">
        <f t="shared" si="63"/>
        <v/>
      </c>
      <c r="AK241" t="str">
        <f t="shared" si="64"/>
        <v>0</v>
      </c>
      <c r="AL241" t="str">
        <f t="shared" si="65"/>
        <v>0</v>
      </c>
      <c r="AM241">
        <f t="shared" si="66"/>
        <v>543</v>
      </c>
      <c r="AN241" t="str">
        <f t="shared" si="67"/>
        <v>/0/543</v>
      </c>
      <c r="AP241">
        <f>IF(TIM!O241=TIM!O241,TIM!O241,"")</f>
        <v>0</v>
      </c>
      <c r="AQ241" t="str">
        <f t="shared" si="68"/>
        <v/>
      </c>
      <c r="AR241" t="str">
        <f t="shared" si="69"/>
        <v>0</v>
      </c>
      <c r="AS241" t="str">
        <f t="shared" si="70"/>
        <v>0</v>
      </c>
      <c r="AT241">
        <f t="shared" si="71"/>
        <v>543</v>
      </c>
      <c r="AU241" t="str">
        <f t="shared" si="72"/>
        <v>/0/543</v>
      </c>
    </row>
    <row r="242" spans="2:47">
      <c r="B242" s="11">
        <v>258</v>
      </c>
      <c r="C242" s="14" t="s">
        <v>190</v>
      </c>
      <c r="D242" s="14" t="s">
        <v>466</v>
      </c>
      <c r="E242" s="6"/>
      <c r="F242" s="6"/>
      <c r="G242" s="6"/>
      <c r="H242" s="6"/>
      <c r="K242" t="str">
        <f t="shared" si="56"/>
        <v>TIMOR - LESTE</v>
      </c>
      <c r="L242">
        <f t="shared" si="57"/>
        <v>261</v>
      </c>
      <c r="V242" t="str">
        <f>IF(TIM!F242="","",TIM!F242)</f>
        <v/>
      </c>
      <c r="W242" t="str">
        <f t="shared" si="61"/>
        <v/>
      </c>
      <c r="X242">
        <f t="shared" si="62"/>
        <v>0</v>
      </c>
      <c r="AI242">
        <f>IF(TIM!P242=TIM!P242,TIM!P242,"")</f>
        <v>0</v>
      </c>
      <c r="AJ242" t="str">
        <f t="shared" si="63"/>
        <v/>
      </c>
      <c r="AK242" t="str">
        <f t="shared" si="64"/>
        <v>0</v>
      </c>
      <c r="AL242" t="str">
        <f t="shared" si="65"/>
        <v>0</v>
      </c>
      <c r="AM242">
        <f t="shared" si="66"/>
        <v>543</v>
      </c>
      <c r="AN242" t="str">
        <f t="shared" si="67"/>
        <v>/0/543</v>
      </c>
      <c r="AP242">
        <f>IF(TIM!O242=TIM!O242,TIM!O242,"")</f>
        <v>0</v>
      </c>
      <c r="AQ242" t="str">
        <f t="shared" si="68"/>
        <v/>
      </c>
      <c r="AR242" t="str">
        <f t="shared" si="69"/>
        <v>0</v>
      </c>
      <c r="AS242" t="str">
        <f t="shared" si="70"/>
        <v>0</v>
      </c>
      <c r="AT242">
        <f t="shared" si="71"/>
        <v>543</v>
      </c>
      <c r="AU242" t="str">
        <f t="shared" si="72"/>
        <v>/0/543</v>
      </c>
    </row>
    <row r="243" spans="2:47">
      <c r="B243" s="11">
        <v>259</v>
      </c>
      <c r="C243" s="14" t="s">
        <v>191</v>
      </c>
      <c r="D243" s="14" t="s">
        <v>466</v>
      </c>
      <c r="E243" s="6"/>
      <c r="F243" s="6"/>
      <c r="G243" s="6"/>
      <c r="H243" s="6"/>
      <c r="K243" t="str">
        <f t="shared" si="56"/>
        <v>THE RENUNCIATION OF THAI NATIO</v>
      </c>
      <c r="L243">
        <f t="shared" si="57"/>
        <v>262</v>
      </c>
      <c r="V243" t="str">
        <f>IF(TIM!F243="","",TIM!F243)</f>
        <v/>
      </c>
      <c r="W243" t="str">
        <f t="shared" si="61"/>
        <v/>
      </c>
      <c r="X243">
        <f t="shared" si="62"/>
        <v>0</v>
      </c>
      <c r="AI243">
        <f>IF(TIM!P243=TIM!P243,TIM!P243,"")</f>
        <v>0</v>
      </c>
      <c r="AJ243" t="str">
        <f t="shared" si="63"/>
        <v/>
      </c>
      <c r="AK243" t="str">
        <f t="shared" si="64"/>
        <v>0</v>
      </c>
      <c r="AL243" t="str">
        <f t="shared" si="65"/>
        <v>0</v>
      </c>
      <c r="AM243">
        <f t="shared" si="66"/>
        <v>543</v>
      </c>
      <c r="AN243" t="str">
        <f t="shared" si="67"/>
        <v>/0/543</v>
      </c>
      <c r="AP243">
        <f>IF(TIM!O243=TIM!O243,TIM!O243,"")</f>
        <v>0</v>
      </c>
      <c r="AQ243" t="str">
        <f t="shared" si="68"/>
        <v/>
      </c>
      <c r="AR243" t="str">
        <f t="shared" si="69"/>
        <v>0</v>
      </c>
      <c r="AS243" t="str">
        <f t="shared" si="70"/>
        <v>0</v>
      </c>
      <c r="AT243">
        <f t="shared" si="71"/>
        <v>543</v>
      </c>
      <c r="AU243" t="str">
        <f t="shared" si="72"/>
        <v>/0/543</v>
      </c>
    </row>
    <row r="244" spans="2:47">
      <c r="B244" s="11">
        <v>260</v>
      </c>
      <c r="C244" s="14" t="s">
        <v>192</v>
      </c>
      <c r="D244" s="14" t="s">
        <v>620</v>
      </c>
      <c r="E244" s="6"/>
      <c r="F244" s="6"/>
      <c r="G244" s="6"/>
      <c r="H244" s="6"/>
      <c r="K244" t="str">
        <f t="shared" si="56"/>
        <v>SERBIA AND MONTENEGRO</v>
      </c>
      <c r="L244">
        <f t="shared" si="57"/>
        <v>263</v>
      </c>
      <c r="V244" t="str">
        <f>IF(TIM!F244="","",TIM!F244)</f>
        <v/>
      </c>
      <c r="W244" t="str">
        <f t="shared" si="61"/>
        <v/>
      </c>
      <c r="X244">
        <f t="shared" si="62"/>
        <v>0</v>
      </c>
      <c r="AI244">
        <f>IF(TIM!P244=TIM!P244,TIM!P244,"")</f>
        <v>0</v>
      </c>
      <c r="AJ244" t="str">
        <f t="shared" si="63"/>
        <v/>
      </c>
      <c r="AK244" t="str">
        <f t="shared" si="64"/>
        <v>0</v>
      </c>
      <c r="AL244" t="str">
        <f t="shared" si="65"/>
        <v>0</v>
      </c>
      <c r="AM244">
        <f t="shared" si="66"/>
        <v>543</v>
      </c>
      <c r="AN244" t="str">
        <f t="shared" si="67"/>
        <v>/0/543</v>
      </c>
      <c r="AP244">
        <f>IF(TIM!O244=TIM!O244,TIM!O244,"")</f>
        <v>0</v>
      </c>
      <c r="AQ244" t="str">
        <f t="shared" si="68"/>
        <v/>
      </c>
      <c r="AR244" t="str">
        <f t="shared" si="69"/>
        <v>0</v>
      </c>
      <c r="AS244" t="str">
        <f t="shared" si="70"/>
        <v>0</v>
      </c>
      <c r="AT244">
        <f t="shared" si="71"/>
        <v>543</v>
      </c>
      <c r="AU244" t="str">
        <f t="shared" si="72"/>
        <v>/0/543</v>
      </c>
    </row>
    <row r="245" spans="2:47">
      <c r="B245" s="11">
        <v>261</v>
      </c>
      <c r="C245" s="14" t="s">
        <v>561</v>
      </c>
      <c r="D245" s="14" t="s">
        <v>562</v>
      </c>
      <c r="E245" s="6"/>
      <c r="F245" s="6"/>
      <c r="G245" s="6"/>
      <c r="H245" s="6"/>
      <c r="K245" t="str">
        <f t="shared" si="56"/>
        <v>Combodian</v>
      </c>
      <c r="L245">
        <f t="shared" si="57"/>
        <v>264</v>
      </c>
      <c r="V245" t="str">
        <f>IF(TIM!F245="","",TIM!F245)</f>
        <v/>
      </c>
      <c r="W245" t="str">
        <f t="shared" si="61"/>
        <v/>
      </c>
      <c r="X245">
        <f t="shared" si="62"/>
        <v>0</v>
      </c>
      <c r="AI245">
        <f>IF(TIM!P245=TIM!P245,TIM!P245,"")</f>
        <v>0</v>
      </c>
      <c r="AJ245" t="str">
        <f t="shared" si="63"/>
        <v/>
      </c>
      <c r="AK245" t="str">
        <f t="shared" si="64"/>
        <v>0</v>
      </c>
      <c r="AL245" t="str">
        <f t="shared" si="65"/>
        <v>0</v>
      </c>
      <c r="AM245">
        <f t="shared" si="66"/>
        <v>543</v>
      </c>
      <c r="AN245" t="str">
        <f t="shared" si="67"/>
        <v>/0/543</v>
      </c>
      <c r="AP245">
        <f>IF(TIM!O245=TIM!O245,TIM!O245,"")</f>
        <v>0</v>
      </c>
      <c r="AQ245" t="str">
        <f t="shared" si="68"/>
        <v/>
      </c>
      <c r="AR245" t="str">
        <f t="shared" si="69"/>
        <v>0</v>
      </c>
      <c r="AS245" t="str">
        <f t="shared" si="70"/>
        <v>0</v>
      </c>
      <c r="AT245">
        <f t="shared" si="71"/>
        <v>543</v>
      </c>
      <c r="AU245" t="str">
        <f t="shared" si="72"/>
        <v>/0/543</v>
      </c>
    </row>
    <row r="246" spans="2:47">
      <c r="B246" s="11">
        <v>262</v>
      </c>
      <c r="C246" s="14" t="s">
        <v>193</v>
      </c>
      <c r="D246" s="14" t="s">
        <v>706</v>
      </c>
      <c r="E246" s="6"/>
      <c r="F246" s="6"/>
      <c r="G246" s="6"/>
      <c r="H246" s="6"/>
      <c r="K246" t="str">
        <f t="shared" si="56"/>
        <v>Myanmar</v>
      </c>
      <c r="L246">
        <f t="shared" si="57"/>
        <v>265</v>
      </c>
      <c r="V246" t="str">
        <f>IF(TIM!F246="","",TIM!F246)</f>
        <v/>
      </c>
      <c r="W246" t="str">
        <f t="shared" si="61"/>
        <v/>
      </c>
      <c r="X246">
        <f t="shared" si="62"/>
        <v>0</v>
      </c>
      <c r="AI246">
        <f>IF(TIM!P246=TIM!P246,TIM!P246,"")</f>
        <v>0</v>
      </c>
      <c r="AJ246" t="str">
        <f t="shared" si="63"/>
        <v/>
      </c>
      <c r="AK246" t="str">
        <f t="shared" si="64"/>
        <v>0</v>
      </c>
      <c r="AL246" t="str">
        <f t="shared" si="65"/>
        <v>0</v>
      </c>
      <c r="AM246">
        <f t="shared" si="66"/>
        <v>543</v>
      </c>
      <c r="AN246" t="str">
        <f t="shared" si="67"/>
        <v>/0/543</v>
      </c>
      <c r="AP246">
        <f>IF(TIM!O246=TIM!O246,TIM!O246,"")</f>
        <v>0</v>
      </c>
      <c r="AQ246" t="str">
        <f t="shared" si="68"/>
        <v/>
      </c>
      <c r="AR246" t="str">
        <f t="shared" si="69"/>
        <v>0</v>
      </c>
      <c r="AS246" t="str">
        <f t="shared" si="70"/>
        <v>0</v>
      </c>
      <c r="AT246">
        <f t="shared" si="71"/>
        <v>543</v>
      </c>
      <c r="AU246" t="str">
        <f t="shared" si="72"/>
        <v>/0/543</v>
      </c>
    </row>
    <row r="247" spans="2:47">
      <c r="B247" s="11">
        <v>263</v>
      </c>
      <c r="C247" s="14" t="s">
        <v>542</v>
      </c>
      <c r="D247" s="14" t="s">
        <v>543</v>
      </c>
      <c r="E247" s="6"/>
      <c r="F247" s="6"/>
      <c r="G247" s="6"/>
      <c r="H247" s="6"/>
      <c r="K247" t="str">
        <f t="shared" si="56"/>
        <v>LAO</v>
      </c>
      <c r="L247">
        <f t="shared" si="57"/>
        <v>266</v>
      </c>
      <c r="V247" t="str">
        <f>IF(TIM!F247="","",TIM!F247)</f>
        <v/>
      </c>
      <c r="W247" t="str">
        <f t="shared" si="61"/>
        <v/>
      </c>
      <c r="X247">
        <f t="shared" si="62"/>
        <v>0</v>
      </c>
      <c r="AI247">
        <f>IF(TIM!P247=TIM!P247,TIM!P247,"")</f>
        <v>0</v>
      </c>
      <c r="AJ247" t="str">
        <f t="shared" si="63"/>
        <v/>
      </c>
      <c r="AK247" t="str">
        <f t="shared" si="64"/>
        <v>0</v>
      </c>
      <c r="AL247" t="str">
        <f t="shared" si="65"/>
        <v>0</v>
      </c>
      <c r="AM247">
        <f t="shared" si="66"/>
        <v>543</v>
      </c>
      <c r="AN247" t="str">
        <f t="shared" si="67"/>
        <v>/0/543</v>
      </c>
      <c r="AP247">
        <f>IF(TIM!O247=TIM!O247,TIM!O247,"")</f>
        <v>0</v>
      </c>
      <c r="AQ247" t="str">
        <f t="shared" si="68"/>
        <v/>
      </c>
      <c r="AR247" t="str">
        <f t="shared" si="69"/>
        <v>0</v>
      </c>
      <c r="AS247" t="str">
        <f t="shared" si="70"/>
        <v>0</v>
      </c>
      <c r="AT247">
        <f t="shared" si="71"/>
        <v>543</v>
      </c>
      <c r="AU247" t="str">
        <f t="shared" si="72"/>
        <v>/0/543</v>
      </c>
    </row>
    <row r="248" spans="2:47">
      <c r="B248" s="11">
        <v>264</v>
      </c>
      <c r="C248" s="14" t="s">
        <v>196</v>
      </c>
      <c r="D248" s="14" t="s">
        <v>471</v>
      </c>
      <c r="E248" s="6"/>
      <c r="F248" s="6"/>
      <c r="G248" s="6"/>
      <c r="H248" s="6"/>
      <c r="K248" t="str">
        <f t="shared" si="56"/>
        <v>SERBIAN</v>
      </c>
      <c r="L248">
        <f t="shared" si="57"/>
        <v>267</v>
      </c>
      <c r="V248" t="str">
        <f>IF(TIM!F248="","",TIM!F248)</f>
        <v/>
      </c>
      <c r="W248" t="str">
        <f t="shared" si="61"/>
        <v/>
      </c>
      <c r="X248">
        <f t="shared" si="62"/>
        <v>0</v>
      </c>
      <c r="AI248">
        <f>IF(TIM!P248=TIM!P248,TIM!P248,"")</f>
        <v>0</v>
      </c>
      <c r="AJ248" t="str">
        <f t="shared" si="63"/>
        <v/>
      </c>
      <c r="AK248" t="str">
        <f t="shared" si="64"/>
        <v>0</v>
      </c>
      <c r="AL248" t="str">
        <f t="shared" si="65"/>
        <v>0</v>
      </c>
      <c r="AM248">
        <f t="shared" si="66"/>
        <v>543</v>
      </c>
      <c r="AN248" t="str">
        <f t="shared" si="67"/>
        <v>/0/543</v>
      </c>
      <c r="AP248">
        <f>IF(TIM!O248=TIM!O248,TIM!O248,"")</f>
        <v>0</v>
      </c>
      <c r="AQ248" t="str">
        <f t="shared" si="68"/>
        <v/>
      </c>
      <c r="AR248" t="str">
        <f t="shared" si="69"/>
        <v>0</v>
      </c>
      <c r="AS248" t="str">
        <f t="shared" si="70"/>
        <v>0</v>
      </c>
      <c r="AT248">
        <f t="shared" si="71"/>
        <v>543</v>
      </c>
      <c r="AU248" t="str">
        <f t="shared" si="72"/>
        <v>/0/543</v>
      </c>
    </row>
    <row r="249" spans="2:47">
      <c r="B249" s="11">
        <v>265</v>
      </c>
      <c r="C249" s="14" t="s">
        <v>197</v>
      </c>
      <c r="D249" s="14" t="s">
        <v>241</v>
      </c>
      <c r="E249" s="6"/>
      <c r="F249" s="6"/>
      <c r="G249" s="6"/>
      <c r="H249" s="6"/>
      <c r="K249" t="str">
        <f t="shared" si="56"/>
        <v>MONTENEGRIN</v>
      </c>
      <c r="L249">
        <f t="shared" si="57"/>
        <v>268</v>
      </c>
      <c r="V249" t="str">
        <f>IF(TIM!F249="","",TIM!F249)</f>
        <v/>
      </c>
      <c r="W249" t="str">
        <f t="shared" si="61"/>
        <v/>
      </c>
      <c r="X249">
        <f t="shared" si="62"/>
        <v>0</v>
      </c>
      <c r="AI249">
        <f>IF(TIM!P249=TIM!P249,TIM!P249,"")</f>
        <v>0</v>
      </c>
      <c r="AJ249" t="str">
        <f t="shared" si="63"/>
        <v/>
      </c>
      <c r="AK249" t="str">
        <f t="shared" si="64"/>
        <v>0</v>
      </c>
      <c r="AL249" t="str">
        <f t="shared" si="65"/>
        <v>0</v>
      </c>
      <c r="AM249">
        <f t="shared" si="66"/>
        <v>543</v>
      </c>
      <c r="AN249" t="str">
        <f t="shared" si="67"/>
        <v>/0/543</v>
      </c>
      <c r="AP249">
        <f>IF(TIM!O249=TIM!O249,TIM!O249,"")</f>
        <v>0</v>
      </c>
      <c r="AQ249" t="str">
        <f t="shared" si="68"/>
        <v/>
      </c>
      <c r="AR249" t="str">
        <f t="shared" si="69"/>
        <v>0</v>
      </c>
      <c r="AS249" t="str">
        <f t="shared" si="70"/>
        <v>0</v>
      </c>
      <c r="AT249">
        <f t="shared" si="71"/>
        <v>543</v>
      </c>
      <c r="AU249" t="str">
        <f t="shared" si="72"/>
        <v>/0/543</v>
      </c>
    </row>
    <row r="250" spans="2:47">
      <c r="B250" s="11">
        <v>266</v>
      </c>
      <c r="C250" s="14" t="s">
        <v>198</v>
      </c>
      <c r="D250" s="14" t="s">
        <v>683</v>
      </c>
      <c r="E250" s="6"/>
      <c r="F250" s="6"/>
      <c r="G250" s="6"/>
      <c r="H250" s="6"/>
      <c r="K250" t="str">
        <f t="shared" si="56"/>
        <v>Cabo Verde</v>
      </c>
      <c r="L250">
        <f t="shared" si="57"/>
        <v>270</v>
      </c>
      <c r="V250" t="str">
        <f>IF(TIM!F250="","",TIM!F250)</f>
        <v/>
      </c>
      <c r="W250" t="str">
        <f t="shared" si="61"/>
        <v/>
      </c>
      <c r="X250">
        <f t="shared" si="62"/>
        <v>0</v>
      </c>
      <c r="AI250">
        <f>IF(TIM!P250=TIM!P250,TIM!P250,"")</f>
        <v>0</v>
      </c>
      <c r="AJ250" t="str">
        <f t="shared" si="63"/>
        <v/>
      </c>
      <c r="AK250" t="str">
        <f t="shared" si="64"/>
        <v>0</v>
      </c>
      <c r="AL250" t="str">
        <f t="shared" si="65"/>
        <v>0</v>
      </c>
      <c r="AM250">
        <f t="shared" si="66"/>
        <v>543</v>
      </c>
      <c r="AN250" t="str">
        <f t="shared" si="67"/>
        <v>/0/543</v>
      </c>
      <c r="AP250">
        <f>IF(TIM!O250=TIM!O250,TIM!O250,"")</f>
        <v>0</v>
      </c>
      <c r="AQ250" t="str">
        <f t="shared" si="68"/>
        <v/>
      </c>
      <c r="AR250" t="str">
        <f t="shared" si="69"/>
        <v>0</v>
      </c>
      <c r="AS250" t="str">
        <f t="shared" si="70"/>
        <v>0</v>
      </c>
      <c r="AT250">
        <f t="shared" si="71"/>
        <v>543</v>
      </c>
      <c r="AU250" t="str">
        <f t="shared" si="72"/>
        <v>/0/543</v>
      </c>
    </row>
    <row r="251" spans="2:47">
      <c r="B251" s="11">
        <v>267</v>
      </c>
      <c r="C251" s="14" t="s">
        <v>199</v>
      </c>
      <c r="D251" s="14" t="s">
        <v>544</v>
      </c>
      <c r="E251" s="6"/>
      <c r="F251" s="6"/>
      <c r="G251" s="6"/>
      <c r="H251" s="6"/>
      <c r="K251" t="str">
        <f t="shared" si="56"/>
        <v>KOSOVO</v>
      </c>
      <c r="L251">
        <f t="shared" si="57"/>
        <v>271</v>
      </c>
      <c r="V251" t="str">
        <f>IF(TIM!F251="","",TIM!F251)</f>
        <v/>
      </c>
      <c r="W251" t="str">
        <f t="shared" si="61"/>
        <v/>
      </c>
      <c r="X251">
        <f t="shared" si="62"/>
        <v>0</v>
      </c>
      <c r="AI251">
        <f>IF(TIM!P251=TIM!P251,TIM!P251,"")</f>
        <v>0</v>
      </c>
      <c r="AJ251" t="str">
        <f t="shared" si="63"/>
        <v/>
      </c>
      <c r="AK251" t="str">
        <f t="shared" si="64"/>
        <v>0</v>
      </c>
      <c r="AL251" t="str">
        <f t="shared" si="65"/>
        <v>0</v>
      </c>
      <c r="AM251">
        <f t="shared" si="66"/>
        <v>543</v>
      </c>
      <c r="AN251" t="str">
        <f t="shared" si="67"/>
        <v>/0/543</v>
      </c>
      <c r="AP251">
        <f>IF(TIM!O251=TIM!O251,TIM!O251,"")</f>
        <v>0</v>
      </c>
      <c r="AQ251" t="str">
        <f t="shared" si="68"/>
        <v/>
      </c>
      <c r="AR251" t="str">
        <f t="shared" si="69"/>
        <v>0</v>
      </c>
      <c r="AS251" t="str">
        <f t="shared" si="70"/>
        <v>0</v>
      </c>
      <c r="AT251">
        <f t="shared" si="71"/>
        <v>543</v>
      </c>
      <c r="AU251" t="str">
        <f t="shared" si="72"/>
        <v>/0/543</v>
      </c>
    </row>
    <row r="252" spans="2:47">
      <c r="B252" s="11">
        <v>268</v>
      </c>
      <c r="C252" s="14" t="s">
        <v>200</v>
      </c>
      <c r="D252" s="14" t="s">
        <v>641</v>
      </c>
      <c r="E252" s="6"/>
      <c r="F252" s="6"/>
      <c r="G252" s="6"/>
      <c r="H252" s="6"/>
      <c r="K252" t="str">
        <f t="shared" si="56"/>
        <v>South Sudan</v>
      </c>
      <c r="L252">
        <f t="shared" si="57"/>
        <v>272</v>
      </c>
      <c r="V252" t="str">
        <f>IF(TIM!F252="","",TIM!F252)</f>
        <v/>
      </c>
      <c r="W252" t="str">
        <f t="shared" si="61"/>
        <v/>
      </c>
      <c r="X252">
        <f t="shared" si="62"/>
        <v>0</v>
      </c>
      <c r="AI252">
        <f>IF(TIM!P252=TIM!P252,TIM!P252,"")</f>
        <v>0</v>
      </c>
      <c r="AJ252" t="str">
        <f t="shared" si="63"/>
        <v/>
      </c>
      <c r="AK252" t="str">
        <f t="shared" si="64"/>
        <v>0</v>
      </c>
      <c r="AL252" t="str">
        <f t="shared" si="65"/>
        <v>0</v>
      </c>
      <c r="AM252">
        <f t="shared" si="66"/>
        <v>543</v>
      </c>
      <c r="AN252" t="str">
        <f t="shared" si="67"/>
        <v>/0/543</v>
      </c>
      <c r="AP252">
        <f>IF(TIM!O252=TIM!O252,TIM!O252,"")</f>
        <v>0</v>
      </c>
      <c r="AQ252" t="str">
        <f t="shared" si="68"/>
        <v/>
      </c>
      <c r="AR252" t="str">
        <f t="shared" si="69"/>
        <v>0</v>
      </c>
      <c r="AS252" t="str">
        <f t="shared" si="70"/>
        <v>0</v>
      </c>
      <c r="AT252">
        <f t="shared" si="71"/>
        <v>543</v>
      </c>
      <c r="AU252" t="str">
        <f t="shared" si="72"/>
        <v>/0/543</v>
      </c>
    </row>
    <row r="253" spans="2:47">
      <c r="B253" s="11">
        <v>270</v>
      </c>
      <c r="C253" s="14" t="s">
        <v>476</v>
      </c>
      <c r="D253" s="14" t="s">
        <v>477</v>
      </c>
      <c r="E253" s="6"/>
      <c r="F253" s="6"/>
      <c r="G253" s="6"/>
      <c r="H253" s="6"/>
      <c r="K253" t="str">
        <f t="shared" si="56"/>
        <v>-</v>
      </c>
      <c r="L253">
        <f t="shared" si="57"/>
        <v>273</v>
      </c>
      <c r="V253" t="str">
        <f>IF(TIM!F253="","",TIM!F253)</f>
        <v/>
      </c>
      <c r="W253" t="str">
        <f t="shared" si="61"/>
        <v/>
      </c>
      <c r="X253">
        <f t="shared" si="62"/>
        <v>0</v>
      </c>
      <c r="AI253">
        <f>IF(TIM!P253=TIM!P253,TIM!P253,"")</f>
        <v>0</v>
      </c>
      <c r="AJ253" t="str">
        <f t="shared" si="63"/>
        <v/>
      </c>
      <c r="AK253" t="str">
        <f t="shared" si="64"/>
        <v>0</v>
      </c>
      <c r="AL253" t="str">
        <f t="shared" si="65"/>
        <v>0</v>
      </c>
      <c r="AM253">
        <f t="shared" si="66"/>
        <v>543</v>
      </c>
      <c r="AN253" t="str">
        <f t="shared" si="67"/>
        <v>/0/543</v>
      </c>
      <c r="AP253">
        <f>IF(TIM!O253=TIM!O253,TIM!O253,"")</f>
        <v>0</v>
      </c>
      <c r="AQ253" t="str">
        <f t="shared" si="68"/>
        <v/>
      </c>
      <c r="AR253" t="str">
        <f t="shared" si="69"/>
        <v>0</v>
      </c>
      <c r="AS253" t="str">
        <f t="shared" si="70"/>
        <v>0</v>
      </c>
      <c r="AT253">
        <f t="shared" si="71"/>
        <v>543</v>
      </c>
      <c r="AU253" t="str">
        <f t="shared" si="72"/>
        <v>/0/543</v>
      </c>
    </row>
    <row r="254" spans="2:47">
      <c r="B254" s="11">
        <v>271</v>
      </c>
      <c r="C254" s="14" t="s">
        <v>488</v>
      </c>
      <c r="D254" s="14" t="s">
        <v>489</v>
      </c>
      <c r="E254" s="6"/>
      <c r="F254" s="6"/>
      <c r="G254" s="6"/>
      <c r="H254" s="6"/>
      <c r="K254" t="str">
        <f t="shared" si="56"/>
        <v>-</v>
      </c>
      <c r="L254">
        <f t="shared" si="57"/>
        <v>274</v>
      </c>
      <c r="V254" t="str">
        <f>IF(TIM!F254="","",TIM!F254)</f>
        <v/>
      </c>
      <c r="W254" t="str">
        <f t="shared" si="61"/>
        <v/>
      </c>
      <c r="X254">
        <f t="shared" si="62"/>
        <v>0</v>
      </c>
      <c r="AI254">
        <f>IF(TIM!P254=TIM!P254,TIM!P254,"")</f>
        <v>0</v>
      </c>
      <c r="AJ254" t="str">
        <f t="shared" si="63"/>
        <v/>
      </c>
      <c r="AK254" t="str">
        <f t="shared" si="64"/>
        <v>0</v>
      </c>
      <c r="AL254" t="str">
        <f t="shared" si="65"/>
        <v>0</v>
      </c>
      <c r="AM254">
        <f t="shared" si="66"/>
        <v>543</v>
      </c>
      <c r="AN254" t="str">
        <f t="shared" si="67"/>
        <v>/0/543</v>
      </c>
      <c r="AP254">
        <f>IF(TIM!O254=TIM!O254,TIM!O254,"")</f>
        <v>0</v>
      </c>
      <c r="AQ254" t="str">
        <f t="shared" si="68"/>
        <v/>
      </c>
      <c r="AR254" t="str">
        <f t="shared" si="69"/>
        <v>0</v>
      </c>
      <c r="AS254" t="str">
        <f t="shared" si="70"/>
        <v>0</v>
      </c>
      <c r="AT254">
        <f t="shared" si="71"/>
        <v>543</v>
      </c>
      <c r="AU254" t="str">
        <f t="shared" si="72"/>
        <v>/0/543</v>
      </c>
    </row>
    <row r="255" spans="2:47">
      <c r="B255" s="11">
        <v>272</v>
      </c>
      <c r="C255" s="14" t="s">
        <v>546</v>
      </c>
      <c r="D255" s="14" t="s">
        <v>256</v>
      </c>
      <c r="E255" s="6"/>
      <c r="F255" s="6"/>
      <c r="G255" s="6"/>
      <c r="H255" s="6"/>
      <c r="K255" t="str">
        <f t="shared" si="56"/>
        <v>-</v>
      </c>
      <c r="L255">
        <f t="shared" si="57"/>
        <v>275</v>
      </c>
      <c r="V255" t="str">
        <f>IF(TIM!F255="","",TIM!F255)</f>
        <v/>
      </c>
      <c r="W255" t="str">
        <f t="shared" si="61"/>
        <v/>
      </c>
      <c r="X255">
        <f t="shared" si="62"/>
        <v>0</v>
      </c>
      <c r="AI255">
        <f>IF(TIM!P255=TIM!P255,TIM!P255,"")</f>
        <v>0</v>
      </c>
      <c r="AJ255" t="str">
        <f t="shared" si="63"/>
        <v/>
      </c>
      <c r="AK255" t="str">
        <f t="shared" si="64"/>
        <v>0</v>
      </c>
      <c r="AL255" t="str">
        <f t="shared" si="65"/>
        <v>0</v>
      </c>
      <c r="AM255">
        <f t="shared" si="66"/>
        <v>543</v>
      </c>
      <c r="AN255" t="str">
        <f t="shared" si="67"/>
        <v>/0/543</v>
      </c>
      <c r="AP255">
        <f>IF(TIM!O255=TIM!O255,TIM!O255,"")</f>
        <v>0</v>
      </c>
      <c r="AQ255" t="str">
        <f t="shared" si="68"/>
        <v/>
      </c>
      <c r="AR255" t="str">
        <f t="shared" si="69"/>
        <v>0</v>
      </c>
      <c r="AS255" t="str">
        <f t="shared" si="70"/>
        <v>0</v>
      </c>
      <c r="AT255">
        <f t="shared" si="71"/>
        <v>543</v>
      </c>
      <c r="AU255" t="str">
        <f t="shared" si="72"/>
        <v>/0/543</v>
      </c>
    </row>
    <row r="256" spans="2:47">
      <c r="B256" s="11">
        <v>273</v>
      </c>
      <c r="C256" s="14" t="s">
        <v>658</v>
      </c>
      <c r="D256" s="14" t="s">
        <v>470</v>
      </c>
      <c r="E256" s="6"/>
      <c r="F256" s="6"/>
      <c r="G256" s="6"/>
      <c r="H256" s="6"/>
      <c r="K256" t="str">
        <f t="shared" si="56"/>
        <v>-</v>
      </c>
      <c r="L256">
        <f t="shared" si="57"/>
        <v>276</v>
      </c>
      <c r="V256" t="str">
        <f>IF(TIM!F256="","",TIM!F256)</f>
        <v/>
      </c>
      <c r="W256" t="str">
        <f t="shared" si="61"/>
        <v/>
      </c>
      <c r="X256">
        <f t="shared" si="62"/>
        <v>0</v>
      </c>
      <c r="AI256">
        <f>IF(TIM!P256=TIM!P256,TIM!P256,"")</f>
        <v>0</v>
      </c>
      <c r="AJ256" t="str">
        <f t="shared" si="63"/>
        <v/>
      </c>
      <c r="AK256" t="str">
        <f t="shared" si="64"/>
        <v>0</v>
      </c>
      <c r="AL256" t="str">
        <f t="shared" si="65"/>
        <v>0</v>
      </c>
      <c r="AM256">
        <f t="shared" si="66"/>
        <v>543</v>
      </c>
      <c r="AN256" t="str">
        <f t="shared" si="67"/>
        <v>/0/543</v>
      </c>
      <c r="AP256">
        <f>IF(TIM!O256=TIM!O256,TIM!O256,"")</f>
        <v>0</v>
      </c>
      <c r="AQ256" t="str">
        <f t="shared" si="68"/>
        <v/>
      </c>
      <c r="AR256" t="str">
        <f t="shared" si="69"/>
        <v>0</v>
      </c>
      <c r="AS256" t="str">
        <f t="shared" si="70"/>
        <v>0</v>
      </c>
      <c r="AT256">
        <f t="shared" si="71"/>
        <v>543</v>
      </c>
      <c r="AU256" t="str">
        <f t="shared" si="72"/>
        <v>/0/543</v>
      </c>
    </row>
    <row r="257" spans="2:47">
      <c r="B257" s="11">
        <v>274</v>
      </c>
      <c r="C257" s="14" t="s">
        <v>469</v>
      </c>
      <c r="D257" s="14" t="s">
        <v>470</v>
      </c>
      <c r="E257" s="6"/>
      <c r="F257" s="6"/>
      <c r="G257" s="6"/>
      <c r="H257" s="6"/>
      <c r="K257" t="str">
        <f t="shared" si="56"/>
        <v>-</v>
      </c>
      <c r="L257">
        <f t="shared" si="57"/>
        <v>282</v>
      </c>
      <c r="V257" t="str">
        <f>IF(TIM!F257="","",TIM!F257)</f>
        <v/>
      </c>
      <c r="W257" t="str">
        <f t="shared" si="61"/>
        <v/>
      </c>
      <c r="X257">
        <f t="shared" si="62"/>
        <v>0</v>
      </c>
      <c r="AI257">
        <f>IF(TIM!P257=TIM!P257,TIM!P257,"")</f>
        <v>0</v>
      </c>
      <c r="AJ257" t="str">
        <f t="shared" si="63"/>
        <v/>
      </c>
      <c r="AK257" t="str">
        <f t="shared" si="64"/>
        <v>0</v>
      </c>
      <c r="AL257" t="str">
        <f t="shared" si="65"/>
        <v>0</v>
      </c>
      <c r="AM257">
        <f t="shared" si="66"/>
        <v>543</v>
      </c>
      <c r="AN257" t="str">
        <f t="shared" si="67"/>
        <v>/0/543</v>
      </c>
      <c r="AP257">
        <f>IF(TIM!O257=TIM!O257,TIM!O257,"")</f>
        <v>0</v>
      </c>
      <c r="AQ257" t="str">
        <f t="shared" si="68"/>
        <v/>
      </c>
      <c r="AR257" t="str">
        <f t="shared" si="69"/>
        <v>0</v>
      </c>
      <c r="AS257" t="str">
        <f t="shared" si="70"/>
        <v>0</v>
      </c>
      <c r="AT257">
        <f t="shared" si="71"/>
        <v>543</v>
      </c>
      <c r="AU257" t="str">
        <f t="shared" si="72"/>
        <v>/0/543</v>
      </c>
    </row>
    <row r="258" spans="2:47">
      <c r="B258" s="11">
        <v>275</v>
      </c>
      <c r="C258" s="14" t="s">
        <v>684</v>
      </c>
      <c r="D258" s="14" t="s">
        <v>470</v>
      </c>
      <c r="E258" s="6"/>
      <c r="F258" s="6"/>
      <c r="G258" s="6"/>
      <c r="H258" s="6"/>
      <c r="K258" t="str">
        <f t="shared" si="56"/>
        <v>-</v>
      </c>
      <c r="L258">
        <f t="shared" si="57"/>
        <v>989</v>
      </c>
      <c r="V258" t="str">
        <f>IF(TIM!F258="","",TIM!F258)</f>
        <v/>
      </c>
      <c r="W258" t="str">
        <f t="shared" si="61"/>
        <v/>
      </c>
      <c r="X258">
        <f t="shared" si="62"/>
        <v>0</v>
      </c>
      <c r="AI258">
        <f>IF(TIM!P258=TIM!P258,TIM!P258,"")</f>
        <v>0</v>
      </c>
      <c r="AJ258" t="str">
        <f t="shared" si="63"/>
        <v/>
      </c>
      <c r="AK258" t="str">
        <f t="shared" si="64"/>
        <v>0</v>
      </c>
      <c r="AL258" t="str">
        <f t="shared" si="65"/>
        <v>0</v>
      </c>
      <c r="AM258">
        <f t="shared" si="66"/>
        <v>543</v>
      </c>
      <c r="AN258" t="str">
        <f t="shared" si="67"/>
        <v>/0/543</v>
      </c>
      <c r="AP258">
        <f>IF(TIM!O258=TIM!O258,TIM!O258,"")</f>
        <v>0</v>
      </c>
      <c r="AQ258" t="str">
        <f t="shared" si="68"/>
        <v/>
      </c>
      <c r="AR258" t="str">
        <f t="shared" si="69"/>
        <v>0</v>
      </c>
      <c r="AS258" t="str">
        <f t="shared" si="70"/>
        <v>0</v>
      </c>
      <c r="AT258">
        <f t="shared" si="71"/>
        <v>543</v>
      </c>
      <c r="AU258" t="str">
        <f t="shared" si="72"/>
        <v>/0/543</v>
      </c>
    </row>
    <row r="259" spans="2:47">
      <c r="B259" s="11">
        <v>276</v>
      </c>
      <c r="C259" s="14" t="s">
        <v>575</v>
      </c>
      <c r="D259" s="14" t="s">
        <v>470</v>
      </c>
      <c r="E259" s="6"/>
      <c r="F259" s="6"/>
      <c r="G259" s="6"/>
      <c r="H259" s="6"/>
      <c r="V259" t="str">
        <f>IF(TIM!F259="","",TIM!F259)</f>
        <v/>
      </c>
      <c r="W259" t="str">
        <f t="shared" ref="W259:W322" si="73">IFERROR(VLOOKUP(V259,$J$2:$N$258,5,FALSE),"")</f>
        <v/>
      </c>
      <c r="X259">
        <f t="shared" ref="X259:X322" si="74">IFERROR(VLOOKUP(V259,$P$2:$T$208,5,FALSE),"")</f>
        <v>0</v>
      </c>
      <c r="AI259">
        <f>IF(TIM!P259=TIM!P259,TIM!P259,"")</f>
        <v>0</v>
      </c>
      <c r="AJ259" t="str">
        <f t="shared" ref="AJ259:AJ322" si="75">MID(AI259,4,2)</f>
        <v/>
      </c>
      <c r="AK259" t="str">
        <f t="shared" ref="AK259:AK322" si="76">LEFT(AI259,2)</f>
        <v>0</v>
      </c>
      <c r="AL259" t="str">
        <f t="shared" ref="AL259:AL322" si="77">RIGHT(AI259,4)</f>
        <v>0</v>
      </c>
      <c r="AM259">
        <f t="shared" ref="AM259:AM322" si="78">AL259+543</f>
        <v>543</v>
      </c>
      <c r="AN259" t="str">
        <f t="shared" ref="AN259:AN322" si="79">AJ259&amp;"/"&amp;AK259&amp;"/"&amp;AM259</f>
        <v>/0/543</v>
      </c>
      <c r="AP259">
        <f>IF(TIM!O259=TIM!O259,TIM!O259,"")</f>
        <v>0</v>
      </c>
      <c r="AQ259" t="str">
        <f t="shared" ref="AQ259:AQ322" si="80">MID(AP259,4,2)</f>
        <v/>
      </c>
      <c r="AR259" t="str">
        <f t="shared" ref="AR259:AR322" si="81">LEFT(AP259,2)</f>
        <v>0</v>
      </c>
      <c r="AS259" t="str">
        <f t="shared" ref="AS259:AS322" si="82">RIGHT(AP259,4)</f>
        <v>0</v>
      </c>
      <c r="AT259">
        <f t="shared" ref="AT259:AT322" si="83">AS259+543</f>
        <v>543</v>
      </c>
      <c r="AU259" t="str">
        <f t="shared" ref="AU259:AU322" si="84">AQ259&amp;"/"&amp;AR259&amp;"/"&amp;AT259</f>
        <v>/0/543</v>
      </c>
    </row>
    <row r="260" spans="2:47">
      <c r="B260" s="11">
        <v>282</v>
      </c>
      <c r="C260" s="14" t="s">
        <v>585</v>
      </c>
      <c r="D260" s="14" t="s">
        <v>470</v>
      </c>
      <c r="E260" s="6"/>
      <c r="F260" s="6"/>
      <c r="G260" s="6"/>
      <c r="H260" s="6"/>
      <c r="V260" t="str">
        <f>IF(TIM!F260="","",TIM!F260)</f>
        <v/>
      </c>
      <c r="W260" t="str">
        <f t="shared" si="73"/>
        <v/>
      </c>
      <c r="X260">
        <f t="shared" si="74"/>
        <v>0</v>
      </c>
      <c r="AI260">
        <f>IF(TIM!P260=TIM!P260,TIM!P260,"")</f>
        <v>0</v>
      </c>
      <c r="AJ260" t="str">
        <f t="shared" si="75"/>
        <v/>
      </c>
      <c r="AK260" t="str">
        <f t="shared" si="76"/>
        <v>0</v>
      </c>
      <c r="AL260" t="str">
        <f t="shared" si="77"/>
        <v>0</v>
      </c>
      <c r="AM260">
        <f t="shared" si="78"/>
        <v>543</v>
      </c>
      <c r="AN260" t="str">
        <f t="shared" si="79"/>
        <v>/0/543</v>
      </c>
      <c r="AP260">
        <f>IF(TIM!O260=TIM!O260,TIM!O260,"")</f>
        <v>0</v>
      </c>
      <c r="AQ260" t="str">
        <f t="shared" si="80"/>
        <v/>
      </c>
      <c r="AR260" t="str">
        <f t="shared" si="81"/>
        <v>0</v>
      </c>
      <c r="AS260" t="str">
        <f t="shared" si="82"/>
        <v>0</v>
      </c>
      <c r="AT260">
        <f t="shared" si="83"/>
        <v>543</v>
      </c>
      <c r="AU260" t="str">
        <f t="shared" si="84"/>
        <v>/0/543</v>
      </c>
    </row>
    <row r="261" spans="2:47">
      <c r="B261" s="11">
        <v>989</v>
      </c>
      <c r="C261" s="14" t="s">
        <v>201</v>
      </c>
      <c r="D261" s="14" t="s">
        <v>470</v>
      </c>
      <c r="E261" s="6"/>
      <c r="F261" s="6"/>
      <c r="G261" s="6"/>
      <c r="H261" s="6"/>
      <c r="V261" t="str">
        <f>IF(TIM!F261="","",TIM!F261)</f>
        <v/>
      </c>
      <c r="W261" t="str">
        <f t="shared" si="73"/>
        <v/>
      </c>
      <c r="X261">
        <f t="shared" si="74"/>
        <v>0</v>
      </c>
      <c r="AI261">
        <f>IF(TIM!P261=TIM!P261,TIM!P261,"")</f>
        <v>0</v>
      </c>
      <c r="AJ261" t="str">
        <f t="shared" si="75"/>
        <v/>
      </c>
      <c r="AK261" t="str">
        <f t="shared" si="76"/>
        <v>0</v>
      </c>
      <c r="AL261" t="str">
        <f t="shared" si="77"/>
        <v>0</v>
      </c>
      <c r="AM261">
        <f t="shared" si="78"/>
        <v>543</v>
      </c>
      <c r="AN261" t="str">
        <f t="shared" si="79"/>
        <v>/0/543</v>
      </c>
      <c r="AP261">
        <f>IF(TIM!O261=TIM!O261,TIM!O261,"")</f>
        <v>0</v>
      </c>
      <c r="AQ261" t="str">
        <f t="shared" si="80"/>
        <v/>
      </c>
      <c r="AR261" t="str">
        <f t="shared" si="81"/>
        <v>0</v>
      </c>
      <c r="AS261" t="str">
        <f t="shared" si="82"/>
        <v>0</v>
      </c>
      <c r="AT261">
        <f t="shared" si="83"/>
        <v>543</v>
      </c>
      <c r="AU261" t="str">
        <f t="shared" si="84"/>
        <v>/0/543</v>
      </c>
    </row>
    <row r="262" spans="2:47">
      <c r="E262" s="6"/>
      <c r="F262" s="6"/>
      <c r="G262" s="6"/>
      <c r="H262" s="6"/>
      <c r="V262" t="str">
        <f>IF(TIM!F262="","",TIM!F262)</f>
        <v/>
      </c>
      <c r="W262" t="str">
        <f t="shared" si="73"/>
        <v/>
      </c>
      <c r="X262">
        <f t="shared" si="74"/>
        <v>0</v>
      </c>
      <c r="AI262">
        <f>IF(TIM!P262=TIM!P262,TIM!P262,"")</f>
        <v>0</v>
      </c>
      <c r="AJ262" t="str">
        <f t="shared" si="75"/>
        <v/>
      </c>
      <c r="AK262" t="str">
        <f t="shared" si="76"/>
        <v>0</v>
      </c>
      <c r="AL262" t="str">
        <f t="shared" si="77"/>
        <v>0</v>
      </c>
      <c r="AM262">
        <f t="shared" si="78"/>
        <v>543</v>
      </c>
      <c r="AN262" t="str">
        <f t="shared" si="79"/>
        <v>/0/543</v>
      </c>
      <c r="AP262">
        <f>IF(TIM!O262=TIM!O262,TIM!O262,"")</f>
        <v>0</v>
      </c>
      <c r="AQ262" t="str">
        <f t="shared" si="80"/>
        <v/>
      </c>
      <c r="AR262" t="str">
        <f t="shared" si="81"/>
        <v>0</v>
      </c>
      <c r="AS262" t="str">
        <f t="shared" si="82"/>
        <v>0</v>
      </c>
      <c r="AT262">
        <f t="shared" si="83"/>
        <v>543</v>
      </c>
      <c r="AU262" t="str">
        <f t="shared" si="84"/>
        <v>/0/543</v>
      </c>
    </row>
    <row r="263" spans="2:47">
      <c r="E263" s="6"/>
      <c r="F263" s="6"/>
      <c r="G263" s="6"/>
      <c r="H263" s="6"/>
      <c r="V263" t="str">
        <f>IF(TIM!F263="","",TIM!F263)</f>
        <v/>
      </c>
      <c r="W263" t="str">
        <f t="shared" si="73"/>
        <v/>
      </c>
      <c r="X263">
        <f t="shared" si="74"/>
        <v>0</v>
      </c>
      <c r="AI263">
        <f>IF(TIM!P263=TIM!P263,TIM!P263,"")</f>
        <v>0</v>
      </c>
      <c r="AJ263" t="str">
        <f t="shared" si="75"/>
        <v/>
      </c>
      <c r="AK263" t="str">
        <f t="shared" si="76"/>
        <v>0</v>
      </c>
      <c r="AL263" t="str">
        <f t="shared" si="77"/>
        <v>0</v>
      </c>
      <c r="AM263">
        <f t="shared" si="78"/>
        <v>543</v>
      </c>
      <c r="AN263" t="str">
        <f t="shared" si="79"/>
        <v>/0/543</v>
      </c>
      <c r="AP263">
        <f>IF(TIM!O263=TIM!O263,TIM!O263,"")</f>
        <v>0</v>
      </c>
      <c r="AQ263" t="str">
        <f t="shared" si="80"/>
        <v/>
      </c>
      <c r="AR263" t="str">
        <f t="shared" si="81"/>
        <v>0</v>
      </c>
      <c r="AS263" t="str">
        <f t="shared" si="82"/>
        <v>0</v>
      </c>
      <c r="AT263">
        <f t="shared" si="83"/>
        <v>543</v>
      </c>
      <c r="AU263" t="str">
        <f t="shared" si="84"/>
        <v>/0/543</v>
      </c>
    </row>
    <row r="264" spans="2:47">
      <c r="E264" s="6"/>
      <c r="F264" s="6"/>
      <c r="G264" s="6"/>
      <c r="H264" s="6"/>
      <c r="V264" t="str">
        <f>IF(TIM!F264="","",TIM!F264)</f>
        <v/>
      </c>
      <c r="W264" t="str">
        <f t="shared" si="73"/>
        <v/>
      </c>
      <c r="X264">
        <f t="shared" si="74"/>
        <v>0</v>
      </c>
      <c r="AI264">
        <f>IF(TIM!P264=TIM!P264,TIM!P264,"")</f>
        <v>0</v>
      </c>
      <c r="AJ264" t="str">
        <f t="shared" si="75"/>
        <v/>
      </c>
      <c r="AK264" t="str">
        <f t="shared" si="76"/>
        <v>0</v>
      </c>
      <c r="AL264" t="str">
        <f t="shared" si="77"/>
        <v>0</v>
      </c>
      <c r="AM264">
        <f t="shared" si="78"/>
        <v>543</v>
      </c>
      <c r="AN264" t="str">
        <f t="shared" si="79"/>
        <v>/0/543</v>
      </c>
      <c r="AP264">
        <f>IF(TIM!O264=TIM!O264,TIM!O264,"")</f>
        <v>0</v>
      </c>
      <c r="AQ264" t="str">
        <f t="shared" si="80"/>
        <v/>
      </c>
      <c r="AR264" t="str">
        <f t="shared" si="81"/>
        <v>0</v>
      </c>
      <c r="AS264" t="str">
        <f t="shared" si="82"/>
        <v>0</v>
      </c>
      <c r="AT264">
        <f t="shared" si="83"/>
        <v>543</v>
      </c>
      <c r="AU264" t="str">
        <f t="shared" si="84"/>
        <v>/0/543</v>
      </c>
    </row>
    <row r="265" spans="2:47">
      <c r="E265" s="6"/>
      <c r="F265" s="6"/>
      <c r="G265" s="6"/>
      <c r="H265" s="6"/>
      <c r="V265" t="str">
        <f>IF(TIM!F265="","",TIM!F265)</f>
        <v/>
      </c>
      <c r="W265" t="str">
        <f t="shared" si="73"/>
        <v/>
      </c>
      <c r="X265">
        <f t="shared" si="74"/>
        <v>0</v>
      </c>
      <c r="AI265">
        <f>IF(TIM!P265=TIM!P265,TIM!P265,"")</f>
        <v>0</v>
      </c>
      <c r="AJ265" t="str">
        <f t="shared" si="75"/>
        <v/>
      </c>
      <c r="AK265" t="str">
        <f t="shared" si="76"/>
        <v>0</v>
      </c>
      <c r="AL265" t="str">
        <f t="shared" si="77"/>
        <v>0</v>
      </c>
      <c r="AM265">
        <f t="shared" si="78"/>
        <v>543</v>
      </c>
      <c r="AN265" t="str">
        <f t="shared" si="79"/>
        <v>/0/543</v>
      </c>
      <c r="AP265">
        <f>IF(TIM!O265=TIM!O265,TIM!O265,"")</f>
        <v>0</v>
      </c>
      <c r="AQ265" t="str">
        <f t="shared" si="80"/>
        <v/>
      </c>
      <c r="AR265" t="str">
        <f t="shared" si="81"/>
        <v>0</v>
      </c>
      <c r="AS265" t="str">
        <f t="shared" si="82"/>
        <v>0</v>
      </c>
      <c r="AT265">
        <f t="shared" si="83"/>
        <v>543</v>
      </c>
      <c r="AU265" t="str">
        <f t="shared" si="84"/>
        <v>/0/543</v>
      </c>
    </row>
    <row r="266" spans="2:47">
      <c r="E266" s="6"/>
      <c r="F266" s="6"/>
      <c r="G266" s="6"/>
      <c r="H266" s="6"/>
      <c r="V266" t="str">
        <f>IF(TIM!F266="","",TIM!F266)</f>
        <v/>
      </c>
      <c r="W266" t="str">
        <f t="shared" si="73"/>
        <v/>
      </c>
      <c r="X266">
        <f t="shared" si="74"/>
        <v>0</v>
      </c>
      <c r="AI266">
        <f>IF(TIM!P266=TIM!P266,TIM!P266,"")</f>
        <v>0</v>
      </c>
      <c r="AJ266" t="str">
        <f t="shared" si="75"/>
        <v/>
      </c>
      <c r="AK266" t="str">
        <f t="shared" si="76"/>
        <v>0</v>
      </c>
      <c r="AL266" t="str">
        <f t="shared" si="77"/>
        <v>0</v>
      </c>
      <c r="AM266">
        <f t="shared" si="78"/>
        <v>543</v>
      </c>
      <c r="AN266" t="str">
        <f t="shared" si="79"/>
        <v>/0/543</v>
      </c>
      <c r="AP266">
        <f>IF(TIM!O266=TIM!O266,TIM!O266,"")</f>
        <v>0</v>
      </c>
      <c r="AQ266" t="str">
        <f t="shared" si="80"/>
        <v/>
      </c>
      <c r="AR266" t="str">
        <f t="shared" si="81"/>
        <v>0</v>
      </c>
      <c r="AS266" t="str">
        <f t="shared" si="82"/>
        <v>0</v>
      </c>
      <c r="AT266">
        <f t="shared" si="83"/>
        <v>543</v>
      </c>
      <c r="AU266" t="str">
        <f t="shared" si="84"/>
        <v>/0/543</v>
      </c>
    </row>
    <row r="267" spans="2:47">
      <c r="E267" s="6"/>
      <c r="F267" s="6"/>
      <c r="G267" s="6"/>
      <c r="H267" s="6"/>
      <c r="V267" t="str">
        <f>IF(TIM!F267="","",TIM!F267)</f>
        <v/>
      </c>
      <c r="W267" t="str">
        <f t="shared" si="73"/>
        <v/>
      </c>
      <c r="X267">
        <f t="shared" si="74"/>
        <v>0</v>
      </c>
      <c r="AI267">
        <f>IF(TIM!P267=TIM!P267,TIM!P267,"")</f>
        <v>0</v>
      </c>
      <c r="AJ267" t="str">
        <f t="shared" si="75"/>
        <v/>
      </c>
      <c r="AK267" t="str">
        <f t="shared" si="76"/>
        <v>0</v>
      </c>
      <c r="AL267" t="str">
        <f t="shared" si="77"/>
        <v>0</v>
      </c>
      <c r="AM267">
        <f t="shared" si="78"/>
        <v>543</v>
      </c>
      <c r="AN267" t="str">
        <f t="shared" si="79"/>
        <v>/0/543</v>
      </c>
      <c r="AP267">
        <f>IF(TIM!O267=TIM!O267,TIM!O267,"")</f>
        <v>0</v>
      </c>
      <c r="AQ267" t="str">
        <f t="shared" si="80"/>
        <v/>
      </c>
      <c r="AR267" t="str">
        <f t="shared" si="81"/>
        <v>0</v>
      </c>
      <c r="AS267" t="str">
        <f t="shared" si="82"/>
        <v>0</v>
      </c>
      <c r="AT267">
        <f t="shared" si="83"/>
        <v>543</v>
      </c>
      <c r="AU267" t="str">
        <f t="shared" si="84"/>
        <v>/0/543</v>
      </c>
    </row>
    <row r="268" spans="2:47">
      <c r="E268" s="6"/>
      <c r="F268" s="6"/>
      <c r="G268" s="6"/>
      <c r="H268" s="6"/>
      <c r="V268" t="str">
        <f>IF(TIM!F268="","",TIM!F268)</f>
        <v/>
      </c>
      <c r="W268" t="str">
        <f t="shared" si="73"/>
        <v/>
      </c>
      <c r="X268">
        <f t="shared" si="74"/>
        <v>0</v>
      </c>
      <c r="AI268">
        <f>IF(TIM!P268=TIM!P268,TIM!P268,"")</f>
        <v>0</v>
      </c>
      <c r="AJ268" t="str">
        <f t="shared" si="75"/>
        <v/>
      </c>
      <c r="AK268" t="str">
        <f t="shared" si="76"/>
        <v>0</v>
      </c>
      <c r="AL268" t="str">
        <f t="shared" si="77"/>
        <v>0</v>
      </c>
      <c r="AM268">
        <f t="shared" si="78"/>
        <v>543</v>
      </c>
      <c r="AN268" t="str">
        <f t="shared" si="79"/>
        <v>/0/543</v>
      </c>
      <c r="AP268">
        <f>IF(TIM!O268=TIM!O268,TIM!O268,"")</f>
        <v>0</v>
      </c>
      <c r="AQ268" t="str">
        <f t="shared" si="80"/>
        <v/>
      </c>
      <c r="AR268" t="str">
        <f t="shared" si="81"/>
        <v>0</v>
      </c>
      <c r="AS268" t="str">
        <f t="shared" si="82"/>
        <v>0</v>
      </c>
      <c r="AT268">
        <f t="shared" si="83"/>
        <v>543</v>
      </c>
      <c r="AU268" t="str">
        <f t="shared" si="84"/>
        <v>/0/543</v>
      </c>
    </row>
    <row r="269" spans="2:47">
      <c r="E269" s="6"/>
      <c r="F269" s="6"/>
      <c r="G269" s="6"/>
      <c r="H269" s="6"/>
      <c r="V269" t="str">
        <f>IF(TIM!F269="","",TIM!F269)</f>
        <v/>
      </c>
      <c r="W269" t="str">
        <f t="shared" si="73"/>
        <v/>
      </c>
      <c r="X269">
        <f t="shared" si="74"/>
        <v>0</v>
      </c>
      <c r="AI269">
        <f>IF(TIM!P269=TIM!P269,TIM!P269,"")</f>
        <v>0</v>
      </c>
      <c r="AJ269" t="str">
        <f t="shared" si="75"/>
        <v/>
      </c>
      <c r="AK269" t="str">
        <f t="shared" si="76"/>
        <v>0</v>
      </c>
      <c r="AL269" t="str">
        <f t="shared" si="77"/>
        <v>0</v>
      </c>
      <c r="AM269">
        <f t="shared" si="78"/>
        <v>543</v>
      </c>
      <c r="AN269" t="str">
        <f t="shared" si="79"/>
        <v>/0/543</v>
      </c>
      <c r="AP269">
        <f>IF(TIM!O269=TIM!O269,TIM!O269,"")</f>
        <v>0</v>
      </c>
      <c r="AQ269" t="str">
        <f t="shared" si="80"/>
        <v/>
      </c>
      <c r="AR269" t="str">
        <f t="shared" si="81"/>
        <v>0</v>
      </c>
      <c r="AS269" t="str">
        <f t="shared" si="82"/>
        <v>0</v>
      </c>
      <c r="AT269">
        <f t="shared" si="83"/>
        <v>543</v>
      </c>
      <c r="AU269" t="str">
        <f t="shared" si="84"/>
        <v>/0/543</v>
      </c>
    </row>
    <row r="270" spans="2:47">
      <c r="E270" s="6"/>
      <c r="F270" s="6"/>
      <c r="G270" s="6"/>
      <c r="H270" s="6"/>
      <c r="V270" t="str">
        <f>IF(TIM!F270="","",TIM!F270)</f>
        <v/>
      </c>
      <c r="W270" t="str">
        <f t="shared" si="73"/>
        <v/>
      </c>
      <c r="X270">
        <f t="shared" si="74"/>
        <v>0</v>
      </c>
      <c r="AI270">
        <f>IF(TIM!P270=TIM!P270,TIM!P270,"")</f>
        <v>0</v>
      </c>
      <c r="AJ270" t="str">
        <f t="shared" si="75"/>
        <v/>
      </c>
      <c r="AK270" t="str">
        <f t="shared" si="76"/>
        <v>0</v>
      </c>
      <c r="AL270" t="str">
        <f t="shared" si="77"/>
        <v>0</v>
      </c>
      <c r="AM270">
        <f t="shared" si="78"/>
        <v>543</v>
      </c>
      <c r="AN270" t="str">
        <f t="shared" si="79"/>
        <v>/0/543</v>
      </c>
      <c r="AP270">
        <f>IF(TIM!O270=TIM!O270,TIM!O270,"")</f>
        <v>0</v>
      </c>
      <c r="AQ270" t="str">
        <f t="shared" si="80"/>
        <v/>
      </c>
      <c r="AR270" t="str">
        <f t="shared" si="81"/>
        <v>0</v>
      </c>
      <c r="AS270" t="str">
        <f t="shared" si="82"/>
        <v>0</v>
      </c>
      <c r="AT270">
        <f t="shared" si="83"/>
        <v>543</v>
      </c>
      <c r="AU270" t="str">
        <f t="shared" si="84"/>
        <v>/0/543</v>
      </c>
    </row>
    <row r="271" spans="2:47">
      <c r="V271" t="str">
        <f>IF(TIM!F271="","",TIM!F271)</f>
        <v/>
      </c>
      <c r="W271" t="str">
        <f t="shared" si="73"/>
        <v/>
      </c>
      <c r="X271">
        <f t="shared" si="74"/>
        <v>0</v>
      </c>
      <c r="AI271">
        <f>IF(TIM!P271=TIM!P271,TIM!P271,"")</f>
        <v>0</v>
      </c>
      <c r="AJ271" t="str">
        <f t="shared" si="75"/>
        <v/>
      </c>
      <c r="AK271" t="str">
        <f t="shared" si="76"/>
        <v>0</v>
      </c>
      <c r="AL271" t="str">
        <f t="shared" si="77"/>
        <v>0</v>
      </c>
      <c r="AM271">
        <f t="shared" si="78"/>
        <v>543</v>
      </c>
      <c r="AN271" t="str">
        <f t="shared" si="79"/>
        <v>/0/543</v>
      </c>
      <c r="AP271">
        <f>IF(TIM!O271=TIM!O271,TIM!O271,"")</f>
        <v>0</v>
      </c>
      <c r="AQ271" t="str">
        <f t="shared" si="80"/>
        <v/>
      </c>
      <c r="AR271" t="str">
        <f t="shared" si="81"/>
        <v>0</v>
      </c>
      <c r="AS271" t="str">
        <f t="shared" si="82"/>
        <v>0</v>
      </c>
      <c r="AT271">
        <f t="shared" si="83"/>
        <v>543</v>
      </c>
      <c r="AU271" t="str">
        <f t="shared" si="84"/>
        <v>/0/543</v>
      </c>
    </row>
    <row r="272" spans="2:47">
      <c r="V272" t="str">
        <f>IF(TIM!F272="","",TIM!F272)</f>
        <v/>
      </c>
      <c r="W272" t="str">
        <f t="shared" si="73"/>
        <v/>
      </c>
      <c r="X272">
        <f t="shared" si="74"/>
        <v>0</v>
      </c>
      <c r="AI272">
        <f>IF(TIM!P272=TIM!P272,TIM!P272,"")</f>
        <v>0</v>
      </c>
      <c r="AJ272" t="str">
        <f t="shared" si="75"/>
        <v/>
      </c>
      <c r="AK272" t="str">
        <f t="shared" si="76"/>
        <v>0</v>
      </c>
      <c r="AL272" t="str">
        <f t="shared" si="77"/>
        <v>0</v>
      </c>
      <c r="AM272">
        <f t="shared" si="78"/>
        <v>543</v>
      </c>
      <c r="AN272" t="str">
        <f t="shared" si="79"/>
        <v>/0/543</v>
      </c>
      <c r="AP272">
        <f>IF(TIM!O272=TIM!O272,TIM!O272,"")</f>
        <v>0</v>
      </c>
      <c r="AQ272" t="str">
        <f t="shared" si="80"/>
        <v/>
      </c>
      <c r="AR272" t="str">
        <f t="shared" si="81"/>
        <v>0</v>
      </c>
      <c r="AS272" t="str">
        <f t="shared" si="82"/>
        <v>0</v>
      </c>
      <c r="AT272">
        <f t="shared" si="83"/>
        <v>543</v>
      </c>
      <c r="AU272" t="str">
        <f t="shared" si="84"/>
        <v>/0/543</v>
      </c>
    </row>
    <row r="273" spans="22:47">
      <c r="V273" t="str">
        <f>IF(TIM!F273="","",TIM!F273)</f>
        <v/>
      </c>
      <c r="W273" t="str">
        <f t="shared" si="73"/>
        <v/>
      </c>
      <c r="X273">
        <f t="shared" si="74"/>
        <v>0</v>
      </c>
      <c r="AI273">
        <f>IF(TIM!P273=TIM!P273,TIM!P273,"")</f>
        <v>0</v>
      </c>
      <c r="AJ273" t="str">
        <f t="shared" si="75"/>
        <v/>
      </c>
      <c r="AK273" t="str">
        <f t="shared" si="76"/>
        <v>0</v>
      </c>
      <c r="AL273" t="str">
        <f t="shared" si="77"/>
        <v>0</v>
      </c>
      <c r="AM273">
        <f t="shared" si="78"/>
        <v>543</v>
      </c>
      <c r="AN273" t="str">
        <f t="shared" si="79"/>
        <v>/0/543</v>
      </c>
      <c r="AP273">
        <f>IF(TIM!O273=TIM!O273,TIM!O273,"")</f>
        <v>0</v>
      </c>
      <c r="AQ273" t="str">
        <f t="shared" si="80"/>
        <v/>
      </c>
      <c r="AR273" t="str">
        <f t="shared" si="81"/>
        <v>0</v>
      </c>
      <c r="AS273" t="str">
        <f t="shared" si="82"/>
        <v>0</v>
      </c>
      <c r="AT273">
        <f t="shared" si="83"/>
        <v>543</v>
      </c>
      <c r="AU273" t="str">
        <f t="shared" si="84"/>
        <v>/0/543</v>
      </c>
    </row>
    <row r="274" spans="22:47">
      <c r="V274" t="str">
        <f>IF(TIM!F274="","",TIM!F274)</f>
        <v/>
      </c>
      <c r="W274" t="str">
        <f t="shared" si="73"/>
        <v/>
      </c>
      <c r="X274">
        <f t="shared" si="74"/>
        <v>0</v>
      </c>
      <c r="AI274">
        <f>IF(TIM!P274=TIM!P274,TIM!P274,"")</f>
        <v>0</v>
      </c>
      <c r="AJ274" t="str">
        <f t="shared" si="75"/>
        <v/>
      </c>
      <c r="AK274" t="str">
        <f t="shared" si="76"/>
        <v>0</v>
      </c>
      <c r="AL274" t="str">
        <f t="shared" si="77"/>
        <v>0</v>
      </c>
      <c r="AM274">
        <f t="shared" si="78"/>
        <v>543</v>
      </c>
      <c r="AN274" t="str">
        <f t="shared" si="79"/>
        <v>/0/543</v>
      </c>
      <c r="AP274">
        <f>IF(TIM!O274=TIM!O274,TIM!O274,"")</f>
        <v>0</v>
      </c>
      <c r="AQ274" t="str">
        <f t="shared" si="80"/>
        <v/>
      </c>
      <c r="AR274" t="str">
        <f t="shared" si="81"/>
        <v>0</v>
      </c>
      <c r="AS274" t="str">
        <f t="shared" si="82"/>
        <v>0</v>
      </c>
      <c r="AT274">
        <f t="shared" si="83"/>
        <v>543</v>
      </c>
      <c r="AU274" t="str">
        <f t="shared" si="84"/>
        <v>/0/543</v>
      </c>
    </row>
    <row r="275" spans="22:47">
      <c r="V275" t="str">
        <f>IF(TIM!F275="","",TIM!F275)</f>
        <v/>
      </c>
      <c r="W275" t="str">
        <f t="shared" si="73"/>
        <v/>
      </c>
      <c r="X275">
        <f t="shared" si="74"/>
        <v>0</v>
      </c>
      <c r="AI275">
        <f>IF(TIM!P275=TIM!P275,TIM!P275,"")</f>
        <v>0</v>
      </c>
      <c r="AJ275" t="str">
        <f t="shared" si="75"/>
        <v/>
      </c>
      <c r="AK275" t="str">
        <f t="shared" si="76"/>
        <v>0</v>
      </c>
      <c r="AL275" t="str">
        <f t="shared" si="77"/>
        <v>0</v>
      </c>
      <c r="AM275">
        <f t="shared" si="78"/>
        <v>543</v>
      </c>
      <c r="AN275" t="str">
        <f t="shared" si="79"/>
        <v>/0/543</v>
      </c>
      <c r="AP275">
        <f>IF(TIM!O275=TIM!O275,TIM!O275,"")</f>
        <v>0</v>
      </c>
      <c r="AQ275" t="str">
        <f t="shared" si="80"/>
        <v/>
      </c>
      <c r="AR275" t="str">
        <f t="shared" si="81"/>
        <v>0</v>
      </c>
      <c r="AS275" t="str">
        <f t="shared" si="82"/>
        <v>0</v>
      </c>
      <c r="AT275">
        <f t="shared" si="83"/>
        <v>543</v>
      </c>
      <c r="AU275" t="str">
        <f t="shared" si="84"/>
        <v>/0/543</v>
      </c>
    </row>
    <row r="276" spans="22:47">
      <c r="V276" t="str">
        <f>IF(TIM!F276="","",TIM!F276)</f>
        <v/>
      </c>
      <c r="W276" t="str">
        <f t="shared" si="73"/>
        <v/>
      </c>
      <c r="X276">
        <f t="shared" si="74"/>
        <v>0</v>
      </c>
      <c r="AI276">
        <f>IF(TIM!P276=TIM!P276,TIM!P276,"")</f>
        <v>0</v>
      </c>
      <c r="AJ276" t="str">
        <f t="shared" si="75"/>
        <v/>
      </c>
      <c r="AK276" t="str">
        <f t="shared" si="76"/>
        <v>0</v>
      </c>
      <c r="AL276" t="str">
        <f t="shared" si="77"/>
        <v>0</v>
      </c>
      <c r="AM276">
        <f t="shared" si="78"/>
        <v>543</v>
      </c>
      <c r="AN276" t="str">
        <f t="shared" si="79"/>
        <v>/0/543</v>
      </c>
      <c r="AP276">
        <f>IF(TIM!O276=TIM!O276,TIM!O276,"")</f>
        <v>0</v>
      </c>
      <c r="AQ276" t="str">
        <f t="shared" si="80"/>
        <v/>
      </c>
      <c r="AR276" t="str">
        <f t="shared" si="81"/>
        <v>0</v>
      </c>
      <c r="AS276" t="str">
        <f t="shared" si="82"/>
        <v>0</v>
      </c>
      <c r="AT276">
        <f t="shared" si="83"/>
        <v>543</v>
      </c>
      <c r="AU276" t="str">
        <f t="shared" si="84"/>
        <v>/0/543</v>
      </c>
    </row>
    <row r="277" spans="22:47">
      <c r="V277" t="str">
        <f>IF(TIM!F277="","",TIM!F277)</f>
        <v/>
      </c>
      <c r="W277" t="str">
        <f t="shared" si="73"/>
        <v/>
      </c>
      <c r="X277">
        <f t="shared" si="74"/>
        <v>0</v>
      </c>
      <c r="AI277">
        <f>IF(TIM!P277=TIM!P277,TIM!P277,"")</f>
        <v>0</v>
      </c>
      <c r="AJ277" t="str">
        <f t="shared" si="75"/>
        <v/>
      </c>
      <c r="AK277" t="str">
        <f t="shared" si="76"/>
        <v>0</v>
      </c>
      <c r="AL277" t="str">
        <f t="shared" si="77"/>
        <v>0</v>
      </c>
      <c r="AM277">
        <f t="shared" si="78"/>
        <v>543</v>
      </c>
      <c r="AN277" t="str">
        <f t="shared" si="79"/>
        <v>/0/543</v>
      </c>
      <c r="AP277">
        <f>IF(TIM!O277=TIM!O277,TIM!O277,"")</f>
        <v>0</v>
      </c>
      <c r="AQ277" t="str">
        <f t="shared" si="80"/>
        <v/>
      </c>
      <c r="AR277" t="str">
        <f t="shared" si="81"/>
        <v>0</v>
      </c>
      <c r="AS277" t="str">
        <f t="shared" si="82"/>
        <v>0</v>
      </c>
      <c r="AT277">
        <f t="shared" si="83"/>
        <v>543</v>
      </c>
      <c r="AU277" t="str">
        <f t="shared" si="84"/>
        <v>/0/543</v>
      </c>
    </row>
    <row r="278" spans="22:47">
      <c r="V278" t="str">
        <f>IF(TIM!F278="","",TIM!F278)</f>
        <v/>
      </c>
      <c r="W278" t="str">
        <f t="shared" si="73"/>
        <v/>
      </c>
      <c r="X278">
        <f t="shared" si="74"/>
        <v>0</v>
      </c>
      <c r="AI278">
        <f>IF(TIM!P278=TIM!P278,TIM!P278,"")</f>
        <v>0</v>
      </c>
      <c r="AJ278" t="str">
        <f t="shared" si="75"/>
        <v/>
      </c>
      <c r="AK278" t="str">
        <f t="shared" si="76"/>
        <v>0</v>
      </c>
      <c r="AL278" t="str">
        <f t="shared" si="77"/>
        <v>0</v>
      </c>
      <c r="AM278">
        <f t="shared" si="78"/>
        <v>543</v>
      </c>
      <c r="AN278" t="str">
        <f t="shared" si="79"/>
        <v>/0/543</v>
      </c>
      <c r="AP278">
        <f>IF(TIM!O278=TIM!O278,TIM!O278,"")</f>
        <v>0</v>
      </c>
      <c r="AQ278" t="str">
        <f t="shared" si="80"/>
        <v/>
      </c>
      <c r="AR278" t="str">
        <f t="shared" si="81"/>
        <v>0</v>
      </c>
      <c r="AS278" t="str">
        <f t="shared" si="82"/>
        <v>0</v>
      </c>
      <c r="AT278">
        <f t="shared" si="83"/>
        <v>543</v>
      </c>
      <c r="AU278" t="str">
        <f t="shared" si="84"/>
        <v>/0/543</v>
      </c>
    </row>
    <row r="279" spans="22:47">
      <c r="V279" t="str">
        <f>IF(TIM!F279="","",TIM!F279)</f>
        <v/>
      </c>
      <c r="W279" t="str">
        <f t="shared" si="73"/>
        <v/>
      </c>
      <c r="X279">
        <f t="shared" si="74"/>
        <v>0</v>
      </c>
      <c r="AI279">
        <f>IF(TIM!P279=TIM!P279,TIM!P279,"")</f>
        <v>0</v>
      </c>
      <c r="AJ279" t="str">
        <f t="shared" si="75"/>
        <v/>
      </c>
      <c r="AK279" t="str">
        <f t="shared" si="76"/>
        <v>0</v>
      </c>
      <c r="AL279" t="str">
        <f t="shared" si="77"/>
        <v>0</v>
      </c>
      <c r="AM279">
        <f t="shared" si="78"/>
        <v>543</v>
      </c>
      <c r="AN279" t="str">
        <f t="shared" si="79"/>
        <v>/0/543</v>
      </c>
      <c r="AP279">
        <f>IF(TIM!O279=TIM!O279,TIM!O279,"")</f>
        <v>0</v>
      </c>
      <c r="AQ279" t="str">
        <f t="shared" si="80"/>
        <v/>
      </c>
      <c r="AR279" t="str">
        <f t="shared" si="81"/>
        <v>0</v>
      </c>
      <c r="AS279" t="str">
        <f t="shared" si="82"/>
        <v>0</v>
      </c>
      <c r="AT279">
        <f t="shared" si="83"/>
        <v>543</v>
      </c>
      <c r="AU279" t="str">
        <f t="shared" si="84"/>
        <v>/0/543</v>
      </c>
    </row>
    <row r="280" spans="22:47">
      <c r="V280" t="str">
        <f>IF(TIM!F280="","",TIM!F280)</f>
        <v/>
      </c>
      <c r="W280" t="str">
        <f t="shared" si="73"/>
        <v/>
      </c>
      <c r="X280">
        <f t="shared" si="74"/>
        <v>0</v>
      </c>
      <c r="AI280">
        <f>IF(TIM!P280=TIM!P280,TIM!P280,"")</f>
        <v>0</v>
      </c>
      <c r="AJ280" t="str">
        <f t="shared" si="75"/>
        <v/>
      </c>
      <c r="AK280" t="str">
        <f t="shared" si="76"/>
        <v>0</v>
      </c>
      <c r="AL280" t="str">
        <f t="shared" si="77"/>
        <v>0</v>
      </c>
      <c r="AM280">
        <f t="shared" si="78"/>
        <v>543</v>
      </c>
      <c r="AN280" t="str">
        <f t="shared" si="79"/>
        <v>/0/543</v>
      </c>
      <c r="AP280">
        <f>IF(TIM!O280=TIM!O280,TIM!O280,"")</f>
        <v>0</v>
      </c>
      <c r="AQ280" t="str">
        <f t="shared" si="80"/>
        <v/>
      </c>
      <c r="AR280" t="str">
        <f t="shared" si="81"/>
        <v>0</v>
      </c>
      <c r="AS280" t="str">
        <f t="shared" si="82"/>
        <v>0</v>
      </c>
      <c r="AT280">
        <f t="shared" si="83"/>
        <v>543</v>
      </c>
      <c r="AU280" t="str">
        <f t="shared" si="84"/>
        <v>/0/543</v>
      </c>
    </row>
    <row r="281" spans="22:47">
      <c r="V281" t="str">
        <f>IF(TIM!F281="","",TIM!F281)</f>
        <v/>
      </c>
      <c r="W281" t="str">
        <f t="shared" si="73"/>
        <v/>
      </c>
      <c r="X281">
        <f t="shared" si="74"/>
        <v>0</v>
      </c>
      <c r="AI281">
        <f>IF(TIM!P281=TIM!P281,TIM!P281,"")</f>
        <v>0</v>
      </c>
      <c r="AJ281" t="str">
        <f t="shared" si="75"/>
        <v/>
      </c>
      <c r="AK281" t="str">
        <f t="shared" si="76"/>
        <v>0</v>
      </c>
      <c r="AL281" t="str">
        <f t="shared" si="77"/>
        <v>0</v>
      </c>
      <c r="AM281">
        <f t="shared" si="78"/>
        <v>543</v>
      </c>
      <c r="AN281" t="str">
        <f t="shared" si="79"/>
        <v>/0/543</v>
      </c>
      <c r="AP281">
        <f>IF(TIM!O281=TIM!O281,TIM!O281,"")</f>
        <v>0</v>
      </c>
      <c r="AQ281" t="str">
        <f t="shared" si="80"/>
        <v/>
      </c>
      <c r="AR281" t="str">
        <f t="shared" si="81"/>
        <v>0</v>
      </c>
      <c r="AS281" t="str">
        <f t="shared" si="82"/>
        <v>0</v>
      </c>
      <c r="AT281">
        <f t="shared" si="83"/>
        <v>543</v>
      </c>
      <c r="AU281" t="str">
        <f t="shared" si="84"/>
        <v>/0/543</v>
      </c>
    </row>
    <row r="282" spans="22:47">
      <c r="V282" t="str">
        <f>IF(TIM!F282="","",TIM!F282)</f>
        <v/>
      </c>
      <c r="W282" t="str">
        <f t="shared" si="73"/>
        <v/>
      </c>
      <c r="X282">
        <f t="shared" si="74"/>
        <v>0</v>
      </c>
      <c r="AI282">
        <f>IF(TIM!P282=TIM!P282,TIM!P282,"")</f>
        <v>0</v>
      </c>
      <c r="AJ282" t="str">
        <f t="shared" si="75"/>
        <v/>
      </c>
      <c r="AK282" t="str">
        <f t="shared" si="76"/>
        <v>0</v>
      </c>
      <c r="AL282" t="str">
        <f t="shared" si="77"/>
        <v>0</v>
      </c>
      <c r="AM282">
        <f t="shared" si="78"/>
        <v>543</v>
      </c>
      <c r="AN282" t="str">
        <f t="shared" si="79"/>
        <v>/0/543</v>
      </c>
      <c r="AP282">
        <f>IF(TIM!O282=TIM!O282,TIM!O282,"")</f>
        <v>0</v>
      </c>
      <c r="AQ282" t="str">
        <f t="shared" si="80"/>
        <v/>
      </c>
      <c r="AR282" t="str">
        <f t="shared" si="81"/>
        <v>0</v>
      </c>
      <c r="AS282" t="str">
        <f t="shared" si="82"/>
        <v>0</v>
      </c>
      <c r="AT282">
        <f t="shared" si="83"/>
        <v>543</v>
      </c>
      <c r="AU282" t="str">
        <f t="shared" si="84"/>
        <v>/0/543</v>
      </c>
    </row>
    <row r="283" spans="22:47">
      <c r="V283" t="str">
        <f>IF(TIM!F283="","",TIM!F283)</f>
        <v/>
      </c>
      <c r="W283" t="str">
        <f t="shared" si="73"/>
        <v/>
      </c>
      <c r="X283">
        <f t="shared" si="74"/>
        <v>0</v>
      </c>
      <c r="AI283">
        <f>IF(TIM!P283=TIM!P283,TIM!P283,"")</f>
        <v>0</v>
      </c>
      <c r="AJ283" t="str">
        <f t="shared" si="75"/>
        <v/>
      </c>
      <c r="AK283" t="str">
        <f t="shared" si="76"/>
        <v>0</v>
      </c>
      <c r="AL283" t="str">
        <f t="shared" si="77"/>
        <v>0</v>
      </c>
      <c r="AM283">
        <f t="shared" si="78"/>
        <v>543</v>
      </c>
      <c r="AN283" t="str">
        <f t="shared" si="79"/>
        <v>/0/543</v>
      </c>
      <c r="AP283">
        <f>IF(TIM!O283=TIM!O283,TIM!O283,"")</f>
        <v>0</v>
      </c>
      <c r="AQ283" t="str">
        <f t="shared" si="80"/>
        <v/>
      </c>
      <c r="AR283" t="str">
        <f t="shared" si="81"/>
        <v>0</v>
      </c>
      <c r="AS283" t="str">
        <f t="shared" si="82"/>
        <v>0</v>
      </c>
      <c r="AT283">
        <f t="shared" si="83"/>
        <v>543</v>
      </c>
      <c r="AU283" t="str">
        <f t="shared" si="84"/>
        <v>/0/543</v>
      </c>
    </row>
    <row r="284" spans="22:47">
      <c r="V284" t="str">
        <f>IF(TIM!F284="","",TIM!F284)</f>
        <v/>
      </c>
      <c r="W284" t="str">
        <f t="shared" si="73"/>
        <v/>
      </c>
      <c r="X284">
        <f t="shared" si="74"/>
        <v>0</v>
      </c>
      <c r="AI284">
        <f>IF(TIM!P284=TIM!P284,TIM!P284,"")</f>
        <v>0</v>
      </c>
      <c r="AJ284" t="str">
        <f t="shared" si="75"/>
        <v/>
      </c>
      <c r="AK284" t="str">
        <f t="shared" si="76"/>
        <v>0</v>
      </c>
      <c r="AL284" t="str">
        <f t="shared" si="77"/>
        <v>0</v>
      </c>
      <c r="AM284">
        <f t="shared" si="78"/>
        <v>543</v>
      </c>
      <c r="AN284" t="str">
        <f t="shared" si="79"/>
        <v>/0/543</v>
      </c>
      <c r="AP284">
        <f>IF(TIM!O284=TIM!O284,TIM!O284,"")</f>
        <v>0</v>
      </c>
      <c r="AQ284" t="str">
        <f t="shared" si="80"/>
        <v/>
      </c>
      <c r="AR284" t="str">
        <f t="shared" si="81"/>
        <v>0</v>
      </c>
      <c r="AS284" t="str">
        <f t="shared" si="82"/>
        <v>0</v>
      </c>
      <c r="AT284">
        <f t="shared" si="83"/>
        <v>543</v>
      </c>
      <c r="AU284" t="str">
        <f t="shared" si="84"/>
        <v>/0/543</v>
      </c>
    </row>
    <row r="285" spans="22:47">
      <c r="V285" t="str">
        <f>IF(TIM!F285="","",TIM!F285)</f>
        <v/>
      </c>
      <c r="W285" t="str">
        <f t="shared" si="73"/>
        <v/>
      </c>
      <c r="X285">
        <f t="shared" si="74"/>
        <v>0</v>
      </c>
      <c r="AI285">
        <f>IF(TIM!P285=TIM!P285,TIM!P285,"")</f>
        <v>0</v>
      </c>
      <c r="AJ285" t="str">
        <f t="shared" si="75"/>
        <v/>
      </c>
      <c r="AK285" t="str">
        <f t="shared" si="76"/>
        <v>0</v>
      </c>
      <c r="AL285" t="str">
        <f t="shared" si="77"/>
        <v>0</v>
      </c>
      <c r="AM285">
        <f t="shared" si="78"/>
        <v>543</v>
      </c>
      <c r="AN285" t="str">
        <f t="shared" si="79"/>
        <v>/0/543</v>
      </c>
      <c r="AP285">
        <f>IF(TIM!O285=TIM!O285,TIM!O285,"")</f>
        <v>0</v>
      </c>
      <c r="AQ285" t="str">
        <f t="shared" si="80"/>
        <v/>
      </c>
      <c r="AR285" t="str">
        <f t="shared" si="81"/>
        <v>0</v>
      </c>
      <c r="AS285" t="str">
        <f t="shared" si="82"/>
        <v>0</v>
      </c>
      <c r="AT285">
        <f t="shared" si="83"/>
        <v>543</v>
      </c>
      <c r="AU285" t="str">
        <f t="shared" si="84"/>
        <v>/0/543</v>
      </c>
    </row>
    <row r="286" spans="22:47">
      <c r="V286" t="str">
        <f>IF(TIM!F286="","",TIM!F286)</f>
        <v/>
      </c>
      <c r="W286" t="str">
        <f t="shared" si="73"/>
        <v/>
      </c>
      <c r="X286">
        <f t="shared" si="74"/>
        <v>0</v>
      </c>
      <c r="AI286">
        <f>IF(TIM!P286=TIM!P286,TIM!P286,"")</f>
        <v>0</v>
      </c>
      <c r="AJ286" t="str">
        <f t="shared" si="75"/>
        <v/>
      </c>
      <c r="AK286" t="str">
        <f t="shared" si="76"/>
        <v>0</v>
      </c>
      <c r="AL286" t="str">
        <f t="shared" si="77"/>
        <v>0</v>
      </c>
      <c r="AM286">
        <f t="shared" si="78"/>
        <v>543</v>
      </c>
      <c r="AN286" t="str">
        <f t="shared" si="79"/>
        <v>/0/543</v>
      </c>
      <c r="AP286">
        <f>IF(TIM!O286=TIM!O286,TIM!O286,"")</f>
        <v>0</v>
      </c>
      <c r="AQ286" t="str">
        <f t="shared" si="80"/>
        <v/>
      </c>
      <c r="AR286" t="str">
        <f t="shared" si="81"/>
        <v>0</v>
      </c>
      <c r="AS286" t="str">
        <f t="shared" si="82"/>
        <v>0</v>
      </c>
      <c r="AT286">
        <f t="shared" si="83"/>
        <v>543</v>
      </c>
      <c r="AU286" t="str">
        <f t="shared" si="84"/>
        <v>/0/543</v>
      </c>
    </row>
    <row r="287" spans="22:47">
      <c r="V287" t="str">
        <f>IF(TIM!F287="","",TIM!F287)</f>
        <v/>
      </c>
      <c r="W287" t="str">
        <f t="shared" si="73"/>
        <v/>
      </c>
      <c r="X287">
        <f t="shared" si="74"/>
        <v>0</v>
      </c>
      <c r="AI287">
        <f>IF(TIM!P287=TIM!P287,TIM!P287,"")</f>
        <v>0</v>
      </c>
      <c r="AJ287" t="str">
        <f t="shared" si="75"/>
        <v/>
      </c>
      <c r="AK287" t="str">
        <f t="shared" si="76"/>
        <v>0</v>
      </c>
      <c r="AL287" t="str">
        <f t="shared" si="77"/>
        <v>0</v>
      </c>
      <c r="AM287">
        <f t="shared" si="78"/>
        <v>543</v>
      </c>
      <c r="AN287" t="str">
        <f t="shared" si="79"/>
        <v>/0/543</v>
      </c>
      <c r="AP287">
        <f>IF(TIM!O287=TIM!O287,TIM!O287,"")</f>
        <v>0</v>
      </c>
      <c r="AQ287" t="str">
        <f t="shared" si="80"/>
        <v/>
      </c>
      <c r="AR287" t="str">
        <f t="shared" si="81"/>
        <v>0</v>
      </c>
      <c r="AS287" t="str">
        <f t="shared" si="82"/>
        <v>0</v>
      </c>
      <c r="AT287">
        <f t="shared" si="83"/>
        <v>543</v>
      </c>
      <c r="AU287" t="str">
        <f t="shared" si="84"/>
        <v>/0/543</v>
      </c>
    </row>
    <row r="288" spans="22:47">
      <c r="V288" t="str">
        <f>IF(TIM!F288="","",TIM!F288)</f>
        <v/>
      </c>
      <c r="W288" t="str">
        <f t="shared" si="73"/>
        <v/>
      </c>
      <c r="X288">
        <f t="shared" si="74"/>
        <v>0</v>
      </c>
      <c r="AI288">
        <f>IF(TIM!P288=TIM!P288,TIM!P288,"")</f>
        <v>0</v>
      </c>
      <c r="AJ288" t="str">
        <f t="shared" si="75"/>
        <v/>
      </c>
      <c r="AK288" t="str">
        <f t="shared" si="76"/>
        <v>0</v>
      </c>
      <c r="AL288" t="str">
        <f t="shared" si="77"/>
        <v>0</v>
      </c>
      <c r="AM288">
        <f t="shared" si="78"/>
        <v>543</v>
      </c>
      <c r="AN288" t="str">
        <f t="shared" si="79"/>
        <v>/0/543</v>
      </c>
      <c r="AP288">
        <f>IF(TIM!O288=TIM!O288,TIM!O288,"")</f>
        <v>0</v>
      </c>
      <c r="AQ288" t="str">
        <f t="shared" si="80"/>
        <v/>
      </c>
      <c r="AR288" t="str">
        <f t="shared" si="81"/>
        <v>0</v>
      </c>
      <c r="AS288" t="str">
        <f t="shared" si="82"/>
        <v>0</v>
      </c>
      <c r="AT288">
        <f t="shared" si="83"/>
        <v>543</v>
      </c>
      <c r="AU288" t="str">
        <f t="shared" si="84"/>
        <v>/0/543</v>
      </c>
    </row>
    <row r="289" spans="22:47">
      <c r="V289" t="str">
        <f>IF(TIM!F289="","",TIM!F289)</f>
        <v/>
      </c>
      <c r="W289" t="str">
        <f t="shared" si="73"/>
        <v/>
      </c>
      <c r="X289">
        <f t="shared" si="74"/>
        <v>0</v>
      </c>
      <c r="AI289">
        <f>IF(TIM!P289=TIM!P289,TIM!P289,"")</f>
        <v>0</v>
      </c>
      <c r="AJ289" t="str">
        <f t="shared" si="75"/>
        <v/>
      </c>
      <c r="AK289" t="str">
        <f t="shared" si="76"/>
        <v>0</v>
      </c>
      <c r="AL289" t="str">
        <f t="shared" si="77"/>
        <v>0</v>
      </c>
      <c r="AM289">
        <f t="shared" si="78"/>
        <v>543</v>
      </c>
      <c r="AN289" t="str">
        <f t="shared" si="79"/>
        <v>/0/543</v>
      </c>
      <c r="AP289">
        <f>IF(TIM!O289=TIM!O289,TIM!O289,"")</f>
        <v>0</v>
      </c>
      <c r="AQ289" t="str">
        <f t="shared" si="80"/>
        <v/>
      </c>
      <c r="AR289" t="str">
        <f t="shared" si="81"/>
        <v>0</v>
      </c>
      <c r="AS289" t="str">
        <f t="shared" si="82"/>
        <v>0</v>
      </c>
      <c r="AT289">
        <f t="shared" si="83"/>
        <v>543</v>
      </c>
      <c r="AU289" t="str">
        <f t="shared" si="84"/>
        <v>/0/543</v>
      </c>
    </row>
    <row r="290" spans="22:47">
      <c r="V290" t="str">
        <f>IF(TIM!F290="","",TIM!F290)</f>
        <v/>
      </c>
      <c r="W290" t="str">
        <f t="shared" si="73"/>
        <v/>
      </c>
      <c r="X290">
        <f t="shared" si="74"/>
        <v>0</v>
      </c>
      <c r="AI290">
        <f>IF(TIM!P290=TIM!P290,TIM!P290,"")</f>
        <v>0</v>
      </c>
      <c r="AJ290" t="str">
        <f t="shared" si="75"/>
        <v/>
      </c>
      <c r="AK290" t="str">
        <f t="shared" si="76"/>
        <v>0</v>
      </c>
      <c r="AL290" t="str">
        <f t="shared" si="77"/>
        <v>0</v>
      </c>
      <c r="AM290">
        <f t="shared" si="78"/>
        <v>543</v>
      </c>
      <c r="AN290" t="str">
        <f t="shared" si="79"/>
        <v>/0/543</v>
      </c>
      <c r="AP290">
        <f>IF(TIM!O290=TIM!O290,TIM!O290,"")</f>
        <v>0</v>
      </c>
      <c r="AQ290" t="str">
        <f t="shared" si="80"/>
        <v/>
      </c>
      <c r="AR290" t="str">
        <f t="shared" si="81"/>
        <v>0</v>
      </c>
      <c r="AS290" t="str">
        <f t="shared" si="82"/>
        <v>0</v>
      </c>
      <c r="AT290">
        <f t="shared" si="83"/>
        <v>543</v>
      </c>
      <c r="AU290" t="str">
        <f t="shared" si="84"/>
        <v>/0/543</v>
      </c>
    </row>
    <row r="291" spans="22:47">
      <c r="V291" t="str">
        <f>IF(TIM!F291="","",TIM!F291)</f>
        <v/>
      </c>
      <c r="W291" t="str">
        <f t="shared" si="73"/>
        <v/>
      </c>
      <c r="X291">
        <f t="shared" si="74"/>
        <v>0</v>
      </c>
      <c r="AI291">
        <f>IF(TIM!P291=TIM!P291,TIM!P291,"")</f>
        <v>0</v>
      </c>
      <c r="AJ291" t="str">
        <f t="shared" si="75"/>
        <v/>
      </c>
      <c r="AK291" t="str">
        <f t="shared" si="76"/>
        <v>0</v>
      </c>
      <c r="AL291" t="str">
        <f t="shared" si="77"/>
        <v>0</v>
      </c>
      <c r="AM291">
        <f t="shared" si="78"/>
        <v>543</v>
      </c>
      <c r="AN291" t="str">
        <f t="shared" si="79"/>
        <v>/0/543</v>
      </c>
      <c r="AP291">
        <f>IF(TIM!O291=TIM!O291,TIM!O291,"")</f>
        <v>0</v>
      </c>
      <c r="AQ291" t="str">
        <f t="shared" si="80"/>
        <v/>
      </c>
      <c r="AR291" t="str">
        <f t="shared" si="81"/>
        <v>0</v>
      </c>
      <c r="AS291" t="str">
        <f t="shared" si="82"/>
        <v>0</v>
      </c>
      <c r="AT291">
        <f t="shared" si="83"/>
        <v>543</v>
      </c>
      <c r="AU291" t="str">
        <f t="shared" si="84"/>
        <v>/0/543</v>
      </c>
    </row>
    <row r="292" spans="22:47">
      <c r="V292" t="str">
        <f>IF(TIM!F292="","",TIM!F292)</f>
        <v/>
      </c>
      <c r="W292" t="str">
        <f t="shared" si="73"/>
        <v/>
      </c>
      <c r="X292">
        <f t="shared" si="74"/>
        <v>0</v>
      </c>
      <c r="AI292">
        <f>IF(TIM!P292=TIM!P292,TIM!P292,"")</f>
        <v>0</v>
      </c>
      <c r="AJ292" t="str">
        <f t="shared" si="75"/>
        <v/>
      </c>
      <c r="AK292" t="str">
        <f t="shared" si="76"/>
        <v>0</v>
      </c>
      <c r="AL292" t="str">
        <f t="shared" si="77"/>
        <v>0</v>
      </c>
      <c r="AM292">
        <f t="shared" si="78"/>
        <v>543</v>
      </c>
      <c r="AN292" t="str">
        <f t="shared" si="79"/>
        <v>/0/543</v>
      </c>
      <c r="AP292">
        <f>IF(TIM!O292=TIM!O292,TIM!O292,"")</f>
        <v>0</v>
      </c>
      <c r="AQ292" t="str">
        <f t="shared" si="80"/>
        <v/>
      </c>
      <c r="AR292" t="str">
        <f t="shared" si="81"/>
        <v>0</v>
      </c>
      <c r="AS292" t="str">
        <f t="shared" si="82"/>
        <v>0</v>
      </c>
      <c r="AT292">
        <f t="shared" si="83"/>
        <v>543</v>
      </c>
      <c r="AU292" t="str">
        <f t="shared" si="84"/>
        <v>/0/543</v>
      </c>
    </row>
    <row r="293" spans="22:47">
      <c r="V293" t="str">
        <f>IF(TIM!F293="","",TIM!F293)</f>
        <v/>
      </c>
      <c r="W293" t="str">
        <f t="shared" si="73"/>
        <v/>
      </c>
      <c r="X293">
        <f t="shared" si="74"/>
        <v>0</v>
      </c>
      <c r="AI293">
        <f>IF(TIM!P293=TIM!P293,TIM!P293,"")</f>
        <v>0</v>
      </c>
      <c r="AJ293" t="str">
        <f t="shared" si="75"/>
        <v/>
      </c>
      <c r="AK293" t="str">
        <f t="shared" si="76"/>
        <v>0</v>
      </c>
      <c r="AL293" t="str">
        <f t="shared" si="77"/>
        <v>0</v>
      </c>
      <c r="AM293">
        <f t="shared" si="78"/>
        <v>543</v>
      </c>
      <c r="AN293" t="str">
        <f t="shared" si="79"/>
        <v>/0/543</v>
      </c>
      <c r="AP293">
        <f>IF(TIM!O293=TIM!O293,TIM!O293,"")</f>
        <v>0</v>
      </c>
      <c r="AQ293" t="str">
        <f t="shared" si="80"/>
        <v/>
      </c>
      <c r="AR293" t="str">
        <f t="shared" si="81"/>
        <v>0</v>
      </c>
      <c r="AS293" t="str">
        <f t="shared" si="82"/>
        <v>0</v>
      </c>
      <c r="AT293">
        <f t="shared" si="83"/>
        <v>543</v>
      </c>
      <c r="AU293" t="str">
        <f t="shared" si="84"/>
        <v>/0/543</v>
      </c>
    </row>
    <row r="294" spans="22:47">
      <c r="V294" t="str">
        <f>IF(TIM!F294="","",TIM!F294)</f>
        <v/>
      </c>
      <c r="W294" t="str">
        <f t="shared" si="73"/>
        <v/>
      </c>
      <c r="X294">
        <f t="shared" si="74"/>
        <v>0</v>
      </c>
      <c r="AI294">
        <f>IF(TIM!P294=TIM!P294,TIM!P294,"")</f>
        <v>0</v>
      </c>
      <c r="AJ294" t="str">
        <f t="shared" si="75"/>
        <v/>
      </c>
      <c r="AK294" t="str">
        <f t="shared" si="76"/>
        <v>0</v>
      </c>
      <c r="AL294" t="str">
        <f t="shared" si="77"/>
        <v>0</v>
      </c>
      <c r="AM294">
        <f t="shared" si="78"/>
        <v>543</v>
      </c>
      <c r="AN294" t="str">
        <f t="shared" si="79"/>
        <v>/0/543</v>
      </c>
      <c r="AP294">
        <f>IF(TIM!O294=TIM!O294,TIM!O294,"")</f>
        <v>0</v>
      </c>
      <c r="AQ294" t="str">
        <f t="shared" si="80"/>
        <v/>
      </c>
      <c r="AR294" t="str">
        <f t="shared" si="81"/>
        <v>0</v>
      </c>
      <c r="AS294" t="str">
        <f t="shared" si="82"/>
        <v>0</v>
      </c>
      <c r="AT294">
        <f t="shared" si="83"/>
        <v>543</v>
      </c>
      <c r="AU294" t="str">
        <f t="shared" si="84"/>
        <v>/0/543</v>
      </c>
    </row>
    <row r="295" spans="22:47">
      <c r="V295" t="str">
        <f>IF(TIM!F295="","",TIM!F295)</f>
        <v/>
      </c>
      <c r="W295" t="str">
        <f t="shared" si="73"/>
        <v/>
      </c>
      <c r="X295">
        <f t="shared" si="74"/>
        <v>0</v>
      </c>
      <c r="AI295">
        <f>IF(TIM!P295=TIM!P295,TIM!P295,"")</f>
        <v>0</v>
      </c>
      <c r="AJ295" t="str">
        <f t="shared" si="75"/>
        <v/>
      </c>
      <c r="AK295" t="str">
        <f t="shared" si="76"/>
        <v>0</v>
      </c>
      <c r="AL295" t="str">
        <f t="shared" si="77"/>
        <v>0</v>
      </c>
      <c r="AM295">
        <f t="shared" si="78"/>
        <v>543</v>
      </c>
      <c r="AN295" t="str">
        <f t="shared" si="79"/>
        <v>/0/543</v>
      </c>
      <c r="AP295">
        <f>IF(TIM!O295=TIM!O295,TIM!O295,"")</f>
        <v>0</v>
      </c>
      <c r="AQ295" t="str">
        <f t="shared" si="80"/>
        <v/>
      </c>
      <c r="AR295" t="str">
        <f t="shared" si="81"/>
        <v>0</v>
      </c>
      <c r="AS295" t="str">
        <f t="shared" si="82"/>
        <v>0</v>
      </c>
      <c r="AT295">
        <f t="shared" si="83"/>
        <v>543</v>
      </c>
      <c r="AU295" t="str">
        <f t="shared" si="84"/>
        <v>/0/543</v>
      </c>
    </row>
    <row r="296" spans="22:47">
      <c r="V296" t="str">
        <f>IF(TIM!F296="","",TIM!F296)</f>
        <v/>
      </c>
      <c r="W296" t="str">
        <f t="shared" si="73"/>
        <v/>
      </c>
      <c r="X296">
        <f t="shared" si="74"/>
        <v>0</v>
      </c>
      <c r="AI296">
        <f>IF(TIM!P296=TIM!P296,TIM!P296,"")</f>
        <v>0</v>
      </c>
      <c r="AJ296" t="str">
        <f t="shared" si="75"/>
        <v/>
      </c>
      <c r="AK296" t="str">
        <f t="shared" si="76"/>
        <v>0</v>
      </c>
      <c r="AL296" t="str">
        <f t="shared" si="77"/>
        <v>0</v>
      </c>
      <c r="AM296">
        <f t="shared" si="78"/>
        <v>543</v>
      </c>
      <c r="AN296" t="str">
        <f t="shared" si="79"/>
        <v>/0/543</v>
      </c>
      <c r="AP296">
        <f>IF(TIM!O296=TIM!O296,TIM!O296,"")</f>
        <v>0</v>
      </c>
      <c r="AQ296" t="str">
        <f t="shared" si="80"/>
        <v/>
      </c>
      <c r="AR296" t="str">
        <f t="shared" si="81"/>
        <v>0</v>
      </c>
      <c r="AS296" t="str">
        <f t="shared" si="82"/>
        <v>0</v>
      </c>
      <c r="AT296">
        <f t="shared" si="83"/>
        <v>543</v>
      </c>
      <c r="AU296" t="str">
        <f t="shared" si="84"/>
        <v>/0/543</v>
      </c>
    </row>
    <row r="297" spans="22:47">
      <c r="V297" t="str">
        <f>IF(TIM!F297="","",TIM!F297)</f>
        <v/>
      </c>
      <c r="W297" t="str">
        <f t="shared" si="73"/>
        <v/>
      </c>
      <c r="X297">
        <f t="shared" si="74"/>
        <v>0</v>
      </c>
      <c r="AI297">
        <f>IF(TIM!P297=TIM!P297,TIM!P297,"")</f>
        <v>0</v>
      </c>
      <c r="AJ297" t="str">
        <f t="shared" si="75"/>
        <v/>
      </c>
      <c r="AK297" t="str">
        <f t="shared" si="76"/>
        <v>0</v>
      </c>
      <c r="AL297" t="str">
        <f t="shared" si="77"/>
        <v>0</v>
      </c>
      <c r="AM297">
        <f t="shared" si="78"/>
        <v>543</v>
      </c>
      <c r="AN297" t="str">
        <f t="shared" si="79"/>
        <v>/0/543</v>
      </c>
      <c r="AP297">
        <f>IF(TIM!O297=TIM!O297,TIM!O297,"")</f>
        <v>0</v>
      </c>
      <c r="AQ297" t="str">
        <f t="shared" si="80"/>
        <v/>
      </c>
      <c r="AR297" t="str">
        <f t="shared" si="81"/>
        <v>0</v>
      </c>
      <c r="AS297" t="str">
        <f t="shared" si="82"/>
        <v>0</v>
      </c>
      <c r="AT297">
        <f t="shared" si="83"/>
        <v>543</v>
      </c>
      <c r="AU297" t="str">
        <f t="shared" si="84"/>
        <v>/0/543</v>
      </c>
    </row>
    <row r="298" spans="22:47">
      <c r="V298" t="str">
        <f>IF(TIM!F298="","",TIM!F298)</f>
        <v/>
      </c>
      <c r="W298" t="str">
        <f t="shared" si="73"/>
        <v/>
      </c>
      <c r="X298">
        <f t="shared" si="74"/>
        <v>0</v>
      </c>
      <c r="AI298">
        <f>IF(TIM!P298=TIM!P298,TIM!P298,"")</f>
        <v>0</v>
      </c>
      <c r="AJ298" t="str">
        <f t="shared" si="75"/>
        <v/>
      </c>
      <c r="AK298" t="str">
        <f t="shared" si="76"/>
        <v>0</v>
      </c>
      <c r="AL298" t="str">
        <f t="shared" si="77"/>
        <v>0</v>
      </c>
      <c r="AM298">
        <f t="shared" si="78"/>
        <v>543</v>
      </c>
      <c r="AN298" t="str">
        <f t="shared" si="79"/>
        <v>/0/543</v>
      </c>
      <c r="AP298">
        <f>IF(TIM!O298=TIM!O298,TIM!O298,"")</f>
        <v>0</v>
      </c>
      <c r="AQ298" t="str">
        <f t="shared" si="80"/>
        <v/>
      </c>
      <c r="AR298" t="str">
        <f t="shared" si="81"/>
        <v>0</v>
      </c>
      <c r="AS298" t="str">
        <f t="shared" si="82"/>
        <v>0</v>
      </c>
      <c r="AT298">
        <f t="shared" si="83"/>
        <v>543</v>
      </c>
      <c r="AU298" t="str">
        <f t="shared" si="84"/>
        <v>/0/543</v>
      </c>
    </row>
    <row r="299" spans="22:47">
      <c r="V299" t="str">
        <f>IF(TIM!F299="","",TIM!F299)</f>
        <v/>
      </c>
      <c r="W299" t="str">
        <f t="shared" si="73"/>
        <v/>
      </c>
      <c r="X299">
        <f t="shared" si="74"/>
        <v>0</v>
      </c>
      <c r="AI299">
        <f>IF(TIM!P299=TIM!P299,TIM!P299,"")</f>
        <v>0</v>
      </c>
      <c r="AJ299" t="str">
        <f t="shared" si="75"/>
        <v/>
      </c>
      <c r="AK299" t="str">
        <f t="shared" si="76"/>
        <v>0</v>
      </c>
      <c r="AL299" t="str">
        <f t="shared" si="77"/>
        <v>0</v>
      </c>
      <c r="AM299">
        <f t="shared" si="78"/>
        <v>543</v>
      </c>
      <c r="AN299" t="str">
        <f t="shared" si="79"/>
        <v>/0/543</v>
      </c>
      <c r="AP299">
        <f>IF(TIM!O299=TIM!O299,TIM!O299,"")</f>
        <v>0</v>
      </c>
      <c r="AQ299" t="str">
        <f t="shared" si="80"/>
        <v/>
      </c>
      <c r="AR299" t="str">
        <f t="shared" si="81"/>
        <v>0</v>
      </c>
      <c r="AS299" t="str">
        <f t="shared" si="82"/>
        <v>0</v>
      </c>
      <c r="AT299">
        <f t="shared" si="83"/>
        <v>543</v>
      </c>
      <c r="AU299" t="str">
        <f t="shared" si="84"/>
        <v>/0/543</v>
      </c>
    </row>
    <row r="300" spans="22:47">
      <c r="V300" t="str">
        <f>IF(TIM!F300="","",TIM!F300)</f>
        <v/>
      </c>
      <c r="W300" t="str">
        <f t="shared" si="73"/>
        <v/>
      </c>
      <c r="X300">
        <f t="shared" si="74"/>
        <v>0</v>
      </c>
      <c r="AI300">
        <f>IF(TIM!P300=TIM!P300,TIM!P300,"")</f>
        <v>0</v>
      </c>
      <c r="AJ300" t="str">
        <f t="shared" si="75"/>
        <v/>
      </c>
      <c r="AK300" t="str">
        <f t="shared" si="76"/>
        <v>0</v>
      </c>
      <c r="AL300" t="str">
        <f t="shared" si="77"/>
        <v>0</v>
      </c>
      <c r="AM300">
        <f t="shared" si="78"/>
        <v>543</v>
      </c>
      <c r="AN300" t="str">
        <f t="shared" si="79"/>
        <v>/0/543</v>
      </c>
      <c r="AP300">
        <f>IF(TIM!O300=TIM!O300,TIM!O300,"")</f>
        <v>0</v>
      </c>
      <c r="AQ300" t="str">
        <f t="shared" si="80"/>
        <v/>
      </c>
      <c r="AR300" t="str">
        <f t="shared" si="81"/>
        <v>0</v>
      </c>
      <c r="AS300" t="str">
        <f t="shared" si="82"/>
        <v>0</v>
      </c>
      <c r="AT300">
        <f t="shared" si="83"/>
        <v>543</v>
      </c>
      <c r="AU300" t="str">
        <f t="shared" si="84"/>
        <v>/0/543</v>
      </c>
    </row>
    <row r="301" spans="22:47">
      <c r="V301" t="str">
        <f>IF(TIM!F301="","",TIM!F301)</f>
        <v/>
      </c>
      <c r="W301" t="str">
        <f t="shared" si="73"/>
        <v/>
      </c>
      <c r="X301">
        <f t="shared" si="74"/>
        <v>0</v>
      </c>
      <c r="AI301">
        <f>IF(TIM!P301=TIM!P301,TIM!P301,"")</f>
        <v>0</v>
      </c>
      <c r="AJ301" t="str">
        <f t="shared" si="75"/>
        <v/>
      </c>
      <c r="AK301" t="str">
        <f t="shared" si="76"/>
        <v>0</v>
      </c>
      <c r="AL301" t="str">
        <f t="shared" si="77"/>
        <v>0</v>
      </c>
      <c r="AM301">
        <f t="shared" si="78"/>
        <v>543</v>
      </c>
      <c r="AN301" t="str">
        <f t="shared" si="79"/>
        <v>/0/543</v>
      </c>
      <c r="AP301">
        <f>IF(TIM!O301=TIM!O301,TIM!O301,"")</f>
        <v>0</v>
      </c>
      <c r="AQ301" t="str">
        <f t="shared" si="80"/>
        <v/>
      </c>
      <c r="AR301" t="str">
        <f t="shared" si="81"/>
        <v>0</v>
      </c>
      <c r="AS301" t="str">
        <f t="shared" si="82"/>
        <v>0</v>
      </c>
      <c r="AT301">
        <f t="shared" si="83"/>
        <v>543</v>
      </c>
      <c r="AU301" t="str">
        <f t="shared" si="84"/>
        <v>/0/543</v>
      </c>
    </row>
    <row r="302" spans="22:47">
      <c r="V302" t="str">
        <f>IF(TIM!F302="","",TIM!F302)</f>
        <v/>
      </c>
      <c r="W302" t="str">
        <f t="shared" si="73"/>
        <v/>
      </c>
      <c r="X302">
        <f t="shared" si="74"/>
        <v>0</v>
      </c>
      <c r="AI302">
        <f>IF(TIM!P302=TIM!P302,TIM!P302,"")</f>
        <v>0</v>
      </c>
      <c r="AJ302" t="str">
        <f t="shared" si="75"/>
        <v/>
      </c>
      <c r="AK302" t="str">
        <f t="shared" si="76"/>
        <v>0</v>
      </c>
      <c r="AL302" t="str">
        <f t="shared" si="77"/>
        <v>0</v>
      </c>
      <c r="AM302">
        <f t="shared" si="78"/>
        <v>543</v>
      </c>
      <c r="AN302" t="str">
        <f t="shared" si="79"/>
        <v>/0/543</v>
      </c>
      <c r="AP302">
        <f>IF(TIM!O302=TIM!O302,TIM!O302,"")</f>
        <v>0</v>
      </c>
      <c r="AQ302" t="str">
        <f t="shared" si="80"/>
        <v/>
      </c>
      <c r="AR302" t="str">
        <f t="shared" si="81"/>
        <v>0</v>
      </c>
      <c r="AS302" t="str">
        <f t="shared" si="82"/>
        <v>0</v>
      </c>
      <c r="AT302">
        <f t="shared" si="83"/>
        <v>543</v>
      </c>
      <c r="AU302" t="str">
        <f t="shared" si="84"/>
        <v>/0/543</v>
      </c>
    </row>
    <row r="303" spans="22:47">
      <c r="V303" t="str">
        <f>IF(TIM!F303="","",TIM!F303)</f>
        <v/>
      </c>
      <c r="W303" t="str">
        <f t="shared" si="73"/>
        <v/>
      </c>
      <c r="X303">
        <f t="shared" si="74"/>
        <v>0</v>
      </c>
      <c r="AI303">
        <f>IF(TIM!P303=TIM!P303,TIM!P303,"")</f>
        <v>0</v>
      </c>
      <c r="AJ303" t="str">
        <f t="shared" si="75"/>
        <v/>
      </c>
      <c r="AK303" t="str">
        <f t="shared" si="76"/>
        <v>0</v>
      </c>
      <c r="AL303" t="str">
        <f t="shared" si="77"/>
        <v>0</v>
      </c>
      <c r="AM303">
        <f t="shared" si="78"/>
        <v>543</v>
      </c>
      <c r="AN303" t="str">
        <f t="shared" si="79"/>
        <v>/0/543</v>
      </c>
      <c r="AP303">
        <f>IF(TIM!O303=TIM!O303,TIM!O303,"")</f>
        <v>0</v>
      </c>
      <c r="AQ303" t="str">
        <f t="shared" si="80"/>
        <v/>
      </c>
      <c r="AR303" t="str">
        <f t="shared" si="81"/>
        <v>0</v>
      </c>
      <c r="AS303" t="str">
        <f t="shared" si="82"/>
        <v>0</v>
      </c>
      <c r="AT303">
        <f t="shared" si="83"/>
        <v>543</v>
      </c>
      <c r="AU303" t="str">
        <f t="shared" si="84"/>
        <v>/0/543</v>
      </c>
    </row>
    <row r="304" spans="22:47">
      <c r="V304" t="str">
        <f>IF(TIM!F304="","",TIM!F304)</f>
        <v/>
      </c>
      <c r="W304" t="str">
        <f t="shared" si="73"/>
        <v/>
      </c>
      <c r="X304">
        <f t="shared" si="74"/>
        <v>0</v>
      </c>
      <c r="AI304">
        <f>IF(TIM!P304=TIM!P304,TIM!P304,"")</f>
        <v>0</v>
      </c>
      <c r="AJ304" t="str">
        <f t="shared" si="75"/>
        <v/>
      </c>
      <c r="AK304" t="str">
        <f t="shared" si="76"/>
        <v>0</v>
      </c>
      <c r="AL304" t="str">
        <f t="shared" si="77"/>
        <v>0</v>
      </c>
      <c r="AM304">
        <f t="shared" si="78"/>
        <v>543</v>
      </c>
      <c r="AN304" t="str">
        <f t="shared" si="79"/>
        <v>/0/543</v>
      </c>
      <c r="AP304">
        <f>IF(TIM!O304=TIM!O304,TIM!O304,"")</f>
        <v>0</v>
      </c>
      <c r="AQ304" t="str">
        <f t="shared" si="80"/>
        <v/>
      </c>
      <c r="AR304" t="str">
        <f t="shared" si="81"/>
        <v>0</v>
      </c>
      <c r="AS304" t="str">
        <f t="shared" si="82"/>
        <v>0</v>
      </c>
      <c r="AT304">
        <f t="shared" si="83"/>
        <v>543</v>
      </c>
      <c r="AU304" t="str">
        <f t="shared" si="84"/>
        <v>/0/543</v>
      </c>
    </row>
    <row r="305" spans="22:47">
      <c r="V305" t="str">
        <f>IF(TIM!F305="","",TIM!F305)</f>
        <v/>
      </c>
      <c r="W305" t="str">
        <f t="shared" si="73"/>
        <v/>
      </c>
      <c r="X305">
        <f t="shared" si="74"/>
        <v>0</v>
      </c>
      <c r="AI305">
        <f>IF(TIM!P305=TIM!P305,TIM!P305,"")</f>
        <v>0</v>
      </c>
      <c r="AJ305" t="str">
        <f t="shared" si="75"/>
        <v/>
      </c>
      <c r="AK305" t="str">
        <f t="shared" si="76"/>
        <v>0</v>
      </c>
      <c r="AL305" t="str">
        <f t="shared" si="77"/>
        <v>0</v>
      </c>
      <c r="AM305">
        <f t="shared" si="78"/>
        <v>543</v>
      </c>
      <c r="AN305" t="str">
        <f t="shared" si="79"/>
        <v>/0/543</v>
      </c>
      <c r="AP305">
        <f>IF(TIM!O305=TIM!O305,TIM!O305,"")</f>
        <v>0</v>
      </c>
      <c r="AQ305" t="str">
        <f t="shared" si="80"/>
        <v/>
      </c>
      <c r="AR305" t="str">
        <f t="shared" si="81"/>
        <v>0</v>
      </c>
      <c r="AS305" t="str">
        <f t="shared" si="82"/>
        <v>0</v>
      </c>
      <c r="AT305">
        <f t="shared" si="83"/>
        <v>543</v>
      </c>
      <c r="AU305" t="str">
        <f t="shared" si="84"/>
        <v>/0/543</v>
      </c>
    </row>
    <row r="306" spans="22:47">
      <c r="V306" t="str">
        <f>IF(TIM!F306="","",TIM!F306)</f>
        <v/>
      </c>
      <c r="W306" t="str">
        <f t="shared" si="73"/>
        <v/>
      </c>
      <c r="X306">
        <f t="shared" si="74"/>
        <v>0</v>
      </c>
      <c r="AI306">
        <f>IF(TIM!P306=TIM!P306,TIM!P306,"")</f>
        <v>0</v>
      </c>
      <c r="AJ306" t="str">
        <f t="shared" si="75"/>
        <v/>
      </c>
      <c r="AK306" t="str">
        <f t="shared" si="76"/>
        <v>0</v>
      </c>
      <c r="AL306" t="str">
        <f t="shared" si="77"/>
        <v>0</v>
      </c>
      <c r="AM306">
        <f t="shared" si="78"/>
        <v>543</v>
      </c>
      <c r="AN306" t="str">
        <f t="shared" si="79"/>
        <v>/0/543</v>
      </c>
      <c r="AP306">
        <f>IF(TIM!O306=TIM!O306,TIM!O306,"")</f>
        <v>0</v>
      </c>
      <c r="AQ306" t="str">
        <f t="shared" si="80"/>
        <v/>
      </c>
      <c r="AR306" t="str">
        <f t="shared" si="81"/>
        <v>0</v>
      </c>
      <c r="AS306" t="str">
        <f t="shared" si="82"/>
        <v>0</v>
      </c>
      <c r="AT306">
        <f t="shared" si="83"/>
        <v>543</v>
      </c>
      <c r="AU306" t="str">
        <f t="shared" si="84"/>
        <v>/0/543</v>
      </c>
    </row>
    <row r="307" spans="22:47">
      <c r="V307" t="str">
        <f>IF(TIM!F307="","",TIM!F307)</f>
        <v/>
      </c>
      <c r="W307" t="str">
        <f t="shared" si="73"/>
        <v/>
      </c>
      <c r="X307">
        <f t="shared" si="74"/>
        <v>0</v>
      </c>
      <c r="AI307">
        <f>IF(TIM!P307=TIM!P307,TIM!P307,"")</f>
        <v>0</v>
      </c>
      <c r="AJ307" t="str">
        <f t="shared" si="75"/>
        <v/>
      </c>
      <c r="AK307" t="str">
        <f t="shared" si="76"/>
        <v>0</v>
      </c>
      <c r="AL307" t="str">
        <f t="shared" si="77"/>
        <v>0</v>
      </c>
      <c r="AM307">
        <f t="shared" si="78"/>
        <v>543</v>
      </c>
      <c r="AN307" t="str">
        <f t="shared" si="79"/>
        <v>/0/543</v>
      </c>
      <c r="AP307">
        <f>IF(TIM!O307=TIM!O307,TIM!O307,"")</f>
        <v>0</v>
      </c>
      <c r="AQ307" t="str">
        <f t="shared" si="80"/>
        <v/>
      </c>
      <c r="AR307" t="str">
        <f t="shared" si="81"/>
        <v>0</v>
      </c>
      <c r="AS307" t="str">
        <f t="shared" si="82"/>
        <v>0</v>
      </c>
      <c r="AT307">
        <f t="shared" si="83"/>
        <v>543</v>
      </c>
      <c r="AU307" t="str">
        <f t="shared" si="84"/>
        <v>/0/543</v>
      </c>
    </row>
    <row r="308" spans="22:47">
      <c r="V308" t="str">
        <f>IF(TIM!F308="","",TIM!F308)</f>
        <v/>
      </c>
      <c r="W308" t="str">
        <f t="shared" si="73"/>
        <v/>
      </c>
      <c r="X308">
        <f t="shared" si="74"/>
        <v>0</v>
      </c>
      <c r="AI308">
        <f>IF(TIM!P308=TIM!P308,TIM!P308,"")</f>
        <v>0</v>
      </c>
      <c r="AJ308" t="str">
        <f t="shared" si="75"/>
        <v/>
      </c>
      <c r="AK308" t="str">
        <f t="shared" si="76"/>
        <v>0</v>
      </c>
      <c r="AL308" t="str">
        <f t="shared" si="77"/>
        <v>0</v>
      </c>
      <c r="AM308">
        <f t="shared" si="78"/>
        <v>543</v>
      </c>
      <c r="AN308" t="str">
        <f t="shared" si="79"/>
        <v>/0/543</v>
      </c>
      <c r="AP308">
        <f>IF(TIM!O308=TIM!O308,TIM!O308,"")</f>
        <v>0</v>
      </c>
      <c r="AQ308" t="str">
        <f t="shared" si="80"/>
        <v/>
      </c>
      <c r="AR308" t="str">
        <f t="shared" si="81"/>
        <v>0</v>
      </c>
      <c r="AS308" t="str">
        <f t="shared" si="82"/>
        <v>0</v>
      </c>
      <c r="AT308">
        <f t="shared" si="83"/>
        <v>543</v>
      </c>
      <c r="AU308" t="str">
        <f t="shared" si="84"/>
        <v>/0/543</v>
      </c>
    </row>
    <row r="309" spans="22:47">
      <c r="V309" t="str">
        <f>IF(TIM!F309="","",TIM!F309)</f>
        <v/>
      </c>
      <c r="W309" t="str">
        <f t="shared" si="73"/>
        <v/>
      </c>
      <c r="X309">
        <f t="shared" si="74"/>
        <v>0</v>
      </c>
      <c r="AI309">
        <f>IF(TIM!P309=TIM!P309,TIM!P309,"")</f>
        <v>0</v>
      </c>
      <c r="AJ309" t="str">
        <f t="shared" si="75"/>
        <v/>
      </c>
      <c r="AK309" t="str">
        <f t="shared" si="76"/>
        <v>0</v>
      </c>
      <c r="AL309" t="str">
        <f t="shared" si="77"/>
        <v>0</v>
      </c>
      <c r="AM309">
        <f t="shared" si="78"/>
        <v>543</v>
      </c>
      <c r="AN309" t="str">
        <f t="shared" si="79"/>
        <v>/0/543</v>
      </c>
      <c r="AP309">
        <f>IF(TIM!O309=TIM!O309,TIM!O309,"")</f>
        <v>0</v>
      </c>
      <c r="AQ309" t="str">
        <f t="shared" si="80"/>
        <v/>
      </c>
      <c r="AR309" t="str">
        <f t="shared" si="81"/>
        <v>0</v>
      </c>
      <c r="AS309" t="str">
        <f t="shared" si="82"/>
        <v>0</v>
      </c>
      <c r="AT309">
        <f t="shared" si="83"/>
        <v>543</v>
      </c>
      <c r="AU309" t="str">
        <f t="shared" si="84"/>
        <v>/0/543</v>
      </c>
    </row>
    <row r="310" spans="22:47">
      <c r="V310" t="str">
        <f>IF(TIM!F310="","",TIM!F310)</f>
        <v/>
      </c>
      <c r="W310" t="str">
        <f t="shared" si="73"/>
        <v/>
      </c>
      <c r="X310">
        <f t="shared" si="74"/>
        <v>0</v>
      </c>
      <c r="AI310">
        <f>IF(TIM!P310=TIM!P310,TIM!P310,"")</f>
        <v>0</v>
      </c>
      <c r="AJ310" t="str">
        <f t="shared" si="75"/>
        <v/>
      </c>
      <c r="AK310" t="str">
        <f t="shared" si="76"/>
        <v>0</v>
      </c>
      <c r="AL310" t="str">
        <f t="shared" si="77"/>
        <v>0</v>
      </c>
      <c r="AM310">
        <f t="shared" si="78"/>
        <v>543</v>
      </c>
      <c r="AN310" t="str">
        <f t="shared" si="79"/>
        <v>/0/543</v>
      </c>
      <c r="AP310">
        <f>IF(TIM!O310=TIM!O310,TIM!O310,"")</f>
        <v>0</v>
      </c>
      <c r="AQ310" t="str">
        <f t="shared" si="80"/>
        <v/>
      </c>
      <c r="AR310" t="str">
        <f t="shared" si="81"/>
        <v>0</v>
      </c>
      <c r="AS310" t="str">
        <f t="shared" si="82"/>
        <v>0</v>
      </c>
      <c r="AT310">
        <f t="shared" si="83"/>
        <v>543</v>
      </c>
      <c r="AU310" t="str">
        <f t="shared" si="84"/>
        <v>/0/543</v>
      </c>
    </row>
    <row r="311" spans="22:47">
      <c r="V311" t="str">
        <f>IF(TIM!F311="","",TIM!F311)</f>
        <v/>
      </c>
      <c r="W311" t="str">
        <f t="shared" si="73"/>
        <v/>
      </c>
      <c r="X311">
        <f t="shared" si="74"/>
        <v>0</v>
      </c>
      <c r="AI311">
        <f>IF(TIM!P311=TIM!P311,TIM!P311,"")</f>
        <v>0</v>
      </c>
      <c r="AJ311" t="str">
        <f t="shared" si="75"/>
        <v/>
      </c>
      <c r="AK311" t="str">
        <f t="shared" si="76"/>
        <v>0</v>
      </c>
      <c r="AL311" t="str">
        <f t="shared" si="77"/>
        <v>0</v>
      </c>
      <c r="AM311">
        <f t="shared" si="78"/>
        <v>543</v>
      </c>
      <c r="AN311" t="str">
        <f t="shared" si="79"/>
        <v>/0/543</v>
      </c>
      <c r="AP311">
        <f>IF(TIM!O311=TIM!O311,TIM!O311,"")</f>
        <v>0</v>
      </c>
      <c r="AQ311" t="str">
        <f t="shared" si="80"/>
        <v/>
      </c>
      <c r="AR311" t="str">
        <f t="shared" si="81"/>
        <v>0</v>
      </c>
      <c r="AS311" t="str">
        <f t="shared" si="82"/>
        <v>0</v>
      </c>
      <c r="AT311">
        <f t="shared" si="83"/>
        <v>543</v>
      </c>
      <c r="AU311" t="str">
        <f t="shared" si="84"/>
        <v>/0/543</v>
      </c>
    </row>
    <row r="312" spans="22:47">
      <c r="V312" t="str">
        <f>IF(TIM!F312="","",TIM!F312)</f>
        <v/>
      </c>
      <c r="W312" t="str">
        <f t="shared" si="73"/>
        <v/>
      </c>
      <c r="X312">
        <f t="shared" si="74"/>
        <v>0</v>
      </c>
      <c r="AI312">
        <f>IF(TIM!P312=TIM!P312,TIM!P312,"")</f>
        <v>0</v>
      </c>
      <c r="AJ312" t="str">
        <f t="shared" si="75"/>
        <v/>
      </c>
      <c r="AK312" t="str">
        <f t="shared" si="76"/>
        <v>0</v>
      </c>
      <c r="AL312" t="str">
        <f t="shared" si="77"/>
        <v>0</v>
      </c>
      <c r="AM312">
        <f t="shared" si="78"/>
        <v>543</v>
      </c>
      <c r="AN312" t="str">
        <f t="shared" si="79"/>
        <v>/0/543</v>
      </c>
      <c r="AP312">
        <f>IF(TIM!O312=TIM!O312,TIM!O312,"")</f>
        <v>0</v>
      </c>
      <c r="AQ312" t="str">
        <f t="shared" si="80"/>
        <v/>
      </c>
      <c r="AR312" t="str">
        <f t="shared" si="81"/>
        <v>0</v>
      </c>
      <c r="AS312" t="str">
        <f t="shared" si="82"/>
        <v>0</v>
      </c>
      <c r="AT312">
        <f t="shared" si="83"/>
        <v>543</v>
      </c>
      <c r="AU312" t="str">
        <f t="shared" si="84"/>
        <v>/0/543</v>
      </c>
    </row>
    <row r="313" spans="22:47">
      <c r="V313" t="str">
        <f>IF(TIM!F313="","",TIM!F313)</f>
        <v/>
      </c>
      <c r="W313" t="str">
        <f t="shared" si="73"/>
        <v/>
      </c>
      <c r="X313">
        <f t="shared" si="74"/>
        <v>0</v>
      </c>
      <c r="AI313">
        <f>IF(TIM!P313=TIM!P313,TIM!P313,"")</f>
        <v>0</v>
      </c>
      <c r="AJ313" t="str">
        <f t="shared" si="75"/>
        <v/>
      </c>
      <c r="AK313" t="str">
        <f t="shared" si="76"/>
        <v>0</v>
      </c>
      <c r="AL313" t="str">
        <f t="shared" si="77"/>
        <v>0</v>
      </c>
      <c r="AM313">
        <f t="shared" si="78"/>
        <v>543</v>
      </c>
      <c r="AN313" t="str">
        <f t="shared" si="79"/>
        <v>/0/543</v>
      </c>
      <c r="AP313">
        <f>IF(TIM!O313=TIM!O313,TIM!O313,"")</f>
        <v>0</v>
      </c>
      <c r="AQ313" t="str">
        <f t="shared" si="80"/>
        <v/>
      </c>
      <c r="AR313" t="str">
        <f t="shared" si="81"/>
        <v>0</v>
      </c>
      <c r="AS313" t="str">
        <f t="shared" si="82"/>
        <v>0</v>
      </c>
      <c r="AT313">
        <f t="shared" si="83"/>
        <v>543</v>
      </c>
      <c r="AU313" t="str">
        <f t="shared" si="84"/>
        <v>/0/543</v>
      </c>
    </row>
    <row r="314" spans="22:47">
      <c r="V314" t="str">
        <f>IF(TIM!F314="","",TIM!F314)</f>
        <v/>
      </c>
      <c r="W314" t="str">
        <f t="shared" si="73"/>
        <v/>
      </c>
      <c r="X314">
        <f t="shared" si="74"/>
        <v>0</v>
      </c>
      <c r="AI314">
        <f>IF(TIM!P314=TIM!P314,TIM!P314,"")</f>
        <v>0</v>
      </c>
      <c r="AJ314" t="str">
        <f t="shared" si="75"/>
        <v/>
      </c>
      <c r="AK314" t="str">
        <f t="shared" si="76"/>
        <v>0</v>
      </c>
      <c r="AL314" t="str">
        <f t="shared" si="77"/>
        <v>0</v>
      </c>
      <c r="AM314">
        <f t="shared" si="78"/>
        <v>543</v>
      </c>
      <c r="AN314" t="str">
        <f t="shared" si="79"/>
        <v>/0/543</v>
      </c>
      <c r="AP314">
        <f>IF(TIM!O314=TIM!O314,TIM!O314,"")</f>
        <v>0</v>
      </c>
      <c r="AQ314" t="str">
        <f t="shared" si="80"/>
        <v/>
      </c>
      <c r="AR314" t="str">
        <f t="shared" si="81"/>
        <v>0</v>
      </c>
      <c r="AS314" t="str">
        <f t="shared" si="82"/>
        <v>0</v>
      </c>
      <c r="AT314">
        <f t="shared" si="83"/>
        <v>543</v>
      </c>
      <c r="AU314" t="str">
        <f t="shared" si="84"/>
        <v>/0/543</v>
      </c>
    </row>
    <row r="315" spans="22:47">
      <c r="V315" t="str">
        <f>IF(TIM!F315="","",TIM!F315)</f>
        <v/>
      </c>
      <c r="W315" t="str">
        <f t="shared" si="73"/>
        <v/>
      </c>
      <c r="X315">
        <f t="shared" si="74"/>
        <v>0</v>
      </c>
      <c r="AI315">
        <f>IF(TIM!P315=TIM!P315,TIM!P315,"")</f>
        <v>0</v>
      </c>
      <c r="AJ315" t="str">
        <f t="shared" si="75"/>
        <v/>
      </c>
      <c r="AK315" t="str">
        <f t="shared" si="76"/>
        <v>0</v>
      </c>
      <c r="AL315" t="str">
        <f t="shared" si="77"/>
        <v>0</v>
      </c>
      <c r="AM315">
        <f t="shared" si="78"/>
        <v>543</v>
      </c>
      <c r="AN315" t="str">
        <f t="shared" si="79"/>
        <v>/0/543</v>
      </c>
      <c r="AP315">
        <f>IF(TIM!O315=TIM!O315,TIM!O315,"")</f>
        <v>0</v>
      </c>
      <c r="AQ315" t="str">
        <f t="shared" si="80"/>
        <v/>
      </c>
      <c r="AR315" t="str">
        <f t="shared" si="81"/>
        <v>0</v>
      </c>
      <c r="AS315" t="str">
        <f t="shared" si="82"/>
        <v>0</v>
      </c>
      <c r="AT315">
        <f t="shared" si="83"/>
        <v>543</v>
      </c>
      <c r="AU315" t="str">
        <f t="shared" si="84"/>
        <v>/0/543</v>
      </c>
    </row>
    <row r="316" spans="22:47">
      <c r="V316" t="str">
        <f>IF(TIM!F316="","",TIM!F316)</f>
        <v/>
      </c>
      <c r="W316" t="str">
        <f t="shared" si="73"/>
        <v/>
      </c>
      <c r="X316">
        <f t="shared" si="74"/>
        <v>0</v>
      </c>
      <c r="AI316">
        <f>IF(TIM!P316=TIM!P316,TIM!P316,"")</f>
        <v>0</v>
      </c>
      <c r="AJ316" t="str">
        <f t="shared" si="75"/>
        <v/>
      </c>
      <c r="AK316" t="str">
        <f t="shared" si="76"/>
        <v>0</v>
      </c>
      <c r="AL316" t="str">
        <f t="shared" si="77"/>
        <v>0</v>
      </c>
      <c r="AM316">
        <f t="shared" si="78"/>
        <v>543</v>
      </c>
      <c r="AN316" t="str">
        <f t="shared" si="79"/>
        <v>/0/543</v>
      </c>
      <c r="AP316">
        <f>IF(TIM!O316=TIM!O316,TIM!O316,"")</f>
        <v>0</v>
      </c>
      <c r="AQ316" t="str">
        <f t="shared" si="80"/>
        <v/>
      </c>
      <c r="AR316" t="str">
        <f t="shared" si="81"/>
        <v>0</v>
      </c>
      <c r="AS316" t="str">
        <f t="shared" si="82"/>
        <v>0</v>
      </c>
      <c r="AT316">
        <f t="shared" si="83"/>
        <v>543</v>
      </c>
      <c r="AU316" t="str">
        <f t="shared" si="84"/>
        <v>/0/543</v>
      </c>
    </row>
    <row r="317" spans="22:47">
      <c r="V317" t="str">
        <f>IF(TIM!F317="","",TIM!F317)</f>
        <v/>
      </c>
      <c r="W317" t="str">
        <f t="shared" si="73"/>
        <v/>
      </c>
      <c r="X317">
        <f t="shared" si="74"/>
        <v>0</v>
      </c>
      <c r="AI317">
        <f>IF(TIM!P317=TIM!P317,TIM!P317,"")</f>
        <v>0</v>
      </c>
      <c r="AJ317" t="str">
        <f t="shared" si="75"/>
        <v/>
      </c>
      <c r="AK317" t="str">
        <f t="shared" si="76"/>
        <v>0</v>
      </c>
      <c r="AL317" t="str">
        <f t="shared" si="77"/>
        <v>0</v>
      </c>
      <c r="AM317">
        <f t="shared" si="78"/>
        <v>543</v>
      </c>
      <c r="AN317" t="str">
        <f t="shared" si="79"/>
        <v>/0/543</v>
      </c>
      <c r="AP317">
        <f>IF(TIM!O317=TIM!O317,TIM!O317,"")</f>
        <v>0</v>
      </c>
      <c r="AQ317" t="str">
        <f t="shared" si="80"/>
        <v/>
      </c>
      <c r="AR317" t="str">
        <f t="shared" si="81"/>
        <v>0</v>
      </c>
      <c r="AS317" t="str">
        <f t="shared" si="82"/>
        <v>0</v>
      </c>
      <c r="AT317">
        <f t="shared" si="83"/>
        <v>543</v>
      </c>
      <c r="AU317" t="str">
        <f t="shared" si="84"/>
        <v>/0/543</v>
      </c>
    </row>
    <row r="318" spans="22:47">
      <c r="V318" t="str">
        <f>IF(TIM!F318="","",TIM!F318)</f>
        <v/>
      </c>
      <c r="W318" t="str">
        <f t="shared" si="73"/>
        <v/>
      </c>
      <c r="X318">
        <f t="shared" si="74"/>
        <v>0</v>
      </c>
      <c r="AI318">
        <f>IF(TIM!P318=TIM!P318,TIM!P318,"")</f>
        <v>0</v>
      </c>
      <c r="AJ318" t="str">
        <f t="shared" si="75"/>
        <v/>
      </c>
      <c r="AK318" t="str">
        <f t="shared" si="76"/>
        <v>0</v>
      </c>
      <c r="AL318" t="str">
        <f t="shared" si="77"/>
        <v>0</v>
      </c>
      <c r="AM318">
        <f t="shared" si="78"/>
        <v>543</v>
      </c>
      <c r="AN318" t="str">
        <f t="shared" si="79"/>
        <v>/0/543</v>
      </c>
      <c r="AP318">
        <f>IF(TIM!O318=TIM!O318,TIM!O318,"")</f>
        <v>0</v>
      </c>
      <c r="AQ318" t="str">
        <f t="shared" si="80"/>
        <v/>
      </c>
      <c r="AR318" t="str">
        <f t="shared" si="81"/>
        <v>0</v>
      </c>
      <c r="AS318" t="str">
        <f t="shared" si="82"/>
        <v>0</v>
      </c>
      <c r="AT318">
        <f t="shared" si="83"/>
        <v>543</v>
      </c>
      <c r="AU318" t="str">
        <f t="shared" si="84"/>
        <v>/0/543</v>
      </c>
    </row>
    <row r="319" spans="22:47">
      <c r="V319" t="str">
        <f>IF(TIM!F319="","",TIM!F319)</f>
        <v/>
      </c>
      <c r="W319" t="str">
        <f t="shared" si="73"/>
        <v/>
      </c>
      <c r="X319">
        <f t="shared" si="74"/>
        <v>0</v>
      </c>
      <c r="AI319">
        <f>IF(TIM!P319=TIM!P319,TIM!P319,"")</f>
        <v>0</v>
      </c>
      <c r="AJ319" t="str">
        <f t="shared" si="75"/>
        <v/>
      </c>
      <c r="AK319" t="str">
        <f t="shared" si="76"/>
        <v>0</v>
      </c>
      <c r="AL319" t="str">
        <f t="shared" si="77"/>
        <v>0</v>
      </c>
      <c r="AM319">
        <f t="shared" si="78"/>
        <v>543</v>
      </c>
      <c r="AN319" t="str">
        <f t="shared" si="79"/>
        <v>/0/543</v>
      </c>
      <c r="AP319">
        <f>IF(TIM!O319=TIM!O319,TIM!O319,"")</f>
        <v>0</v>
      </c>
      <c r="AQ319" t="str">
        <f t="shared" si="80"/>
        <v/>
      </c>
      <c r="AR319" t="str">
        <f t="shared" si="81"/>
        <v>0</v>
      </c>
      <c r="AS319" t="str">
        <f t="shared" si="82"/>
        <v>0</v>
      </c>
      <c r="AT319">
        <f t="shared" si="83"/>
        <v>543</v>
      </c>
      <c r="AU319" t="str">
        <f t="shared" si="84"/>
        <v>/0/543</v>
      </c>
    </row>
    <row r="320" spans="22:47">
      <c r="V320" t="str">
        <f>IF(TIM!F320="","",TIM!F320)</f>
        <v/>
      </c>
      <c r="W320" t="str">
        <f t="shared" si="73"/>
        <v/>
      </c>
      <c r="X320">
        <f t="shared" si="74"/>
        <v>0</v>
      </c>
      <c r="AI320">
        <f>IF(TIM!P320=TIM!P320,TIM!P320,"")</f>
        <v>0</v>
      </c>
      <c r="AJ320" t="str">
        <f t="shared" si="75"/>
        <v/>
      </c>
      <c r="AK320" t="str">
        <f t="shared" si="76"/>
        <v>0</v>
      </c>
      <c r="AL320" t="str">
        <f t="shared" si="77"/>
        <v>0</v>
      </c>
      <c r="AM320">
        <f t="shared" si="78"/>
        <v>543</v>
      </c>
      <c r="AN320" t="str">
        <f t="shared" si="79"/>
        <v>/0/543</v>
      </c>
      <c r="AP320">
        <f>IF(TIM!O320=TIM!O320,TIM!O320,"")</f>
        <v>0</v>
      </c>
      <c r="AQ320" t="str">
        <f t="shared" si="80"/>
        <v/>
      </c>
      <c r="AR320" t="str">
        <f t="shared" si="81"/>
        <v>0</v>
      </c>
      <c r="AS320" t="str">
        <f t="shared" si="82"/>
        <v>0</v>
      </c>
      <c r="AT320">
        <f t="shared" si="83"/>
        <v>543</v>
      </c>
      <c r="AU320" t="str">
        <f t="shared" si="84"/>
        <v>/0/543</v>
      </c>
    </row>
    <row r="321" spans="22:47">
      <c r="V321" t="str">
        <f>IF(TIM!F321="","",TIM!F321)</f>
        <v/>
      </c>
      <c r="W321" t="str">
        <f t="shared" si="73"/>
        <v/>
      </c>
      <c r="X321">
        <f t="shared" si="74"/>
        <v>0</v>
      </c>
      <c r="AI321">
        <f>IF(TIM!P321=TIM!P321,TIM!P321,"")</f>
        <v>0</v>
      </c>
      <c r="AJ321" t="str">
        <f t="shared" si="75"/>
        <v/>
      </c>
      <c r="AK321" t="str">
        <f t="shared" si="76"/>
        <v>0</v>
      </c>
      <c r="AL321" t="str">
        <f t="shared" si="77"/>
        <v>0</v>
      </c>
      <c r="AM321">
        <f t="shared" si="78"/>
        <v>543</v>
      </c>
      <c r="AN321" t="str">
        <f t="shared" si="79"/>
        <v>/0/543</v>
      </c>
      <c r="AP321">
        <f>IF(TIM!O321=TIM!O321,TIM!O321,"")</f>
        <v>0</v>
      </c>
      <c r="AQ321" t="str">
        <f t="shared" si="80"/>
        <v/>
      </c>
      <c r="AR321" t="str">
        <f t="shared" si="81"/>
        <v>0</v>
      </c>
      <c r="AS321" t="str">
        <f t="shared" si="82"/>
        <v>0</v>
      </c>
      <c r="AT321">
        <f t="shared" si="83"/>
        <v>543</v>
      </c>
      <c r="AU321" t="str">
        <f t="shared" si="84"/>
        <v>/0/543</v>
      </c>
    </row>
    <row r="322" spans="22:47">
      <c r="V322" t="str">
        <f>IF(TIM!F322="","",TIM!F322)</f>
        <v/>
      </c>
      <c r="W322" t="str">
        <f t="shared" si="73"/>
        <v/>
      </c>
      <c r="X322">
        <f t="shared" si="74"/>
        <v>0</v>
      </c>
      <c r="AI322">
        <f>IF(TIM!P322=TIM!P322,TIM!P322,"")</f>
        <v>0</v>
      </c>
      <c r="AJ322" t="str">
        <f t="shared" si="75"/>
        <v/>
      </c>
      <c r="AK322" t="str">
        <f t="shared" si="76"/>
        <v>0</v>
      </c>
      <c r="AL322" t="str">
        <f t="shared" si="77"/>
        <v>0</v>
      </c>
      <c r="AM322">
        <f t="shared" si="78"/>
        <v>543</v>
      </c>
      <c r="AN322" t="str">
        <f t="shared" si="79"/>
        <v>/0/543</v>
      </c>
      <c r="AP322">
        <f>IF(TIM!O322=TIM!O322,TIM!O322,"")</f>
        <v>0</v>
      </c>
      <c r="AQ322" t="str">
        <f t="shared" si="80"/>
        <v/>
      </c>
      <c r="AR322" t="str">
        <f t="shared" si="81"/>
        <v>0</v>
      </c>
      <c r="AS322" t="str">
        <f t="shared" si="82"/>
        <v>0</v>
      </c>
      <c r="AT322">
        <f t="shared" si="83"/>
        <v>543</v>
      </c>
      <c r="AU322" t="str">
        <f t="shared" si="84"/>
        <v>/0/543</v>
      </c>
    </row>
    <row r="323" spans="22:47">
      <c r="V323" t="str">
        <f>IF(TIM!F323="","",TIM!F323)</f>
        <v/>
      </c>
      <c r="W323" t="str">
        <f t="shared" ref="W323:W329" si="85">IFERROR(VLOOKUP(V323,$J$2:$N$258,5,FALSE),"")</f>
        <v/>
      </c>
      <c r="X323">
        <f t="shared" ref="X323:X329" si="86">IFERROR(VLOOKUP(V323,$P$2:$T$208,5,FALSE),"")</f>
        <v>0</v>
      </c>
      <c r="AI323">
        <f>IF(TIM!P323=TIM!P323,TIM!P323,"")</f>
        <v>0</v>
      </c>
      <c r="AJ323" t="str">
        <f t="shared" ref="AJ323:AJ328" si="87">MID(AI323,4,2)</f>
        <v/>
      </c>
      <c r="AK323" t="str">
        <f t="shared" ref="AK323:AK328" si="88">LEFT(AI323,2)</f>
        <v>0</v>
      </c>
      <c r="AL323" t="str">
        <f t="shared" ref="AL323:AL328" si="89">RIGHT(AI323,4)</f>
        <v>0</v>
      </c>
      <c r="AM323">
        <f t="shared" ref="AM323:AM328" si="90">AL323+543</f>
        <v>543</v>
      </c>
      <c r="AN323" t="str">
        <f t="shared" ref="AN323:AN328" si="91">AJ323&amp;"/"&amp;AK323&amp;"/"&amp;AM323</f>
        <v>/0/543</v>
      </c>
      <c r="AP323">
        <f>IF(TIM!O323=TIM!O323,TIM!O323,"")</f>
        <v>0</v>
      </c>
      <c r="AQ323" t="str">
        <f t="shared" ref="AQ323:AQ328" si="92">MID(AP323,4,2)</f>
        <v/>
      </c>
      <c r="AR323" t="str">
        <f t="shared" ref="AR323:AR328" si="93">LEFT(AP323,2)</f>
        <v>0</v>
      </c>
      <c r="AS323" t="str">
        <f t="shared" ref="AS323:AS328" si="94">RIGHT(AP323,4)</f>
        <v>0</v>
      </c>
      <c r="AT323">
        <f t="shared" ref="AT323:AT328" si="95">AS323+543</f>
        <v>543</v>
      </c>
      <c r="AU323" t="str">
        <f t="shared" ref="AU323:AU328" si="96">AQ323&amp;"/"&amp;AR323&amp;"/"&amp;AT323</f>
        <v>/0/543</v>
      </c>
    </row>
    <row r="324" spans="22:47">
      <c r="V324" t="str">
        <f>IF(TIM!F324="","",TIM!F324)</f>
        <v/>
      </c>
      <c r="W324" t="str">
        <f t="shared" si="85"/>
        <v/>
      </c>
      <c r="X324">
        <f t="shared" si="86"/>
        <v>0</v>
      </c>
      <c r="AI324">
        <f>IF(TIM!P324=TIM!P324,TIM!P324,"")</f>
        <v>0</v>
      </c>
      <c r="AJ324" t="str">
        <f t="shared" si="87"/>
        <v/>
      </c>
      <c r="AK324" t="str">
        <f t="shared" si="88"/>
        <v>0</v>
      </c>
      <c r="AL324" t="str">
        <f t="shared" si="89"/>
        <v>0</v>
      </c>
      <c r="AM324">
        <f t="shared" si="90"/>
        <v>543</v>
      </c>
      <c r="AN324" t="str">
        <f t="shared" si="91"/>
        <v>/0/543</v>
      </c>
      <c r="AP324">
        <f>IF(TIM!O324=TIM!O324,TIM!O324,"")</f>
        <v>0</v>
      </c>
      <c r="AQ324" t="str">
        <f t="shared" si="92"/>
        <v/>
      </c>
      <c r="AR324" t="str">
        <f t="shared" si="93"/>
        <v>0</v>
      </c>
      <c r="AS324" t="str">
        <f t="shared" si="94"/>
        <v>0</v>
      </c>
      <c r="AT324">
        <f t="shared" si="95"/>
        <v>543</v>
      </c>
      <c r="AU324" t="str">
        <f t="shared" si="96"/>
        <v>/0/543</v>
      </c>
    </row>
    <row r="325" spans="22:47">
      <c r="V325" t="str">
        <f>IF(TIM!F325="","",TIM!F325)</f>
        <v/>
      </c>
      <c r="W325" t="str">
        <f t="shared" si="85"/>
        <v/>
      </c>
      <c r="X325">
        <f t="shared" si="86"/>
        <v>0</v>
      </c>
      <c r="AI325">
        <f>IF(TIM!P325=TIM!P325,TIM!P325,"")</f>
        <v>0</v>
      </c>
      <c r="AJ325" t="str">
        <f t="shared" si="87"/>
        <v/>
      </c>
      <c r="AK325" t="str">
        <f t="shared" si="88"/>
        <v>0</v>
      </c>
      <c r="AL325" t="str">
        <f t="shared" si="89"/>
        <v>0</v>
      </c>
      <c r="AM325">
        <f t="shared" si="90"/>
        <v>543</v>
      </c>
      <c r="AN325" t="str">
        <f t="shared" si="91"/>
        <v>/0/543</v>
      </c>
      <c r="AP325">
        <f>IF(TIM!O325=TIM!O325,TIM!O325,"")</f>
        <v>0</v>
      </c>
      <c r="AQ325" t="str">
        <f t="shared" si="92"/>
        <v/>
      </c>
      <c r="AR325" t="str">
        <f t="shared" si="93"/>
        <v>0</v>
      </c>
      <c r="AS325" t="str">
        <f t="shared" si="94"/>
        <v>0</v>
      </c>
      <c r="AT325">
        <f t="shared" si="95"/>
        <v>543</v>
      </c>
      <c r="AU325" t="str">
        <f t="shared" si="96"/>
        <v>/0/543</v>
      </c>
    </row>
    <row r="326" spans="22:47">
      <c r="V326" t="str">
        <f>IF(TIM!F326="","",TIM!F326)</f>
        <v/>
      </c>
      <c r="W326" t="str">
        <f t="shared" si="85"/>
        <v/>
      </c>
      <c r="X326">
        <f t="shared" si="86"/>
        <v>0</v>
      </c>
      <c r="AI326">
        <f>IF(TIM!P326=TIM!P326,TIM!P326,"")</f>
        <v>0</v>
      </c>
      <c r="AJ326" t="str">
        <f t="shared" si="87"/>
        <v/>
      </c>
      <c r="AK326" t="str">
        <f t="shared" si="88"/>
        <v>0</v>
      </c>
      <c r="AL326" t="str">
        <f t="shared" si="89"/>
        <v>0</v>
      </c>
      <c r="AM326">
        <f t="shared" si="90"/>
        <v>543</v>
      </c>
      <c r="AN326" t="str">
        <f t="shared" si="91"/>
        <v>/0/543</v>
      </c>
      <c r="AP326">
        <f>IF(TIM!O326=TIM!O326,TIM!O326,"")</f>
        <v>0</v>
      </c>
      <c r="AQ326" t="str">
        <f t="shared" si="92"/>
        <v/>
      </c>
      <c r="AR326" t="str">
        <f t="shared" si="93"/>
        <v>0</v>
      </c>
      <c r="AS326" t="str">
        <f t="shared" si="94"/>
        <v>0</v>
      </c>
      <c r="AT326">
        <f t="shared" si="95"/>
        <v>543</v>
      </c>
      <c r="AU326" t="str">
        <f t="shared" si="96"/>
        <v>/0/543</v>
      </c>
    </row>
    <row r="327" spans="22:47">
      <c r="V327" t="str">
        <f>IF(TIM!F327="","",TIM!F327)</f>
        <v/>
      </c>
      <c r="W327" t="str">
        <f t="shared" si="85"/>
        <v/>
      </c>
      <c r="X327">
        <f t="shared" si="86"/>
        <v>0</v>
      </c>
      <c r="AI327">
        <f>IF(TIM!P327=TIM!P327,TIM!P327,"")</f>
        <v>0</v>
      </c>
      <c r="AJ327" t="str">
        <f t="shared" si="87"/>
        <v/>
      </c>
      <c r="AK327" t="str">
        <f t="shared" si="88"/>
        <v>0</v>
      </c>
      <c r="AL327" t="str">
        <f t="shared" si="89"/>
        <v>0</v>
      </c>
      <c r="AM327">
        <f t="shared" si="90"/>
        <v>543</v>
      </c>
      <c r="AN327" t="str">
        <f t="shared" si="91"/>
        <v>/0/543</v>
      </c>
      <c r="AP327">
        <f>IF(TIM!O327=TIM!O327,TIM!O327,"")</f>
        <v>0</v>
      </c>
      <c r="AQ327" t="str">
        <f t="shared" si="92"/>
        <v/>
      </c>
      <c r="AR327" t="str">
        <f t="shared" si="93"/>
        <v>0</v>
      </c>
      <c r="AS327" t="str">
        <f t="shared" si="94"/>
        <v>0</v>
      </c>
      <c r="AT327">
        <f t="shared" si="95"/>
        <v>543</v>
      </c>
      <c r="AU327" t="str">
        <f t="shared" si="96"/>
        <v>/0/543</v>
      </c>
    </row>
    <row r="328" spans="22:47">
      <c r="V328" t="str">
        <f>IF(TIM!F328="","",TIM!F328)</f>
        <v/>
      </c>
      <c r="W328" t="str">
        <f t="shared" si="85"/>
        <v/>
      </c>
      <c r="X328">
        <f t="shared" si="86"/>
        <v>0</v>
      </c>
      <c r="AI328">
        <f>IF(TIM!P328=TIM!P328,TIM!P328,"")</f>
        <v>0</v>
      </c>
      <c r="AJ328" t="str">
        <f t="shared" si="87"/>
        <v/>
      </c>
      <c r="AK328" t="str">
        <f t="shared" si="88"/>
        <v>0</v>
      </c>
      <c r="AL328" t="str">
        <f t="shared" si="89"/>
        <v>0</v>
      </c>
      <c r="AM328">
        <f t="shared" si="90"/>
        <v>543</v>
      </c>
      <c r="AN328" t="str">
        <f t="shared" si="91"/>
        <v>/0/543</v>
      </c>
      <c r="AP328">
        <f>IF(TIM!O328=TIM!O328,TIM!O328,"")</f>
        <v>0</v>
      </c>
      <c r="AQ328" t="str">
        <f t="shared" si="92"/>
        <v/>
      </c>
      <c r="AR328" t="str">
        <f t="shared" si="93"/>
        <v>0</v>
      </c>
      <c r="AS328" t="str">
        <f t="shared" si="94"/>
        <v>0</v>
      </c>
      <c r="AT328">
        <f t="shared" si="95"/>
        <v>543</v>
      </c>
      <c r="AU328" t="str">
        <f t="shared" si="96"/>
        <v>/0/543</v>
      </c>
    </row>
    <row r="329" spans="22:47">
      <c r="V329" t="str">
        <f>IF(TIM!F329="","",TIM!F329)</f>
        <v/>
      </c>
      <c r="W329" t="str">
        <f t="shared" si="85"/>
        <v/>
      </c>
      <c r="X329">
        <f t="shared" si="86"/>
        <v>0</v>
      </c>
      <c r="AI329" s="1"/>
    </row>
  </sheetData>
  <mergeCells count="2">
    <mergeCell ref="B3:D3"/>
    <mergeCell ref="F3:H3"/>
  </mergeCells>
  <conditionalFormatting sqref="Z2:Z211">
    <cfRule type="duplicateValues" dxfId="0" priority="2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20B9D-6A25-4998-B29D-7E0A4517243F}">
  <sheetPr codeName="Sheet6"/>
  <dimension ref="A1:B152"/>
  <sheetViews>
    <sheetView zoomScale="80" zoomScaleNormal="80" workbookViewId="0">
      <selection sqref="A1:B1"/>
    </sheetView>
  </sheetViews>
  <sheetFormatPr defaultColWidth="9.140625" defaultRowHeight="12.75"/>
  <cols>
    <col min="1" max="1" width="17.85546875" style="11" customWidth="1"/>
    <col min="2" max="2" width="36.85546875" style="12" customWidth="1"/>
    <col min="3" max="16384" width="9.140625" style="12"/>
  </cols>
  <sheetData>
    <row r="1" spans="1:2" ht="44.25" customHeight="1">
      <c r="A1" s="38" t="s">
        <v>16</v>
      </c>
      <c r="B1" s="38"/>
    </row>
    <row r="2" spans="1:2" ht="36" customHeight="1">
      <c r="A2" s="13" t="s">
        <v>310</v>
      </c>
      <c r="B2" s="13" t="s">
        <v>311</v>
      </c>
    </row>
    <row r="3" spans="1:2">
      <c r="A3" s="11">
        <v>404</v>
      </c>
      <c r="B3" s="12" t="s">
        <v>312</v>
      </c>
    </row>
    <row r="4" spans="1:2">
      <c r="A4" s="11">
        <v>501</v>
      </c>
      <c r="B4" s="12" t="s">
        <v>313</v>
      </c>
    </row>
    <row r="5" spans="1:2">
      <c r="A5" s="11">
        <v>1</v>
      </c>
      <c r="B5" s="12" t="s">
        <v>314</v>
      </c>
    </row>
    <row r="6" spans="1:2">
      <c r="A6" s="11">
        <v>211</v>
      </c>
      <c r="B6" s="12" t="s">
        <v>315</v>
      </c>
    </row>
    <row r="7" spans="1:2">
      <c r="A7" s="11">
        <v>2</v>
      </c>
      <c r="B7" s="12" t="s">
        <v>316</v>
      </c>
    </row>
    <row r="8" spans="1:2">
      <c r="A8" s="11">
        <v>502</v>
      </c>
      <c r="B8" s="12" t="s">
        <v>317</v>
      </c>
    </row>
    <row r="9" spans="1:2">
      <c r="A9" s="11">
        <v>206</v>
      </c>
      <c r="B9" s="12" t="s">
        <v>318</v>
      </c>
    </row>
    <row r="10" spans="1:2">
      <c r="A10" s="11">
        <v>139</v>
      </c>
      <c r="B10" s="12" t="s">
        <v>319</v>
      </c>
    </row>
    <row r="11" spans="1:2">
      <c r="A11" s="11">
        <v>140</v>
      </c>
      <c r="B11" s="12" t="s">
        <v>320</v>
      </c>
    </row>
    <row r="12" spans="1:2">
      <c r="A12" s="11">
        <v>208</v>
      </c>
      <c r="B12" s="12" t="s">
        <v>321</v>
      </c>
    </row>
    <row r="13" spans="1:2">
      <c r="A13" s="11">
        <v>903</v>
      </c>
      <c r="B13" s="12" t="s">
        <v>322</v>
      </c>
    </row>
    <row r="14" spans="1:2">
      <c r="A14" s="11">
        <v>902</v>
      </c>
      <c r="B14" s="12" t="s">
        <v>323</v>
      </c>
    </row>
    <row r="15" spans="1:2">
      <c r="A15" s="11">
        <v>3</v>
      </c>
      <c r="B15" s="12" t="s">
        <v>324</v>
      </c>
    </row>
    <row r="16" spans="1:2">
      <c r="A16" s="11">
        <v>710</v>
      </c>
      <c r="B16" s="12" t="s">
        <v>325</v>
      </c>
    </row>
    <row r="17" spans="1:2">
      <c r="A17" s="11">
        <v>709</v>
      </c>
      <c r="B17" s="12" t="s">
        <v>326</v>
      </c>
    </row>
    <row r="18" spans="1:2">
      <c r="A18" s="11">
        <v>711</v>
      </c>
      <c r="B18" s="12" t="s">
        <v>327</v>
      </c>
    </row>
    <row r="19" spans="1:2">
      <c r="A19" s="11">
        <v>716</v>
      </c>
      <c r="B19" s="12" t="s">
        <v>328</v>
      </c>
    </row>
    <row r="20" spans="1:2">
      <c r="A20" s="11">
        <v>715</v>
      </c>
      <c r="B20" s="12" t="s">
        <v>329</v>
      </c>
    </row>
    <row r="21" spans="1:2">
      <c r="A21" s="11">
        <v>712</v>
      </c>
      <c r="B21" s="12" t="s">
        <v>330</v>
      </c>
    </row>
    <row r="22" spans="1:2">
      <c r="A22" s="11">
        <v>714</v>
      </c>
      <c r="B22" s="12" t="s">
        <v>331</v>
      </c>
    </row>
    <row r="23" spans="1:2">
      <c r="A23" s="11">
        <v>713</v>
      </c>
      <c r="B23" s="12" t="s">
        <v>332</v>
      </c>
    </row>
    <row r="24" spans="1:2">
      <c r="A24" s="11">
        <v>4</v>
      </c>
      <c r="B24" s="12" t="s">
        <v>333</v>
      </c>
    </row>
    <row r="25" spans="1:2">
      <c r="A25" s="11">
        <v>5</v>
      </c>
      <c r="B25" s="12" t="s">
        <v>334</v>
      </c>
    </row>
    <row r="26" spans="1:2">
      <c r="A26" s="11">
        <v>606</v>
      </c>
      <c r="B26" s="12" t="s">
        <v>335</v>
      </c>
    </row>
    <row r="27" spans="1:2">
      <c r="A27" s="11">
        <v>602</v>
      </c>
      <c r="B27" s="12" t="s">
        <v>336</v>
      </c>
    </row>
    <row r="28" spans="1:2">
      <c r="A28" s="11">
        <v>601</v>
      </c>
      <c r="B28" s="12" t="s">
        <v>337</v>
      </c>
    </row>
    <row r="29" spans="1:2">
      <c r="A29" s="11">
        <v>6</v>
      </c>
      <c r="B29" s="12" t="s">
        <v>338</v>
      </c>
    </row>
    <row r="30" spans="1:2">
      <c r="A30" s="11">
        <v>119</v>
      </c>
      <c r="B30" s="12" t="s">
        <v>339</v>
      </c>
    </row>
    <row r="31" spans="1:2">
      <c r="A31" s="11">
        <v>401</v>
      </c>
      <c r="B31" s="12" t="s">
        <v>340</v>
      </c>
    </row>
    <row r="32" spans="1:2">
      <c r="A32" s="11">
        <v>807</v>
      </c>
      <c r="B32" s="12" t="s">
        <v>341</v>
      </c>
    </row>
    <row r="33" spans="1:2">
      <c r="A33" s="11">
        <v>815</v>
      </c>
      <c r="B33" s="12" t="s">
        <v>342</v>
      </c>
    </row>
    <row r="34" spans="1:2">
      <c r="A34" s="11">
        <v>813</v>
      </c>
      <c r="B34" s="12" t="s">
        <v>343</v>
      </c>
    </row>
    <row r="35" spans="1:2">
      <c r="A35" s="11">
        <v>803</v>
      </c>
      <c r="B35" s="12" t="s">
        <v>344</v>
      </c>
    </row>
    <row r="36" spans="1:2">
      <c r="A36" s="11">
        <v>805</v>
      </c>
      <c r="B36" s="12" t="s">
        <v>345</v>
      </c>
    </row>
    <row r="37" spans="1:2">
      <c r="A37" s="11">
        <v>808</v>
      </c>
      <c r="B37" s="12" t="s">
        <v>346</v>
      </c>
    </row>
    <row r="38" spans="1:2">
      <c r="A38" s="11">
        <v>804</v>
      </c>
      <c r="B38" s="12" t="s">
        <v>347</v>
      </c>
    </row>
    <row r="39" spans="1:2">
      <c r="A39" s="11">
        <v>717</v>
      </c>
      <c r="B39" s="12" t="s">
        <v>348</v>
      </c>
    </row>
    <row r="40" spans="1:2">
      <c r="A40" s="11">
        <v>801</v>
      </c>
      <c r="B40" s="12" t="s">
        <v>349</v>
      </c>
    </row>
    <row r="41" spans="1:2">
      <c r="A41" s="11">
        <v>822</v>
      </c>
      <c r="B41" s="12" t="s">
        <v>350</v>
      </c>
    </row>
    <row r="42" spans="1:2">
      <c r="A42" s="11">
        <v>821</v>
      </c>
      <c r="B42" s="12" t="s">
        <v>351</v>
      </c>
    </row>
    <row r="43" spans="1:2">
      <c r="A43" s="11">
        <v>809</v>
      </c>
      <c r="B43" s="12" t="s">
        <v>352</v>
      </c>
    </row>
    <row r="44" spans="1:2">
      <c r="A44" s="11">
        <v>819</v>
      </c>
      <c r="B44" s="12" t="s">
        <v>353</v>
      </c>
    </row>
    <row r="45" spans="1:2">
      <c r="A45" s="11">
        <v>104</v>
      </c>
      <c r="B45" s="12" t="s">
        <v>354</v>
      </c>
    </row>
    <row r="46" spans="1:2">
      <c r="A46" s="11">
        <v>818</v>
      </c>
      <c r="B46" s="12" t="s">
        <v>355</v>
      </c>
    </row>
    <row r="47" spans="1:2">
      <c r="A47" s="11">
        <v>820</v>
      </c>
      <c r="B47" s="12" t="s">
        <v>356</v>
      </c>
    </row>
    <row r="48" spans="1:2">
      <c r="A48" s="11">
        <v>810</v>
      </c>
      <c r="B48" s="12" t="s">
        <v>357</v>
      </c>
    </row>
    <row r="49" spans="1:2">
      <c r="A49" s="11">
        <v>817</v>
      </c>
      <c r="B49" s="12" t="s">
        <v>358</v>
      </c>
    </row>
    <row r="50" spans="1:2">
      <c r="A50" s="11">
        <v>121</v>
      </c>
      <c r="B50" s="12" t="s">
        <v>359</v>
      </c>
    </row>
    <row r="51" spans="1:2">
      <c r="A51" s="11">
        <v>816</v>
      </c>
      <c r="B51" s="12" t="s">
        <v>360</v>
      </c>
    </row>
    <row r="52" spans="1:2">
      <c r="A52" s="11">
        <v>802</v>
      </c>
      <c r="B52" s="12" t="s">
        <v>361</v>
      </c>
    </row>
    <row r="53" spans="1:2">
      <c r="A53" s="11">
        <v>823</v>
      </c>
      <c r="B53" s="12" t="s">
        <v>362</v>
      </c>
    </row>
    <row r="54" spans="1:2">
      <c r="A54" s="11">
        <v>812</v>
      </c>
      <c r="B54" s="12" t="s">
        <v>363</v>
      </c>
    </row>
    <row r="55" spans="1:2">
      <c r="A55" s="11">
        <v>120</v>
      </c>
      <c r="B55" s="12" t="s">
        <v>364</v>
      </c>
    </row>
    <row r="56" spans="1:2">
      <c r="A56" s="11">
        <v>718</v>
      </c>
      <c r="B56" s="12" t="s">
        <v>365</v>
      </c>
    </row>
    <row r="57" spans="1:2">
      <c r="A57" s="11">
        <v>814</v>
      </c>
      <c r="B57" s="12" t="s">
        <v>366</v>
      </c>
    </row>
    <row r="58" spans="1:2">
      <c r="A58" s="11">
        <v>811</v>
      </c>
      <c r="B58" s="12" t="s">
        <v>367</v>
      </c>
    </row>
    <row r="59" spans="1:2">
      <c r="A59" s="11">
        <v>806</v>
      </c>
      <c r="B59" s="12" t="s">
        <v>368</v>
      </c>
    </row>
    <row r="60" spans="1:2">
      <c r="A60" s="11">
        <v>604</v>
      </c>
      <c r="B60" s="12" t="s">
        <v>369</v>
      </c>
    </row>
    <row r="61" spans="1:2">
      <c r="A61" s="11">
        <v>205</v>
      </c>
      <c r="B61" s="12" t="s">
        <v>370</v>
      </c>
    </row>
    <row r="62" spans="1:2">
      <c r="A62" s="11">
        <v>137</v>
      </c>
      <c r="B62" s="12" t="s">
        <v>371</v>
      </c>
    </row>
    <row r="63" spans="1:2">
      <c r="A63" s="11">
        <v>202</v>
      </c>
      <c r="B63" s="12" t="s">
        <v>372</v>
      </c>
    </row>
    <row r="64" spans="1:2">
      <c r="A64" s="11">
        <v>203</v>
      </c>
      <c r="B64" s="12" t="s">
        <v>373</v>
      </c>
    </row>
    <row r="65" spans="1:2">
      <c r="A65" s="11">
        <v>204</v>
      </c>
      <c r="B65" s="12" t="s">
        <v>374</v>
      </c>
    </row>
    <row r="66" spans="1:2">
      <c r="A66" s="11">
        <v>108</v>
      </c>
      <c r="B66" s="12" t="s">
        <v>375</v>
      </c>
    </row>
    <row r="67" spans="1:2">
      <c r="A67" s="11">
        <v>503</v>
      </c>
      <c r="B67" s="12" t="s">
        <v>376</v>
      </c>
    </row>
    <row r="68" spans="1:2">
      <c r="A68" s="11">
        <v>506</v>
      </c>
      <c r="B68" s="12" t="s">
        <v>377</v>
      </c>
    </row>
    <row r="69" spans="1:2">
      <c r="A69" s="11">
        <v>505</v>
      </c>
      <c r="B69" s="12" t="s">
        <v>378</v>
      </c>
    </row>
    <row r="70" spans="1:2">
      <c r="A70" s="11">
        <v>504</v>
      </c>
      <c r="B70" s="12" t="s">
        <v>379</v>
      </c>
    </row>
    <row r="71" spans="1:2">
      <c r="A71" s="11">
        <v>216</v>
      </c>
      <c r="B71" s="12" t="s">
        <v>380</v>
      </c>
    </row>
    <row r="72" spans="1:2">
      <c r="A72" s="11">
        <v>142</v>
      </c>
      <c r="B72" s="12" t="s">
        <v>381</v>
      </c>
    </row>
    <row r="73" spans="1:2">
      <c r="A73" s="11">
        <v>145</v>
      </c>
      <c r="B73" s="12" t="s">
        <v>382</v>
      </c>
    </row>
    <row r="74" spans="1:2">
      <c r="A74" s="11">
        <v>123</v>
      </c>
      <c r="B74" s="12" t="s">
        <v>383</v>
      </c>
    </row>
    <row r="75" spans="1:2">
      <c r="A75" s="11">
        <v>128</v>
      </c>
      <c r="B75" s="12" t="s">
        <v>384</v>
      </c>
    </row>
    <row r="76" spans="1:2">
      <c r="A76" s="11">
        <v>146</v>
      </c>
      <c r="B76" s="12" t="s">
        <v>385</v>
      </c>
    </row>
    <row r="77" spans="1:2">
      <c r="A77" s="11">
        <v>16</v>
      </c>
      <c r="B77" s="12" t="s">
        <v>386</v>
      </c>
    </row>
    <row r="78" spans="1:2">
      <c r="A78" s="11">
        <v>135</v>
      </c>
      <c r="B78" s="12" t="s">
        <v>387</v>
      </c>
    </row>
    <row r="79" spans="1:2">
      <c r="A79" s="11">
        <v>122</v>
      </c>
      <c r="B79" s="12" t="s">
        <v>388</v>
      </c>
    </row>
    <row r="80" spans="1:2">
      <c r="A80" s="11">
        <v>127</v>
      </c>
      <c r="B80" s="12" t="s">
        <v>389</v>
      </c>
    </row>
    <row r="81" spans="1:2">
      <c r="A81" s="11">
        <v>144</v>
      </c>
      <c r="B81" s="12" t="s">
        <v>390</v>
      </c>
    </row>
    <row r="82" spans="1:2">
      <c r="A82" s="11">
        <v>105</v>
      </c>
      <c r="B82" s="12" t="s">
        <v>391</v>
      </c>
    </row>
    <row r="83" spans="1:2">
      <c r="A83" s="11">
        <v>132</v>
      </c>
      <c r="B83" s="12" t="s">
        <v>392</v>
      </c>
    </row>
    <row r="84" spans="1:2">
      <c r="A84" s="11">
        <v>131</v>
      </c>
      <c r="B84" s="12" t="s">
        <v>393</v>
      </c>
    </row>
    <row r="85" spans="1:2">
      <c r="A85" s="11">
        <v>130</v>
      </c>
      <c r="B85" s="12" t="s">
        <v>394</v>
      </c>
    </row>
    <row r="86" spans="1:2">
      <c r="A86" s="11">
        <v>129</v>
      </c>
      <c r="B86" s="12" t="s">
        <v>395</v>
      </c>
    </row>
    <row r="87" spans="1:2">
      <c r="A87" s="11">
        <v>103</v>
      </c>
      <c r="B87" s="12" t="s">
        <v>396</v>
      </c>
    </row>
    <row r="88" spans="1:2">
      <c r="A88" s="11">
        <v>125</v>
      </c>
      <c r="B88" s="12" t="s">
        <v>397</v>
      </c>
    </row>
    <row r="89" spans="1:2">
      <c r="A89" s="11">
        <v>124</v>
      </c>
      <c r="B89" s="12" t="s">
        <v>398</v>
      </c>
    </row>
    <row r="90" spans="1:2">
      <c r="A90" s="11">
        <v>126</v>
      </c>
      <c r="B90" s="12" t="s">
        <v>399</v>
      </c>
    </row>
    <row r="91" spans="1:2">
      <c r="A91" s="11">
        <v>141</v>
      </c>
      <c r="B91" s="12" t="s">
        <v>400</v>
      </c>
    </row>
    <row r="92" spans="1:2">
      <c r="A92" s="11">
        <v>701</v>
      </c>
      <c r="B92" s="12" t="s">
        <v>401</v>
      </c>
    </row>
    <row r="93" spans="1:2">
      <c r="A93" s="11">
        <v>7</v>
      </c>
      <c r="B93" s="12" t="s">
        <v>402</v>
      </c>
    </row>
    <row r="94" spans="1:2">
      <c r="A94" s="11">
        <v>8</v>
      </c>
      <c r="B94" s="12" t="s">
        <v>403</v>
      </c>
    </row>
    <row r="95" spans="1:2">
      <c r="A95" s="11">
        <v>9</v>
      </c>
      <c r="B95" s="12" t="s">
        <v>404</v>
      </c>
    </row>
    <row r="96" spans="1:2">
      <c r="A96" s="11">
        <v>118</v>
      </c>
      <c r="B96" s="12" t="s">
        <v>405</v>
      </c>
    </row>
    <row r="97" spans="1:2">
      <c r="A97" s="11">
        <v>507</v>
      </c>
      <c r="B97" s="12" t="s">
        <v>406</v>
      </c>
    </row>
    <row r="98" spans="1:2">
      <c r="A98" s="11">
        <v>214</v>
      </c>
      <c r="B98" s="12" t="s">
        <v>407</v>
      </c>
    </row>
    <row r="99" spans="1:2">
      <c r="A99" s="11">
        <v>301</v>
      </c>
      <c r="B99" s="12" t="s">
        <v>408</v>
      </c>
    </row>
    <row r="100" spans="1:2">
      <c r="A100" s="11">
        <v>605</v>
      </c>
      <c r="B100" s="12" t="s">
        <v>409</v>
      </c>
    </row>
    <row r="101" spans="1:2">
      <c r="A101" s="11">
        <v>509</v>
      </c>
      <c r="B101" s="12" t="s">
        <v>410</v>
      </c>
    </row>
    <row r="102" spans="1:2">
      <c r="A102" s="11">
        <v>824</v>
      </c>
      <c r="B102" s="12" t="s">
        <v>411</v>
      </c>
    </row>
    <row r="103" spans="1:2">
      <c r="A103" s="11">
        <v>719</v>
      </c>
      <c r="B103" s="12" t="s">
        <v>412</v>
      </c>
    </row>
    <row r="104" spans="1:2">
      <c r="A104" s="11">
        <v>114</v>
      </c>
      <c r="B104" s="12" t="s">
        <v>413</v>
      </c>
    </row>
    <row r="105" spans="1:2">
      <c r="A105" s="11">
        <v>136</v>
      </c>
      <c r="B105" s="12" t="s">
        <v>414</v>
      </c>
    </row>
    <row r="106" spans="1:2">
      <c r="A106" s="11">
        <v>207</v>
      </c>
      <c r="B106" s="12" t="s">
        <v>415</v>
      </c>
    </row>
    <row r="107" spans="1:2">
      <c r="A107" s="11">
        <v>303</v>
      </c>
      <c r="B107" s="12" t="s">
        <v>416</v>
      </c>
    </row>
    <row r="108" spans="1:2">
      <c r="A108" s="11">
        <v>405</v>
      </c>
      <c r="B108" s="12" t="s">
        <v>417</v>
      </c>
    </row>
    <row r="109" spans="1:2">
      <c r="A109" s="11">
        <v>116</v>
      </c>
      <c r="B109" s="12" t="s">
        <v>418</v>
      </c>
    </row>
    <row r="110" spans="1:2">
      <c r="A110" s="11">
        <v>720</v>
      </c>
      <c r="B110" s="12" t="s">
        <v>419</v>
      </c>
    </row>
    <row r="111" spans="1:2">
      <c r="A111" s="11">
        <v>133</v>
      </c>
      <c r="B111" s="12" t="s">
        <v>420</v>
      </c>
    </row>
    <row r="112" spans="1:2">
      <c r="A112" s="11">
        <v>213</v>
      </c>
      <c r="B112" s="12" t="s">
        <v>421</v>
      </c>
    </row>
    <row r="113" spans="1:2">
      <c r="A113" s="11">
        <v>10</v>
      </c>
      <c r="B113" s="12" t="s">
        <v>422</v>
      </c>
    </row>
    <row r="114" spans="1:2">
      <c r="A114" s="11">
        <v>708</v>
      </c>
      <c r="B114" s="12" t="s">
        <v>423</v>
      </c>
    </row>
    <row r="115" spans="1:2">
      <c r="A115" s="11">
        <v>702</v>
      </c>
      <c r="B115" s="12" t="s">
        <v>424</v>
      </c>
    </row>
    <row r="116" spans="1:2">
      <c r="A116" s="11">
        <v>703</v>
      </c>
      <c r="B116" s="12" t="s">
        <v>425</v>
      </c>
    </row>
    <row r="117" spans="1:2">
      <c r="A117" s="11">
        <v>115</v>
      </c>
      <c r="B117" s="12" t="s">
        <v>426</v>
      </c>
    </row>
    <row r="118" spans="1:2">
      <c r="A118" s="11">
        <v>707</v>
      </c>
      <c r="B118" s="12" t="s">
        <v>427</v>
      </c>
    </row>
    <row r="119" spans="1:2">
      <c r="A119" s="11">
        <v>704</v>
      </c>
      <c r="B119" s="12" t="s">
        <v>428</v>
      </c>
    </row>
    <row r="120" spans="1:2">
      <c r="A120" s="11">
        <v>302</v>
      </c>
      <c r="B120" s="12" t="s">
        <v>429</v>
      </c>
    </row>
    <row r="121" spans="1:2">
      <c r="A121" s="11">
        <v>218</v>
      </c>
      <c r="B121" s="12" t="s">
        <v>430</v>
      </c>
    </row>
    <row r="122" spans="1:2">
      <c r="A122" s="11">
        <v>706</v>
      </c>
      <c r="B122" s="12" t="s">
        <v>431</v>
      </c>
    </row>
    <row r="123" spans="1:2">
      <c r="A123" s="11">
        <v>217</v>
      </c>
      <c r="B123" s="12" t="s">
        <v>432</v>
      </c>
    </row>
    <row r="124" spans="1:2">
      <c r="A124" s="11">
        <v>705</v>
      </c>
      <c r="B124" s="12" t="s">
        <v>433</v>
      </c>
    </row>
    <row r="125" spans="1:2">
      <c r="A125" s="11">
        <v>402</v>
      </c>
      <c r="B125" s="12" t="s">
        <v>434</v>
      </c>
    </row>
    <row r="126" spans="1:2">
      <c r="A126" s="11">
        <v>112</v>
      </c>
      <c r="B126" s="12" t="s">
        <v>435</v>
      </c>
    </row>
    <row r="127" spans="1:2">
      <c r="A127" s="11">
        <v>106</v>
      </c>
      <c r="B127" s="12" t="s">
        <v>436</v>
      </c>
    </row>
    <row r="128" spans="1:2">
      <c r="A128" s="11">
        <v>11</v>
      </c>
      <c r="B128" s="12" t="s">
        <v>437</v>
      </c>
    </row>
    <row r="129" spans="1:2">
      <c r="A129" s="11">
        <v>215</v>
      </c>
      <c r="B129" s="12" t="s">
        <v>438</v>
      </c>
    </row>
    <row r="130" spans="1:2">
      <c r="A130" s="11">
        <v>113</v>
      </c>
      <c r="B130" s="12" t="s">
        <v>439</v>
      </c>
    </row>
    <row r="131" spans="1:2">
      <c r="A131" s="11">
        <v>143</v>
      </c>
      <c r="B131" s="12" t="s">
        <v>440</v>
      </c>
    </row>
    <row r="132" spans="1:2">
      <c r="A132" s="11">
        <v>900</v>
      </c>
      <c r="B132" s="12" t="s">
        <v>441</v>
      </c>
    </row>
    <row r="133" spans="1:2">
      <c r="A133" s="11">
        <v>403</v>
      </c>
      <c r="B133" s="12" t="s">
        <v>442</v>
      </c>
    </row>
    <row r="134" spans="1:2">
      <c r="A134" s="11">
        <v>201</v>
      </c>
      <c r="B134" s="12" t="s">
        <v>443</v>
      </c>
    </row>
    <row r="135" spans="1:2">
      <c r="A135" s="11">
        <v>508</v>
      </c>
      <c r="B135" s="12" t="s">
        <v>444</v>
      </c>
    </row>
    <row r="136" spans="1:2">
      <c r="A136" s="11">
        <v>209</v>
      </c>
      <c r="B136" s="12" t="s">
        <v>445</v>
      </c>
    </row>
    <row r="137" spans="1:2">
      <c r="A137" s="11">
        <v>210</v>
      </c>
      <c r="B137" s="12" t="s">
        <v>446</v>
      </c>
    </row>
    <row r="138" spans="1:2">
      <c r="A138" s="11">
        <v>12</v>
      </c>
      <c r="B138" s="12" t="s">
        <v>447</v>
      </c>
    </row>
    <row r="139" spans="1:2">
      <c r="A139" s="11">
        <v>102</v>
      </c>
      <c r="B139" s="12" t="s">
        <v>447</v>
      </c>
    </row>
    <row r="140" spans="1:2">
      <c r="A140" s="11">
        <v>107</v>
      </c>
      <c r="B140" s="12" t="s">
        <v>448</v>
      </c>
    </row>
    <row r="141" spans="1:2">
      <c r="A141" s="11">
        <v>101</v>
      </c>
      <c r="B141" s="12" t="s">
        <v>449</v>
      </c>
    </row>
    <row r="142" spans="1:2">
      <c r="A142" s="11">
        <v>13</v>
      </c>
      <c r="B142" s="12" t="s">
        <v>449</v>
      </c>
    </row>
    <row r="143" spans="1:2">
      <c r="A143" s="11">
        <v>109</v>
      </c>
      <c r="B143" s="12" t="s">
        <v>450</v>
      </c>
    </row>
    <row r="144" spans="1:2">
      <c r="A144" s="11">
        <v>212</v>
      </c>
      <c r="B144" s="12" t="s">
        <v>451</v>
      </c>
    </row>
    <row r="145" spans="1:2">
      <c r="A145" s="11">
        <v>406</v>
      </c>
      <c r="B145" s="12" t="s">
        <v>452</v>
      </c>
    </row>
    <row r="146" spans="1:2">
      <c r="A146" s="11">
        <v>138</v>
      </c>
      <c r="B146" s="12" t="s">
        <v>453</v>
      </c>
    </row>
    <row r="147" spans="1:2">
      <c r="A147" s="11">
        <v>603</v>
      </c>
      <c r="B147" s="12" t="s">
        <v>454</v>
      </c>
    </row>
    <row r="148" spans="1:2">
      <c r="A148" s="11">
        <v>134</v>
      </c>
      <c r="B148" s="12" t="s">
        <v>455</v>
      </c>
    </row>
    <row r="149" spans="1:2">
      <c r="A149" s="11">
        <v>117</v>
      </c>
      <c r="B149" s="12" t="s">
        <v>456</v>
      </c>
    </row>
    <row r="150" spans="1:2">
      <c r="A150" s="11">
        <v>110</v>
      </c>
      <c r="B150" s="12" t="s">
        <v>457</v>
      </c>
    </row>
    <row r="151" spans="1:2">
      <c r="A151" s="11">
        <v>111</v>
      </c>
      <c r="B151" s="12" t="s">
        <v>458</v>
      </c>
    </row>
    <row r="152" spans="1:2">
      <c r="A152" s="11">
        <v>901</v>
      </c>
      <c r="B152" s="12" t="s">
        <v>459</v>
      </c>
    </row>
  </sheetData>
  <mergeCells count="1">
    <mergeCell ref="A1:B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TIM</vt:lpstr>
      <vt:lpstr>IMM</vt:lpstr>
      <vt:lpstr>F1_</vt:lpstr>
      <vt:lpstr>COP_</vt:lpstr>
      <vt:lpstr>ASSETs</vt:lpstr>
      <vt:lpstr>Car_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Krongkaew Surangpak</dc:creator>
  <cp:lastModifiedBy>Duty Manager Avani+ Khao Lak</cp:lastModifiedBy>
  <dcterms:created xsi:type="dcterms:W3CDTF">2022-12-25T01:40:27Z</dcterms:created>
  <dcterms:modified xsi:type="dcterms:W3CDTF">2026-06-06T17:50:43Z</dcterms:modified>
</cp:coreProperties>
</file>