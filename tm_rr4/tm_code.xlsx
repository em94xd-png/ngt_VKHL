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t_VKHL\TM, RR4\"/>
    </mc:Choice>
  </mc:AlternateContent>
  <xr:revisionPtr revIDLastSave="0" documentId="13_ncr:1_{921E5974-9A07-46FA-B685-FC6B799F8AEC}" xr6:coauthVersionLast="47" xr6:coauthVersionMax="47" xr10:uidLastSave="{00000000-0000-0000-0000-000000000000}"/>
  <bookViews>
    <workbookView xWindow="2790" yWindow="6240" windowWidth="20010" windowHeight="13815" xr2:uid="{5C9A6565-6D3E-4302-AA08-FE940D559A51}"/>
  </bookViews>
  <sheets>
    <sheet name="Sheet1" sheetId="1" r:id="rId1"/>
    <sheet name="ตัวอย่างข้อมูล Ex" sheetId="3" r:id="rId2"/>
    <sheet name="Nationality" sheetId="2" r:id="rId3"/>
    <sheet name="เพศ Gender " sheetId="4" r:id="rId4"/>
    <sheet name="ASSETs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330" i="5" l="1"/>
  <c r="Y330" i="5"/>
  <c r="AN329" i="5"/>
  <c r="Y329" i="5"/>
  <c r="AM328" i="5"/>
  <c r="AJ328" i="5"/>
  <c r="AL328" i="5" s="1"/>
  <c r="Y328" i="5"/>
  <c r="AJ327" i="5"/>
  <c r="AM327" i="5" s="1"/>
  <c r="X327" i="5"/>
  <c r="Y327" i="5" s="1"/>
  <c r="W327" i="5"/>
  <c r="V327" i="5"/>
  <c r="U327" i="5"/>
  <c r="R327" i="5"/>
  <c r="D327" i="5"/>
  <c r="AM326" i="5"/>
  <c r="AN326" i="5" s="1"/>
  <c r="AL326" i="5"/>
  <c r="AJ326" i="5"/>
  <c r="AK326" i="5" s="1"/>
  <c r="U326" i="5"/>
  <c r="R326" i="5"/>
  <c r="D326" i="5"/>
  <c r="AJ325" i="5"/>
  <c r="AM325" i="5" s="1"/>
  <c r="X325" i="5"/>
  <c r="U325" i="5"/>
  <c r="W325" i="5" s="1"/>
  <c r="R325" i="5"/>
  <c r="D325" i="5"/>
  <c r="AM324" i="5"/>
  <c r="AN324" i="5" s="1"/>
  <c r="AL324" i="5"/>
  <c r="AK324" i="5"/>
  <c r="AJ324" i="5"/>
  <c r="W324" i="5"/>
  <c r="V324" i="5"/>
  <c r="U324" i="5"/>
  <c r="X324" i="5" s="1"/>
  <c r="Y324" i="5" s="1"/>
  <c r="R324" i="5"/>
  <c r="D324" i="5"/>
  <c r="AJ323" i="5"/>
  <c r="X323" i="5"/>
  <c r="W323" i="5"/>
  <c r="V323" i="5"/>
  <c r="Y323" i="5" s="1"/>
  <c r="U323" i="5"/>
  <c r="R323" i="5"/>
  <c r="D323" i="5"/>
  <c r="AM322" i="5"/>
  <c r="AL322" i="5"/>
  <c r="AJ322" i="5"/>
  <c r="AK322" i="5" s="1"/>
  <c r="AN322" i="5" s="1"/>
  <c r="V322" i="5"/>
  <c r="U322" i="5"/>
  <c r="R322" i="5"/>
  <c r="D322" i="5"/>
  <c r="AJ321" i="5"/>
  <c r="AM321" i="5" s="1"/>
  <c r="X321" i="5"/>
  <c r="U321" i="5"/>
  <c r="W321" i="5" s="1"/>
  <c r="R321" i="5"/>
  <c r="D321" i="5"/>
  <c r="AM320" i="5"/>
  <c r="AN320" i="5" s="1"/>
  <c r="AL320" i="5"/>
  <c r="AK320" i="5"/>
  <c r="AJ320" i="5"/>
  <c r="X320" i="5"/>
  <c r="W320" i="5"/>
  <c r="U320" i="5"/>
  <c r="V320" i="5" s="1"/>
  <c r="R320" i="5"/>
  <c r="D320" i="5"/>
  <c r="AJ319" i="5"/>
  <c r="X319" i="5"/>
  <c r="Y319" i="5" s="1"/>
  <c r="W319" i="5"/>
  <c r="V319" i="5"/>
  <c r="U319" i="5"/>
  <c r="R319" i="5"/>
  <c r="D319" i="5"/>
  <c r="AM318" i="5"/>
  <c r="AL318" i="5"/>
  <c r="AJ318" i="5"/>
  <c r="AK318" i="5" s="1"/>
  <c r="AN318" i="5" s="1"/>
  <c r="U318" i="5"/>
  <c r="R318" i="5"/>
  <c r="D318" i="5"/>
  <c r="AL317" i="5"/>
  <c r="AK317" i="5"/>
  <c r="AJ317" i="5"/>
  <c r="AM317" i="5" s="1"/>
  <c r="X317" i="5"/>
  <c r="U317" i="5"/>
  <c r="W317" i="5" s="1"/>
  <c r="R317" i="5"/>
  <c r="D317" i="5"/>
  <c r="AM316" i="5"/>
  <c r="AL316" i="5"/>
  <c r="AJ316" i="5"/>
  <c r="AK316" i="5" s="1"/>
  <c r="U316" i="5"/>
  <c r="X316" i="5" s="1"/>
  <c r="R316" i="5"/>
  <c r="D316" i="5"/>
  <c r="AJ315" i="5"/>
  <c r="X315" i="5"/>
  <c r="Y315" i="5" s="1"/>
  <c r="W315" i="5"/>
  <c r="V315" i="5"/>
  <c r="U315" i="5"/>
  <c r="R315" i="5"/>
  <c r="D315" i="5"/>
  <c r="AM314" i="5"/>
  <c r="AN314" i="5" s="1"/>
  <c r="AL314" i="5"/>
  <c r="AJ314" i="5"/>
  <c r="AK314" i="5" s="1"/>
  <c r="U314" i="5"/>
  <c r="R314" i="5"/>
  <c r="D314" i="5"/>
  <c r="AJ313" i="5"/>
  <c r="AM313" i="5" s="1"/>
  <c r="X313" i="5"/>
  <c r="U313" i="5"/>
  <c r="W313" i="5" s="1"/>
  <c r="R313" i="5"/>
  <c r="D313" i="5"/>
  <c r="AJ312" i="5"/>
  <c r="AM312" i="5" s="1"/>
  <c r="X312" i="5"/>
  <c r="Y312" i="5" s="1"/>
  <c r="W312" i="5"/>
  <c r="V312" i="5"/>
  <c r="U312" i="5"/>
  <c r="R312" i="5"/>
  <c r="D312" i="5"/>
  <c r="AJ311" i="5"/>
  <c r="X311" i="5"/>
  <c r="Y311" i="5" s="1"/>
  <c r="W311" i="5"/>
  <c r="V311" i="5"/>
  <c r="U311" i="5"/>
  <c r="R311" i="5"/>
  <c r="D311" i="5"/>
  <c r="AM310" i="5"/>
  <c r="AN310" i="5" s="1"/>
  <c r="AL310" i="5"/>
  <c r="AJ310" i="5"/>
  <c r="AK310" i="5" s="1"/>
  <c r="V310" i="5"/>
  <c r="U310" i="5"/>
  <c r="R310" i="5"/>
  <c r="D310" i="5"/>
  <c r="AJ309" i="5"/>
  <c r="AM309" i="5" s="1"/>
  <c r="X309" i="5"/>
  <c r="U309" i="5"/>
  <c r="W309" i="5" s="1"/>
  <c r="R309" i="5"/>
  <c r="D309" i="5"/>
  <c r="AM308" i="5"/>
  <c r="AN308" i="5" s="1"/>
  <c r="AL308" i="5"/>
  <c r="AK308" i="5"/>
  <c r="AJ308" i="5"/>
  <c r="X308" i="5"/>
  <c r="Y308" i="5" s="1"/>
  <c r="W308" i="5"/>
  <c r="V308" i="5"/>
  <c r="U308" i="5"/>
  <c r="R308" i="5"/>
  <c r="D308" i="5"/>
  <c r="AJ307" i="5"/>
  <c r="X307" i="5"/>
  <c r="Y307" i="5" s="1"/>
  <c r="W307" i="5"/>
  <c r="V307" i="5"/>
  <c r="U307" i="5"/>
  <c r="R307" i="5"/>
  <c r="D307" i="5"/>
  <c r="AM306" i="5"/>
  <c r="AL306" i="5"/>
  <c r="AJ306" i="5"/>
  <c r="AK306" i="5" s="1"/>
  <c r="AN306" i="5" s="1"/>
  <c r="V306" i="5"/>
  <c r="U306" i="5"/>
  <c r="R306" i="5"/>
  <c r="D306" i="5"/>
  <c r="AK305" i="5"/>
  <c r="AJ305" i="5"/>
  <c r="AM305" i="5" s="1"/>
  <c r="X305" i="5"/>
  <c r="U305" i="5"/>
  <c r="W305" i="5" s="1"/>
  <c r="R305" i="5"/>
  <c r="D305" i="5"/>
  <c r="AM304" i="5"/>
  <c r="AN304" i="5" s="1"/>
  <c r="AL304" i="5"/>
  <c r="AK304" i="5"/>
  <c r="AJ304" i="5"/>
  <c r="X304" i="5"/>
  <c r="W304" i="5"/>
  <c r="U304" i="5"/>
  <c r="V304" i="5" s="1"/>
  <c r="R304" i="5"/>
  <c r="D304" i="5"/>
  <c r="AJ303" i="5"/>
  <c r="X303" i="5"/>
  <c r="Y303" i="5" s="1"/>
  <c r="W303" i="5"/>
  <c r="V303" i="5"/>
  <c r="U303" i="5"/>
  <c r="R303" i="5"/>
  <c r="D303" i="5"/>
  <c r="AM302" i="5"/>
  <c r="AL302" i="5"/>
  <c r="AJ302" i="5"/>
  <c r="AK302" i="5" s="1"/>
  <c r="AN302" i="5" s="1"/>
  <c r="U302" i="5"/>
  <c r="R302" i="5"/>
  <c r="D302" i="5"/>
  <c r="AL301" i="5"/>
  <c r="AK301" i="5"/>
  <c r="AJ301" i="5"/>
  <c r="AM301" i="5" s="1"/>
  <c r="X301" i="5"/>
  <c r="U301" i="5"/>
  <c r="W301" i="5" s="1"/>
  <c r="R301" i="5"/>
  <c r="D301" i="5"/>
  <c r="AM300" i="5"/>
  <c r="AN300" i="5" s="1"/>
  <c r="AL300" i="5"/>
  <c r="AJ300" i="5"/>
  <c r="AK300" i="5" s="1"/>
  <c r="U300" i="5"/>
  <c r="X300" i="5" s="1"/>
  <c r="R300" i="5"/>
  <c r="D300" i="5"/>
  <c r="AJ299" i="5"/>
  <c r="X299" i="5"/>
  <c r="Y299" i="5" s="1"/>
  <c r="W299" i="5"/>
  <c r="V299" i="5"/>
  <c r="U299" i="5"/>
  <c r="R299" i="5"/>
  <c r="D299" i="5"/>
  <c r="AM298" i="5"/>
  <c r="AN298" i="5" s="1"/>
  <c r="AL298" i="5"/>
  <c r="AJ298" i="5"/>
  <c r="AK298" i="5" s="1"/>
  <c r="U298" i="5"/>
  <c r="R298" i="5"/>
  <c r="D298" i="5"/>
  <c r="AK297" i="5"/>
  <c r="AJ297" i="5"/>
  <c r="AM297" i="5" s="1"/>
  <c r="X297" i="5"/>
  <c r="U297" i="5"/>
  <c r="W297" i="5" s="1"/>
  <c r="R297" i="5"/>
  <c r="D297" i="5"/>
  <c r="AJ296" i="5"/>
  <c r="AM296" i="5" s="1"/>
  <c r="X296" i="5"/>
  <c r="Y296" i="5" s="1"/>
  <c r="W296" i="5"/>
  <c r="V296" i="5"/>
  <c r="U296" i="5"/>
  <c r="R296" i="5"/>
  <c r="D296" i="5"/>
  <c r="AJ295" i="5"/>
  <c r="X295" i="5"/>
  <c r="Y295" i="5" s="1"/>
  <c r="W295" i="5"/>
  <c r="V295" i="5"/>
  <c r="U295" i="5"/>
  <c r="R295" i="5"/>
  <c r="D295" i="5"/>
  <c r="AM294" i="5"/>
  <c r="AL294" i="5"/>
  <c r="AJ294" i="5"/>
  <c r="AK294" i="5" s="1"/>
  <c r="V294" i="5"/>
  <c r="U294" i="5"/>
  <c r="R294" i="5"/>
  <c r="D294" i="5"/>
  <c r="AK293" i="5"/>
  <c r="AJ293" i="5"/>
  <c r="AM293" i="5" s="1"/>
  <c r="X293" i="5"/>
  <c r="U293" i="5"/>
  <c r="W293" i="5" s="1"/>
  <c r="R293" i="5"/>
  <c r="D293" i="5"/>
  <c r="AM292" i="5"/>
  <c r="AN292" i="5" s="1"/>
  <c r="AL292" i="5"/>
  <c r="AK292" i="5"/>
  <c r="AJ292" i="5"/>
  <c r="X292" i="5"/>
  <c r="Y292" i="5" s="1"/>
  <c r="W292" i="5"/>
  <c r="V292" i="5"/>
  <c r="U292" i="5"/>
  <c r="R292" i="5"/>
  <c r="D292" i="5"/>
  <c r="AJ291" i="5"/>
  <c r="X291" i="5"/>
  <c r="Y291" i="5" s="1"/>
  <c r="W291" i="5"/>
  <c r="V291" i="5"/>
  <c r="U291" i="5"/>
  <c r="R291" i="5"/>
  <c r="D291" i="5"/>
  <c r="AM290" i="5"/>
  <c r="AL290" i="5"/>
  <c r="AJ290" i="5"/>
  <c r="AK290" i="5" s="1"/>
  <c r="AN290" i="5" s="1"/>
  <c r="V290" i="5"/>
  <c r="U290" i="5"/>
  <c r="R290" i="5"/>
  <c r="D290" i="5"/>
  <c r="AK289" i="5"/>
  <c r="AJ289" i="5"/>
  <c r="AM289" i="5" s="1"/>
  <c r="X289" i="5"/>
  <c r="U289" i="5"/>
  <c r="W289" i="5" s="1"/>
  <c r="R289" i="5"/>
  <c r="D289" i="5"/>
  <c r="AM288" i="5"/>
  <c r="AN288" i="5" s="1"/>
  <c r="AL288" i="5"/>
  <c r="AK288" i="5"/>
  <c r="AJ288" i="5"/>
  <c r="X288" i="5"/>
  <c r="W288" i="5"/>
  <c r="U288" i="5"/>
  <c r="V288" i="5" s="1"/>
  <c r="R288" i="5"/>
  <c r="D288" i="5"/>
  <c r="AJ287" i="5"/>
  <c r="X287" i="5"/>
  <c r="Y287" i="5" s="1"/>
  <c r="W287" i="5"/>
  <c r="V287" i="5"/>
  <c r="U287" i="5"/>
  <c r="R287" i="5"/>
  <c r="D287" i="5"/>
  <c r="AM286" i="5"/>
  <c r="AL286" i="5"/>
  <c r="AJ286" i="5"/>
  <c r="AK286" i="5" s="1"/>
  <c r="AN286" i="5" s="1"/>
  <c r="U286" i="5"/>
  <c r="R286" i="5"/>
  <c r="D286" i="5"/>
  <c r="AL285" i="5"/>
  <c r="AK285" i="5"/>
  <c r="AJ285" i="5"/>
  <c r="AM285" i="5" s="1"/>
  <c r="X285" i="5"/>
  <c r="U285" i="5"/>
  <c r="W285" i="5" s="1"/>
  <c r="R285" i="5"/>
  <c r="D285" i="5"/>
  <c r="AM284" i="5"/>
  <c r="AN284" i="5" s="1"/>
  <c r="AL284" i="5"/>
  <c r="AJ284" i="5"/>
  <c r="AK284" i="5" s="1"/>
  <c r="U284" i="5"/>
  <c r="X284" i="5" s="1"/>
  <c r="R284" i="5"/>
  <c r="D284" i="5"/>
  <c r="AJ283" i="5"/>
  <c r="X283" i="5"/>
  <c r="Y283" i="5" s="1"/>
  <c r="W283" i="5"/>
  <c r="V283" i="5"/>
  <c r="U283" i="5"/>
  <c r="R283" i="5"/>
  <c r="D283" i="5"/>
  <c r="AM282" i="5"/>
  <c r="AN282" i="5" s="1"/>
  <c r="AL282" i="5"/>
  <c r="AJ282" i="5"/>
  <c r="AK282" i="5" s="1"/>
  <c r="U282" i="5"/>
  <c r="R282" i="5"/>
  <c r="D282" i="5"/>
  <c r="AK281" i="5"/>
  <c r="AJ281" i="5"/>
  <c r="AM281" i="5" s="1"/>
  <c r="X281" i="5"/>
  <c r="U281" i="5"/>
  <c r="W281" i="5" s="1"/>
  <c r="R281" i="5"/>
  <c r="D281" i="5"/>
  <c r="AJ280" i="5"/>
  <c r="AM280" i="5" s="1"/>
  <c r="X280" i="5"/>
  <c r="Y280" i="5" s="1"/>
  <c r="W280" i="5"/>
  <c r="V280" i="5"/>
  <c r="U280" i="5"/>
  <c r="R280" i="5"/>
  <c r="D280" i="5"/>
  <c r="AL279" i="5"/>
  <c r="AJ279" i="5"/>
  <c r="Y279" i="5"/>
  <c r="X279" i="5"/>
  <c r="W279" i="5"/>
  <c r="V279" i="5"/>
  <c r="U279" i="5"/>
  <c r="R279" i="5"/>
  <c r="D279" i="5"/>
  <c r="AM278" i="5"/>
  <c r="AN278" i="5" s="1"/>
  <c r="AL278" i="5"/>
  <c r="AJ278" i="5"/>
  <c r="AK278" i="5" s="1"/>
  <c r="V278" i="5"/>
  <c r="U278" i="5"/>
  <c r="W278" i="5" s="1"/>
  <c r="R278" i="5"/>
  <c r="D278" i="5"/>
  <c r="AL277" i="5"/>
  <c r="AJ277" i="5"/>
  <c r="AM277" i="5" s="1"/>
  <c r="X277" i="5"/>
  <c r="U277" i="5"/>
  <c r="W277" i="5" s="1"/>
  <c r="R277" i="5"/>
  <c r="D277" i="5"/>
  <c r="AK276" i="5"/>
  <c r="AJ276" i="5"/>
  <c r="AM276" i="5" s="1"/>
  <c r="V276" i="5"/>
  <c r="U276" i="5"/>
  <c r="X276" i="5" s="1"/>
  <c r="R276" i="5"/>
  <c r="D276" i="5"/>
  <c r="AL275" i="5"/>
  <c r="AJ275" i="5"/>
  <c r="X275" i="5"/>
  <c r="Y275" i="5" s="1"/>
  <c r="W275" i="5"/>
  <c r="V275" i="5"/>
  <c r="U275" i="5"/>
  <c r="R275" i="5"/>
  <c r="D275" i="5"/>
  <c r="AM274" i="5"/>
  <c r="AN274" i="5" s="1"/>
  <c r="AL274" i="5"/>
  <c r="AJ274" i="5"/>
  <c r="AK274" i="5" s="1"/>
  <c r="X274" i="5"/>
  <c r="Y274" i="5" s="1"/>
  <c r="V274" i="5"/>
  <c r="U274" i="5"/>
  <c r="W274" i="5" s="1"/>
  <c r="R274" i="5"/>
  <c r="D274" i="5"/>
  <c r="AL273" i="5"/>
  <c r="AK273" i="5"/>
  <c r="AJ273" i="5"/>
  <c r="AM273" i="5" s="1"/>
  <c r="X273" i="5"/>
  <c r="U273" i="5"/>
  <c r="W273" i="5" s="1"/>
  <c r="R273" i="5"/>
  <c r="D273" i="5"/>
  <c r="AM272" i="5"/>
  <c r="AN272" i="5" s="1"/>
  <c r="AL272" i="5"/>
  <c r="AK272" i="5"/>
  <c r="AJ272" i="5"/>
  <c r="U272" i="5"/>
  <c r="X272" i="5" s="1"/>
  <c r="R272" i="5"/>
  <c r="D272" i="5"/>
  <c r="AJ271" i="5"/>
  <c r="Y271" i="5"/>
  <c r="X271" i="5"/>
  <c r="W271" i="5"/>
  <c r="V271" i="5"/>
  <c r="U271" i="5"/>
  <c r="R271" i="5"/>
  <c r="D271" i="5"/>
  <c r="AM270" i="5"/>
  <c r="AN270" i="5" s="1"/>
  <c r="AL270" i="5"/>
  <c r="AJ270" i="5"/>
  <c r="AK270" i="5" s="1"/>
  <c r="X270" i="5"/>
  <c r="V270" i="5"/>
  <c r="U270" i="5"/>
  <c r="W270" i="5" s="1"/>
  <c r="R270" i="5"/>
  <c r="D270" i="5"/>
  <c r="AN269" i="5"/>
  <c r="AL269" i="5"/>
  <c r="AK269" i="5"/>
  <c r="AJ269" i="5"/>
  <c r="AM269" i="5" s="1"/>
  <c r="X269" i="5"/>
  <c r="U269" i="5"/>
  <c r="W269" i="5" s="1"/>
  <c r="R269" i="5"/>
  <c r="D269" i="5"/>
  <c r="AL268" i="5"/>
  <c r="AK268" i="5"/>
  <c r="AJ268" i="5"/>
  <c r="AM268" i="5" s="1"/>
  <c r="AN268" i="5" s="1"/>
  <c r="V268" i="5"/>
  <c r="U268" i="5"/>
  <c r="X268" i="5" s="1"/>
  <c r="R268" i="5"/>
  <c r="D268" i="5"/>
  <c r="AL267" i="5"/>
  <c r="AJ267" i="5"/>
  <c r="X267" i="5"/>
  <c r="Y267" i="5" s="1"/>
  <c r="W267" i="5"/>
  <c r="V267" i="5"/>
  <c r="U267" i="5"/>
  <c r="R267" i="5"/>
  <c r="D267" i="5"/>
  <c r="AM266" i="5"/>
  <c r="AL266" i="5"/>
  <c r="AJ266" i="5"/>
  <c r="AK266" i="5" s="1"/>
  <c r="AN266" i="5" s="1"/>
  <c r="X266" i="5"/>
  <c r="Y266" i="5" s="1"/>
  <c r="V266" i="5"/>
  <c r="U266" i="5"/>
  <c r="W266" i="5" s="1"/>
  <c r="R266" i="5"/>
  <c r="D266" i="5"/>
  <c r="AK265" i="5"/>
  <c r="AJ265" i="5"/>
  <c r="AM265" i="5" s="1"/>
  <c r="X265" i="5"/>
  <c r="U265" i="5"/>
  <c r="W265" i="5" s="1"/>
  <c r="R265" i="5"/>
  <c r="D265" i="5"/>
  <c r="AM264" i="5"/>
  <c r="AN264" i="5" s="1"/>
  <c r="AL264" i="5"/>
  <c r="AK264" i="5"/>
  <c r="AJ264" i="5"/>
  <c r="X264" i="5"/>
  <c r="W264" i="5"/>
  <c r="U264" i="5"/>
  <c r="V264" i="5" s="1"/>
  <c r="R264" i="5"/>
  <c r="D264" i="5"/>
  <c r="AJ263" i="5"/>
  <c r="Y263" i="5"/>
  <c r="X263" i="5"/>
  <c r="W263" i="5"/>
  <c r="V263" i="5"/>
  <c r="U263" i="5"/>
  <c r="R263" i="5"/>
  <c r="D263" i="5"/>
  <c r="AM262" i="5"/>
  <c r="AN262" i="5" s="1"/>
  <c r="AL262" i="5"/>
  <c r="AJ262" i="5"/>
  <c r="AK262" i="5" s="1"/>
  <c r="V262" i="5"/>
  <c r="U262" i="5"/>
  <c r="W262" i="5" s="1"/>
  <c r="R262" i="5"/>
  <c r="D262" i="5"/>
  <c r="AN261" i="5"/>
  <c r="AL261" i="5"/>
  <c r="AK261" i="5"/>
  <c r="AJ261" i="5"/>
  <c r="AM261" i="5" s="1"/>
  <c r="X261" i="5"/>
  <c r="U261" i="5"/>
  <c r="W261" i="5" s="1"/>
  <c r="R261" i="5"/>
  <c r="D261" i="5"/>
  <c r="AK260" i="5"/>
  <c r="AJ260" i="5"/>
  <c r="AM260" i="5" s="1"/>
  <c r="W260" i="5"/>
  <c r="V260" i="5"/>
  <c r="U260" i="5"/>
  <c r="X260" i="5" s="1"/>
  <c r="R260" i="5"/>
  <c r="D260" i="5"/>
  <c r="AL259" i="5"/>
  <c r="AJ259" i="5"/>
  <c r="X259" i="5"/>
  <c r="W259" i="5"/>
  <c r="V259" i="5"/>
  <c r="Y259" i="5" s="1"/>
  <c r="U259" i="5"/>
  <c r="R259" i="5"/>
  <c r="D259" i="5"/>
  <c r="AM258" i="5"/>
  <c r="AL258" i="5"/>
  <c r="AJ258" i="5"/>
  <c r="AK258" i="5" s="1"/>
  <c r="AN258" i="5" s="1"/>
  <c r="X258" i="5"/>
  <c r="Y258" i="5" s="1"/>
  <c r="V258" i="5"/>
  <c r="U258" i="5"/>
  <c r="W258" i="5" s="1"/>
  <c r="R258" i="5"/>
  <c r="D258" i="5"/>
  <c r="AK257" i="5"/>
  <c r="AJ257" i="5"/>
  <c r="AM257" i="5" s="1"/>
  <c r="X257" i="5"/>
  <c r="U257" i="5"/>
  <c r="W257" i="5" s="1"/>
  <c r="R257" i="5"/>
  <c r="D257" i="5"/>
  <c r="AM256" i="5"/>
  <c r="AN256" i="5" s="1"/>
  <c r="AL256" i="5"/>
  <c r="AK256" i="5"/>
  <c r="AJ256" i="5"/>
  <c r="X256" i="5"/>
  <c r="Y256" i="5" s="1"/>
  <c r="W256" i="5"/>
  <c r="V256" i="5"/>
  <c r="U256" i="5"/>
  <c r="R256" i="5"/>
  <c r="D256" i="5"/>
  <c r="AJ255" i="5"/>
  <c r="X255" i="5"/>
  <c r="W255" i="5"/>
  <c r="V255" i="5"/>
  <c r="Y255" i="5" s="1"/>
  <c r="U255" i="5"/>
  <c r="R255" i="5"/>
  <c r="D255" i="5"/>
  <c r="AM254" i="5"/>
  <c r="AN254" i="5" s="1"/>
  <c r="AL254" i="5"/>
  <c r="AJ254" i="5"/>
  <c r="AK254" i="5" s="1"/>
  <c r="V254" i="5"/>
  <c r="U254" i="5"/>
  <c r="W254" i="5" s="1"/>
  <c r="R254" i="5"/>
  <c r="D254" i="5"/>
  <c r="AJ253" i="5"/>
  <c r="AM253" i="5" s="1"/>
  <c r="X253" i="5"/>
  <c r="U253" i="5"/>
  <c r="W253" i="5" s="1"/>
  <c r="R253" i="5"/>
  <c r="D253" i="5"/>
  <c r="AK252" i="5"/>
  <c r="AJ252" i="5"/>
  <c r="AM252" i="5" s="1"/>
  <c r="AF252" i="5"/>
  <c r="AH252" i="5" s="1"/>
  <c r="AE252" i="5"/>
  <c r="X252" i="5"/>
  <c r="W252" i="5"/>
  <c r="U252" i="5"/>
  <c r="V252" i="5" s="1"/>
  <c r="Y252" i="5" s="1"/>
  <c r="R252" i="5"/>
  <c r="D252" i="5"/>
  <c r="AK251" i="5"/>
  <c r="AJ251" i="5"/>
  <c r="AM251" i="5" s="1"/>
  <c r="AH251" i="5"/>
  <c r="AF251" i="5"/>
  <c r="AE251" i="5"/>
  <c r="Y251" i="5"/>
  <c r="X251" i="5"/>
  <c r="W251" i="5"/>
  <c r="V251" i="5"/>
  <c r="U251" i="5"/>
  <c r="R251" i="5"/>
  <c r="D251" i="5"/>
  <c r="AN250" i="5"/>
  <c r="AL250" i="5"/>
  <c r="AK250" i="5"/>
  <c r="AJ250" i="5"/>
  <c r="AM250" i="5" s="1"/>
  <c r="AH250" i="5"/>
  <c r="AF250" i="5"/>
  <c r="AE250" i="5"/>
  <c r="X250" i="5"/>
  <c r="Y250" i="5" s="1"/>
  <c r="W250" i="5"/>
  <c r="V250" i="5"/>
  <c r="U250" i="5"/>
  <c r="R250" i="5"/>
  <c r="D250" i="5"/>
  <c r="AM249" i="5"/>
  <c r="AK249" i="5"/>
  <c r="AJ249" i="5"/>
  <c r="AL249" i="5" s="1"/>
  <c r="AH249" i="5"/>
  <c r="AF249" i="5"/>
  <c r="AE249" i="5"/>
  <c r="U249" i="5"/>
  <c r="X249" i="5" s="1"/>
  <c r="R249" i="5"/>
  <c r="D249" i="5"/>
  <c r="AL248" i="5"/>
  <c r="AJ248" i="5"/>
  <c r="AK248" i="5" s="1"/>
  <c r="AF248" i="5"/>
  <c r="AH248" i="5" s="1"/>
  <c r="AE248" i="5"/>
  <c r="U248" i="5"/>
  <c r="X248" i="5" s="1"/>
  <c r="R248" i="5"/>
  <c r="D248" i="5"/>
  <c r="AM247" i="5"/>
  <c r="AL247" i="5"/>
  <c r="AK247" i="5"/>
  <c r="AJ247" i="5"/>
  <c r="AF247" i="5"/>
  <c r="AH247" i="5" s="1"/>
  <c r="AE247" i="5"/>
  <c r="X247" i="5"/>
  <c r="Y247" i="5" s="1"/>
  <c r="V247" i="5"/>
  <c r="U247" i="5"/>
  <c r="W247" i="5" s="1"/>
  <c r="R247" i="5"/>
  <c r="D247" i="5"/>
  <c r="AJ246" i="5"/>
  <c r="AF246" i="5"/>
  <c r="AH246" i="5" s="1"/>
  <c r="AE246" i="5"/>
  <c r="U246" i="5"/>
  <c r="V246" i="5" s="1"/>
  <c r="R246" i="5"/>
  <c r="D246" i="5"/>
  <c r="AM245" i="5"/>
  <c r="AJ245" i="5"/>
  <c r="AH245" i="5"/>
  <c r="AF245" i="5"/>
  <c r="AE245" i="5"/>
  <c r="X245" i="5"/>
  <c r="Y245" i="5" s="1"/>
  <c r="W245" i="5"/>
  <c r="V245" i="5"/>
  <c r="U245" i="5"/>
  <c r="R245" i="5"/>
  <c r="D245" i="5"/>
  <c r="AM244" i="5"/>
  <c r="AL244" i="5"/>
  <c r="AJ244" i="5"/>
  <c r="AK244" i="5" s="1"/>
  <c r="AN244" i="5" s="1"/>
  <c r="AH244" i="5"/>
  <c r="AF244" i="5"/>
  <c r="AE244" i="5"/>
  <c r="X244" i="5"/>
  <c r="Y244" i="5" s="1"/>
  <c r="W244" i="5"/>
  <c r="V244" i="5"/>
  <c r="U244" i="5"/>
  <c r="R244" i="5"/>
  <c r="D244" i="5"/>
  <c r="AM243" i="5"/>
  <c r="AL243" i="5"/>
  <c r="AN243" i="5" s="1"/>
  <c r="AK243" i="5"/>
  <c r="AJ243" i="5"/>
  <c r="AF243" i="5"/>
  <c r="AH243" i="5" s="1"/>
  <c r="AE243" i="5"/>
  <c r="U243" i="5"/>
  <c r="X243" i="5" s="1"/>
  <c r="R243" i="5"/>
  <c r="D243" i="5"/>
  <c r="AM242" i="5"/>
  <c r="AN242" i="5" s="1"/>
  <c r="AL242" i="5"/>
  <c r="AK242" i="5"/>
  <c r="AJ242" i="5"/>
  <c r="AF242" i="5"/>
  <c r="AH242" i="5" s="1"/>
  <c r="AE242" i="5"/>
  <c r="W242" i="5"/>
  <c r="V242" i="5"/>
  <c r="U242" i="5"/>
  <c r="X242" i="5" s="1"/>
  <c r="Y242" i="5" s="1"/>
  <c r="R242" i="5"/>
  <c r="D242" i="5"/>
  <c r="AM241" i="5"/>
  <c r="AN241" i="5" s="1"/>
  <c r="AL241" i="5"/>
  <c r="AK241" i="5"/>
  <c r="AJ241" i="5"/>
  <c r="AH241" i="5"/>
  <c r="AF241" i="5"/>
  <c r="AE241" i="5"/>
  <c r="X241" i="5"/>
  <c r="Y241" i="5" s="1"/>
  <c r="V241" i="5"/>
  <c r="U241" i="5"/>
  <c r="W241" i="5" s="1"/>
  <c r="R241" i="5"/>
  <c r="D241" i="5"/>
  <c r="AJ240" i="5"/>
  <c r="AM240" i="5" s="1"/>
  <c r="AF240" i="5"/>
  <c r="AH240" i="5" s="1"/>
  <c r="AE240" i="5"/>
  <c r="X240" i="5"/>
  <c r="Y240" i="5" s="1"/>
  <c r="W240" i="5"/>
  <c r="U240" i="5"/>
  <c r="V240" i="5" s="1"/>
  <c r="R240" i="5"/>
  <c r="D240" i="5"/>
  <c r="AJ239" i="5"/>
  <c r="AF239" i="5"/>
  <c r="AH239" i="5" s="1"/>
  <c r="AE239" i="5"/>
  <c r="X239" i="5"/>
  <c r="Y239" i="5" s="1"/>
  <c r="W239" i="5"/>
  <c r="V239" i="5"/>
  <c r="U239" i="5"/>
  <c r="R239" i="5"/>
  <c r="D239" i="5"/>
  <c r="AL238" i="5"/>
  <c r="AJ238" i="5"/>
  <c r="AK238" i="5" s="1"/>
  <c r="AF238" i="5"/>
  <c r="AH238" i="5" s="1"/>
  <c r="AE238" i="5"/>
  <c r="V238" i="5"/>
  <c r="U238" i="5"/>
  <c r="R238" i="5"/>
  <c r="D238" i="5"/>
  <c r="AM237" i="5"/>
  <c r="AL237" i="5"/>
  <c r="AK237" i="5"/>
  <c r="AN237" i="5" s="1"/>
  <c r="AJ237" i="5"/>
  <c r="AF237" i="5"/>
  <c r="AH237" i="5" s="1"/>
  <c r="AE237" i="5"/>
  <c r="U237" i="5"/>
  <c r="R237" i="5"/>
  <c r="D237" i="5"/>
  <c r="AM236" i="5"/>
  <c r="AN236" i="5" s="1"/>
  <c r="AL236" i="5"/>
  <c r="AK236" i="5"/>
  <c r="AJ236" i="5"/>
  <c r="AF236" i="5"/>
  <c r="AH236" i="5" s="1"/>
  <c r="AE236" i="5"/>
  <c r="X236" i="5"/>
  <c r="W236" i="5"/>
  <c r="Y236" i="5" s="1"/>
  <c r="U236" i="5"/>
  <c r="V236" i="5" s="1"/>
  <c r="R236" i="5"/>
  <c r="D236" i="5"/>
  <c r="AM235" i="5"/>
  <c r="AN235" i="5" s="1"/>
  <c r="AL235" i="5"/>
  <c r="AK235" i="5"/>
  <c r="AJ235" i="5"/>
  <c r="AH235" i="5"/>
  <c r="AF235" i="5"/>
  <c r="AE235" i="5"/>
  <c r="X235" i="5"/>
  <c r="Y235" i="5" s="1"/>
  <c r="W235" i="5"/>
  <c r="V235" i="5"/>
  <c r="U235" i="5"/>
  <c r="R235" i="5"/>
  <c r="D235" i="5"/>
  <c r="AL234" i="5"/>
  <c r="AK234" i="5"/>
  <c r="AJ234" i="5"/>
  <c r="AM234" i="5" s="1"/>
  <c r="AN234" i="5" s="1"/>
  <c r="AH234" i="5"/>
  <c r="AF234" i="5"/>
  <c r="AE234" i="5"/>
  <c r="V234" i="5"/>
  <c r="U234" i="5"/>
  <c r="X234" i="5" s="1"/>
  <c r="R234" i="5"/>
  <c r="D234" i="5"/>
  <c r="AJ233" i="5"/>
  <c r="AL233" i="5" s="1"/>
  <c r="AH233" i="5"/>
  <c r="AF233" i="5"/>
  <c r="AE233" i="5"/>
  <c r="W233" i="5"/>
  <c r="U233" i="5"/>
  <c r="X233" i="5" s="1"/>
  <c r="R233" i="5"/>
  <c r="D233" i="5"/>
  <c r="AM232" i="5"/>
  <c r="AN232" i="5" s="1"/>
  <c r="AL232" i="5"/>
  <c r="AJ232" i="5"/>
  <c r="AK232" i="5" s="1"/>
  <c r="AH232" i="5"/>
  <c r="AF232" i="5"/>
  <c r="AE232" i="5"/>
  <c r="W232" i="5"/>
  <c r="U232" i="5"/>
  <c r="X232" i="5" s="1"/>
  <c r="R232" i="5"/>
  <c r="D232" i="5"/>
  <c r="AM231" i="5"/>
  <c r="AL231" i="5"/>
  <c r="AK231" i="5"/>
  <c r="AJ231" i="5"/>
  <c r="AH231" i="5"/>
  <c r="AF231" i="5"/>
  <c r="AE231" i="5"/>
  <c r="U231" i="5"/>
  <c r="W231" i="5" s="1"/>
  <c r="R231" i="5"/>
  <c r="D231" i="5"/>
  <c r="AJ230" i="5"/>
  <c r="AF230" i="5"/>
  <c r="AH230" i="5" s="1"/>
  <c r="AE230" i="5"/>
  <c r="X230" i="5"/>
  <c r="Y230" i="5" s="1"/>
  <c r="W230" i="5"/>
  <c r="U230" i="5"/>
  <c r="V230" i="5" s="1"/>
  <c r="R230" i="5"/>
  <c r="D230" i="5"/>
  <c r="AJ229" i="5"/>
  <c r="AH229" i="5"/>
  <c r="AF229" i="5"/>
  <c r="AE229" i="5"/>
  <c r="X229" i="5"/>
  <c r="Y229" i="5" s="1"/>
  <c r="W229" i="5"/>
  <c r="V229" i="5"/>
  <c r="U229" i="5"/>
  <c r="R229" i="5"/>
  <c r="D229" i="5"/>
  <c r="AM228" i="5"/>
  <c r="AL228" i="5"/>
  <c r="AN228" i="5" s="1"/>
  <c r="AJ228" i="5"/>
  <c r="AK228" i="5" s="1"/>
  <c r="AF228" i="5"/>
  <c r="AH228" i="5" s="1"/>
  <c r="AE228" i="5"/>
  <c r="X228" i="5"/>
  <c r="V228" i="5"/>
  <c r="U228" i="5"/>
  <c r="W228" i="5" s="1"/>
  <c r="R228" i="5"/>
  <c r="D228" i="5"/>
  <c r="AN227" i="5"/>
  <c r="AM227" i="5"/>
  <c r="AL227" i="5"/>
  <c r="AK227" i="5"/>
  <c r="AJ227" i="5"/>
  <c r="AF227" i="5"/>
  <c r="AH227" i="5" s="1"/>
  <c r="AE227" i="5"/>
  <c r="X227" i="5"/>
  <c r="W227" i="5"/>
  <c r="U227" i="5"/>
  <c r="V227" i="5" s="1"/>
  <c r="R227" i="5"/>
  <c r="D227" i="5"/>
  <c r="AK226" i="5"/>
  <c r="AJ226" i="5"/>
  <c r="AM226" i="5" s="1"/>
  <c r="AF226" i="5"/>
  <c r="AH226" i="5" s="1"/>
  <c r="AE226" i="5"/>
  <c r="U226" i="5"/>
  <c r="X226" i="5" s="1"/>
  <c r="R226" i="5"/>
  <c r="D226" i="5"/>
  <c r="AM225" i="5"/>
  <c r="AK225" i="5"/>
  <c r="AJ225" i="5"/>
  <c r="AL225" i="5" s="1"/>
  <c r="AH225" i="5"/>
  <c r="AF225" i="5"/>
  <c r="AE225" i="5"/>
  <c r="U225" i="5"/>
  <c r="W225" i="5" s="1"/>
  <c r="R225" i="5"/>
  <c r="D225" i="5"/>
  <c r="AL224" i="5"/>
  <c r="AJ224" i="5"/>
  <c r="AM224" i="5" s="1"/>
  <c r="AF224" i="5"/>
  <c r="AH224" i="5" s="1"/>
  <c r="AE224" i="5"/>
  <c r="U224" i="5"/>
  <c r="V224" i="5" s="1"/>
  <c r="R224" i="5"/>
  <c r="D224" i="5"/>
  <c r="AM223" i="5"/>
  <c r="AN223" i="5" s="1"/>
  <c r="AK223" i="5"/>
  <c r="AJ223" i="5"/>
  <c r="AL223" i="5" s="1"/>
  <c r="AF223" i="5"/>
  <c r="AH223" i="5" s="1"/>
  <c r="AE223" i="5"/>
  <c r="X223" i="5"/>
  <c r="W223" i="5"/>
  <c r="V223" i="5"/>
  <c r="U223" i="5"/>
  <c r="R223" i="5"/>
  <c r="D223" i="5"/>
  <c r="AN222" i="5"/>
  <c r="AM222" i="5"/>
  <c r="AL222" i="5"/>
  <c r="AJ222" i="5"/>
  <c r="AK222" i="5" s="1"/>
  <c r="AH222" i="5"/>
  <c r="AF222" i="5"/>
  <c r="AE222" i="5"/>
  <c r="V222" i="5"/>
  <c r="U222" i="5"/>
  <c r="R222" i="5"/>
  <c r="D222" i="5"/>
  <c r="AN221" i="5"/>
  <c r="AM221" i="5"/>
  <c r="AL221" i="5"/>
  <c r="AK221" i="5"/>
  <c r="AJ221" i="5"/>
  <c r="AH221" i="5"/>
  <c r="AF221" i="5"/>
  <c r="AE221" i="5"/>
  <c r="X221" i="5"/>
  <c r="U221" i="5"/>
  <c r="R221" i="5"/>
  <c r="D221" i="5"/>
  <c r="AM220" i="5"/>
  <c r="AN220" i="5" s="1"/>
  <c r="AK220" i="5"/>
  <c r="AJ220" i="5"/>
  <c r="AL220" i="5" s="1"/>
  <c r="AF220" i="5"/>
  <c r="AH220" i="5" s="1"/>
  <c r="AE220" i="5"/>
  <c r="Y220" i="5"/>
  <c r="X220" i="5"/>
  <c r="W220" i="5"/>
  <c r="U220" i="5"/>
  <c r="V220" i="5" s="1"/>
  <c r="R220" i="5"/>
  <c r="D220" i="5"/>
  <c r="AL219" i="5"/>
  <c r="AK219" i="5"/>
  <c r="AJ219" i="5"/>
  <c r="AM219" i="5" s="1"/>
  <c r="AH219" i="5"/>
  <c r="AF219" i="5"/>
  <c r="AE219" i="5"/>
  <c r="X219" i="5"/>
  <c r="Y219" i="5" s="1"/>
  <c r="W219" i="5"/>
  <c r="V219" i="5"/>
  <c r="U219" i="5"/>
  <c r="R219" i="5"/>
  <c r="D219" i="5"/>
  <c r="AJ218" i="5"/>
  <c r="AM218" i="5" s="1"/>
  <c r="AH218" i="5"/>
  <c r="AF218" i="5"/>
  <c r="AE218" i="5"/>
  <c r="X218" i="5"/>
  <c r="Y218" i="5" s="1"/>
  <c r="W218" i="5"/>
  <c r="V218" i="5"/>
  <c r="U218" i="5"/>
  <c r="R218" i="5"/>
  <c r="D218" i="5"/>
  <c r="AK217" i="5"/>
  <c r="AJ217" i="5"/>
  <c r="AL217" i="5" s="1"/>
  <c r="AF217" i="5"/>
  <c r="AH217" i="5" s="1"/>
  <c r="AE217" i="5"/>
  <c r="U217" i="5"/>
  <c r="X217" i="5" s="1"/>
  <c r="R217" i="5"/>
  <c r="D217" i="5"/>
  <c r="AL216" i="5"/>
  <c r="AJ216" i="5"/>
  <c r="AK216" i="5" s="1"/>
  <c r="AH216" i="5"/>
  <c r="AF216" i="5"/>
  <c r="AE216" i="5"/>
  <c r="U216" i="5"/>
  <c r="R216" i="5"/>
  <c r="D216" i="5"/>
  <c r="AM215" i="5"/>
  <c r="AL215" i="5"/>
  <c r="AK215" i="5"/>
  <c r="AJ215" i="5"/>
  <c r="AF215" i="5"/>
  <c r="AH215" i="5" s="1"/>
  <c r="AE215" i="5"/>
  <c r="V215" i="5"/>
  <c r="U215" i="5"/>
  <c r="W215" i="5" s="1"/>
  <c r="R215" i="5"/>
  <c r="D215" i="5"/>
  <c r="AJ214" i="5"/>
  <c r="AF214" i="5"/>
  <c r="AH214" i="5" s="1"/>
  <c r="AE214" i="5"/>
  <c r="U214" i="5"/>
  <c r="V214" i="5" s="1"/>
  <c r="R214" i="5"/>
  <c r="D214" i="5"/>
  <c r="AM213" i="5"/>
  <c r="AJ213" i="5"/>
  <c r="AH213" i="5"/>
  <c r="AF213" i="5"/>
  <c r="AE213" i="5"/>
  <c r="X213" i="5"/>
  <c r="Y213" i="5" s="1"/>
  <c r="W213" i="5"/>
  <c r="V213" i="5"/>
  <c r="U213" i="5"/>
  <c r="R213" i="5"/>
  <c r="D213" i="5"/>
  <c r="AN212" i="5"/>
  <c r="AM212" i="5"/>
  <c r="AL212" i="5"/>
  <c r="AJ212" i="5"/>
  <c r="AK212" i="5" s="1"/>
  <c r="AH212" i="5"/>
  <c r="AF212" i="5"/>
  <c r="AE212" i="5"/>
  <c r="X212" i="5"/>
  <c r="Y212" i="5" s="1"/>
  <c r="W212" i="5"/>
  <c r="V212" i="5"/>
  <c r="U212" i="5"/>
  <c r="R212" i="5"/>
  <c r="D212" i="5"/>
  <c r="AM211" i="5"/>
  <c r="AL211" i="5"/>
  <c r="AK211" i="5"/>
  <c r="AN211" i="5" s="1"/>
  <c r="AJ211" i="5"/>
  <c r="AF211" i="5"/>
  <c r="AH211" i="5" s="1"/>
  <c r="AE211" i="5"/>
  <c r="U211" i="5"/>
  <c r="R211" i="5"/>
  <c r="D211" i="5"/>
  <c r="AM210" i="5"/>
  <c r="AN210" i="5" s="1"/>
  <c r="AL210" i="5"/>
  <c r="AK210" i="5"/>
  <c r="AJ210" i="5"/>
  <c r="AF210" i="5"/>
  <c r="AH210" i="5" s="1"/>
  <c r="AE210" i="5"/>
  <c r="V210" i="5"/>
  <c r="U210" i="5"/>
  <c r="X210" i="5" s="1"/>
  <c r="R210" i="5"/>
  <c r="D210" i="5"/>
  <c r="AM209" i="5"/>
  <c r="AN209" i="5" s="1"/>
  <c r="AL209" i="5"/>
  <c r="AK209" i="5"/>
  <c r="AJ209" i="5"/>
  <c r="AH209" i="5"/>
  <c r="AF209" i="5"/>
  <c r="AE209" i="5"/>
  <c r="X209" i="5"/>
  <c r="Y209" i="5" s="1"/>
  <c r="V209" i="5"/>
  <c r="U209" i="5"/>
  <c r="W209" i="5" s="1"/>
  <c r="R209" i="5"/>
  <c r="D209" i="5"/>
  <c r="AJ208" i="5"/>
  <c r="AF208" i="5"/>
  <c r="AH208" i="5" s="1"/>
  <c r="AE208" i="5"/>
  <c r="X208" i="5"/>
  <c r="U208" i="5"/>
  <c r="V208" i="5" s="1"/>
  <c r="R208" i="5"/>
  <c r="D208" i="5"/>
  <c r="AJ207" i="5"/>
  <c r="AL207" i="5" s="1"/>
  <c r="AH207" i="5"/>
  <c r="AF207" i="5"/>
  <c r="AE207" i="5"/>
  <c r="X207" i="5"/>
  <c r="Y207" i="5" s="1"/>
  <c r="W207" i="5"/>
  <c r="V207" i="5"/>
  <c r="U207" i="5"/>
  <c r="R207" i="5"/>
  <c r="D207" i="5"/>
  <c r="AL206" i="5"/>
  <c r="AJ206" i="5"/>
  <c r="AK206" i="5" s="1"/>
  <c r="AH206" i="5"/>
  <c r="AF206" i="5"/>
  <c r="AE206" i="5"/>
  <c r="U206" i="5"/>
  <c r="R206" i="5"/>
  <c r="D206" i="5"/>
  <c r="AM205" i="5"/>
  <c r="AL205" i="5"/>
  <c r="AN205" i="5" s="1"/>
  <c r="AK205" i="5"/>
  <c r="AJ205" i="5"/>
  <c r="AF205" i="5"/>
  <c r="AH205" i="5" s="1"/>
  <c r="AE205" i="5"/>
  <c r="U205" i="5"/>
  <c r="R205" i="5"/>
  <c r="D205" i="5"/>
  <c r="AM204" i="5"/>
  <c r="AN204" i="5" s="1"/>
  <c r="AL204" i="5"/>
  <c r="AK204" i="5"/>
  <c r="AJ204" i="5"/>
  <c r="AF204" i="5"/>
  <c r="AH204" i="5" s="1"/>
  <c r="AE204" i="5"/>
  <c r="X204" i="5"/>
  <c r="W204" i="5"/>
  <c r="U204" i="5"/>
  <c r="V204" i="5" s="1"/>
  <c r="Y204" i="5" s="1"/>
  <c r="R204" i="5"/>
  <c r="D204" i="5"/>
  <c r="AM203" i="5"/>
  <c r="AJ203" i="5"/>
  <c r="AL203" i="5" s="1"/>
  <c r="AH203" i="5"/>
  <c r="AF203" i="5"/>
  <c r="AE203" i="5"/>
  <c r="X203" i="5"/>
  <c r="Y203" i="5" s="1"/>
  <c r="W203" i="5"/>
  <c r="V203" i="5"/>
  <c r="U203" i="5"/>
  <c r="R203" i="5"/>
  <c r="D203" i="5"/>
  <c r="AK202" i="5"/>
  <c r="AJ202" i="5"/>
  <c r="AM202" i="5" s="1"/>
  <c r="AF202" i="5"/>
  <c r="AH202" i="5" s="1"/>
  <c r="AE202" i="5"/>
  <c r="X202" i="5"/>
  <c r="Y202" i="5" s="1"/>
  <c r="V202" i="5"/>
  <c r="U202" i="5"/>
  <c r="W202" i="5" s="1"/>
  <c r="R202" i="5"/>
  <c r="D202" i="5"/>
  <c r="AN201" i="5"/>
  <c r="AM201" i="5"/>
  <c r="AK201" i="5"/>
  <c r="AJ201" i="5"/>
  <c r="AL201" i="5" s="1"/>
  <c r="AH201" i="5"/>
  <c r="AF201" i="5"/>
  <c r="AE201" i="5"/>
  <c r="X201" i="5"/>
  <c r="W201" i="5"/>
  <c r="U201" i="5"/>
  <c r="V201" i="5" s="1"/>
  <c r="R201" i="5"/>
  <c r="D201" i="5"/>
  <c r="AJ200" i="5"/>
  <c r="AH200" i="5"/>
  <c r="AF200" i="5"/>
  <c r="AE200" i="5"/>
  <c r="U200" i="5"/>
  <c r="X200" i="5" s="1"/>
  <c r="R200" i="5"/>
  <c r="D200" i="5"/>
  <c r="AM199" i="5"/>
  <c r="AL199" i="5"/>
  <c r="AK199" i="5"/>
  <c r="AJ199" i="5"/>
  <c r="AH199" i="5"/>
  <c r="AF199" i="5"/>
  <c r="AE199" i="5"/>
  <c r="U199" i="5"/>
  <c r="R199" i="5"/>
  <c r="D199" i="5"/>
  <c r="AL198" i="5"/>
  <c r="AJ198" i="5"/>
  <c r="AM198" i="5" s="1"/>
  <c r="AF198" i="5"/>
  <c r="AH198" i="5" s="1"/>
  <c r="AE198" i="5"/>
  <c r="U198" i="5"/>
  <c r="R198" i="5"/>
  <c r="D198" i="5"/>
  <c r="AM197" i="5"/>
  <c r="AN197" i="5" s="1"/>
  <c r="AK197" i="5"/>
  <c r="AJ197" i="5"/>
  <c r="AL197" i="5" s="1"/>
  <c r="AH197" i="5"/>
  <c r="AF197" i="5"/>
  <c r="AE197" i="5"/>
  <c r="X197" i="5"/>
  <c r="W197" i="5"/>
  <c r="Y197" i="5" s="1"/>
  <c r="V197" i="5"/>
  <c r="U197" i="5"/>
  <c r="R197" i="5"/>
  <c r="D197" i="5"/>
  <c r="AJ196" i="5"/>
  <c r="AH196" i="5"/>
  <c r="AF196" i="5"/>
  <c r="AE196" i="5"/>
  <c r="U196" i="5"/>
  <c r="R196" i="5"/>
  <c r="D196" i="5"/>
  <c r="AM195" i="5"/>
  <c r="AN195" i="5" s="1"/>
  <c r="AL195" i="5"/>
  <c r="AK195" i="5"/>
  <c r="AJ195" i="5"/>
  <c r="AH195" i="5"/>
  <c r="AF195" i="5"/>
  <c r="AE195" i="5"/>
  <c r="X195" i="5"/>
  <c r="W195" i="5"/>
  <c r="U195" i="5"/>
  <c r="V195" i="5" s="1"/>
  <c r="R195" i="5"/>
  <c r="D195" i="5"/>
  <c r="AK194" i="5"/>
  <c r="AJ194" i="5"/>
  <c r="AM194" i="5" s="1"/>
  <c r="AF194" i="5"/>
  <c r="AH194" i="5" s="1"/>
  <c r="AE194" i="5"/>
  <c r="U194" i="5"/>
  <c r="X194" i="5" s="1"/>
  <c r="R194" i="5"/>
  <c r="D194" i="5"/>
  <c r="AM193" i="5"/>
  <c r="AK193" i="5"/>
  <c r="AJ193" i="5"/>
  <c r="AL193" i="5" s="1"/>
  <c r="AH193" i="5"/>
  <c r="AF193" i="5"/>
  <c r="AE193" i="5"/>
  <c r="U193" i="5"/>
  <c r="R193" i="5"/>
  <c r="D193" i="5"/>
  <c r="AL192" i="5"/>
  <c r="AJ192" i="5"/>
  <c r="AM192" i="5" s="1"/>
  <c r="AF192" i="5"/>
  <c r="AH192" i="5" s="1"/>
  <c r="AE192" i="5"/>
  <c r="W192" i="5"/>
  <c r="U192" i="5"/>
  <c r="V192" i="5" s="1"/>
  <c r="R192" i="5"/>
  <c r="D192" i="5"/>
  <c r="AJ191" i="5"/>
  <c r="AL191" i="5" s="1"/>
  <c r="AH191" i="5"/>
  <c r="AF191" i="5"/>
  <c r="AE191" i="5"/>
  <c r="X191" i="5"/>
  <c r="W191" i="5"/>
  <c r="V191" i="5"/>
  <c r="U191" i="5"/>
  <c r="R191" i="5"/>
  <c r="D191" i="5"/>
  <c r="AJ190" i="5"/>
  <c r="AH190" i="5"/>
  <c r="AF190" i="5"/>
  <c r="AE190" i="5"/>
  <c r="V190" i="5"/>
  <c r="U190" i="5"/>
  <c r="X190" i="5" s="1"/>
  <c r="R190" i="5"/>
  <c r="D190" i="5"/>
  <c r="AM189" i="5"/>
  <c r="AL189" i="5"/>
  <c r="AK189" i="5"/>
  <c r="AJ189" i="5"/>
  <c r="AF189" i="5"/>
  <c r="AH189" i="5" s="1"/>
  <c r="AE189" i="5"/>
  <c r="X189" i="5"/>
  <c r="Y189" i="5" s="1"/>
  <c r="V189" i="5"/>
  <c r="U189" i="5"/>
  <c r="W189" i="5" s="1"/>
  <c r="R189" i="5"/>
  <c r="D189" i="5"/>
  <c r="AJ188" i="5"/>
  <c r="AF188" i="5"/>
  <c r="AH188" i="5" s="1"/>
  <c r="AE188" i="5"/>
  <c r="X188" i="5"/>
  <c r="W188" i="5"/>
  <c r="U188" i="5"/>
  <c r="V188" i="5" s="1"/>
  <c r="R188" i="5"/>
  <c r="D188" i="5"/>
  <c r="AJ187" i="5"/>
  <c r="AH187" i="5"/>
  <c r="AF187" i="5"/>
  <c r="AE187" i="5"/>
  <c r="Y187" i="5"/>
  <c r="X187" i="5"/>
  <c r="W187" i="5"/>
  <c r="V187" i="5"/>
  <c r="U187" i="5"/>
  <c r="R187" i="5"/>
  <c r="D187" i="5"/>
  <c r="AL186" i="5"/>
  <c r="AJ186" i="5"/>
  <c r="AM186" i="5" s="1"/>
  <c r="AF186" i="5"/>
  <c r="AH186" i="5" s="1"/>
  <c r="AE186" i="5"/>
  <c r="W186" i="5"/>
  <c r="V186" i="5"/>
  <c r="U186" i="5"/>
  <c r="X186" i="5" s="1"/>
  <c r="R186" i="5"/>
  <c r="D186" i="5"/>
  <c r="AJ185" i="5"/>
  <c r="AF185" i="5"/>
  <c r="AH185" i="5" s="1"/>
  <c r="AE185" i="5"/>
  <c r="X185" i="5"/>
  <c r="Y185" i="5" s="1"/>
  <c r="W185" i="5"/>
  <c r="V185" i="5"/>
  <c r="U185" i="5"/>
  <c r="R185" i="5"/>
  <c r="D185" i="5"/>
  <c r="AJ184" i="5"/>
  <c r="AF184" i="5"/>
  <c r="AH184" i="5" s="1"/>
  <c r="AE184" i="5"/>
  <c r="U184" i="5"/>
  <c r="R184" i="5"/>
  <c r="D184" i="5"/>
  <c r="AM183" i="5"/>
  <c r="AL183" i="5"/>
  <c r="AK183" i="5"/>
  <c r="AJ183" i="5"/>
  <c r="AF183" i="5"/>
  <c r="AH183" i="5" s="1"/>
  <c r="AE183" i="5"/>
  <c r="X183" i="5"/>
  <c r="V183" i="5"/>
  <c r="U183" i="5"/>
  <c r="W183" i="5" s="1"/>
  <c r="R183" i="5"/>
  <c r="D183" i="5"/>
  <c r="AN182" i="5"/>
  <c r="AL182" i="5"/>
  <c r="AK182" i="5"/>
  <c r="AJ182" i="5"/>
  <c r="AM182" i="5" s="1"/>
  <c r="AF182" i="5"/>
  <c r="AH182" i="5" s="1"/>
  <c r="AE182" i="5"/>
  <c r="W182" i="5"/>
  <c r="U182" i="5"/>
  <c r="R182" i="5"/>
  <c r="D182" i="5"/>
  <c r="AN181" i="5"/>
  <c r="AM181" i="5"/>
  <c r="AK181" i="5"/>
  <c r="AJ181" i="5"/>
  <c r="AL181" i="5" s="1"/>
  <c r="AH181" i="5"/>
  <c r="AF181" i="5"/>
  <c r="AE181" i="5"/>
  <c r="X181" i="5"/>
  <c r="W181" i="5"/>
  <c r="V181" i="5"/>
  <c r="U181" i="5"/>
  <c r="R181" i="5"/>
  <c r="D181" i="5"/>
  <c r="AM180" i="5"/>
  <c r="AL180" i="5"/>
  <c r="AJ180" i="5"/>
  <c r="AK180" i="5" s="1"/>
  <c r="AH180" i="5"/>
  <c r="AF180" i="5"/>
  <c r="AE180" i="5"/>
  <c r="V180" i="5"/>
  <c r="U180" i="5"/>
  <c r="R180" i="5"/>
  <c r="D180" i="5"/>
  <c r="AM179" i="5"/>
  <c r="AN179" i="5" s="1"/>
  <c r="AL179" i="5"/>
  <c r="AK179" i="5"/>
  <c r="AJ179" i="5"/>
  <c r="AF179" i="5"/>
  <c r="AH179" i="5" s="1"/>
  <c r="AE179" i="5"/>
  <c r="X179" i="5"/>
  <c r="Y179" i="5" s="1"/>
  <c r="W179" i="5"/>
  <c r="V179" i="5"/>
  <c r="U179" i="5"/>
  <c r="R179" i="5"/>
  <c r="D179" i="5"/>
  <c r="AM178" i="5"/>
  <c r="AL178" i="5"/>
  <c r="AK178" i="5"/>
  <c r="AN178" i="5" s="1"/>
  <c r="AJ178" i="5"/>
  <c r="AF178" i="5"/>
  <c r="AH178" i="5" s="1"/>
  <c r="AE178" i="5"/>
  <c r="W178" i="5"/>
  <c r="U178" i="5"/>
  <c r="R178" i="5"/>
  <c r="D178" i="5"/>
  <c r="AL177" i="5"/>
  <c r="AK177" i="5"/>
  <c r="AJ177" i="5"/>
  <c r="AM177" i="5" s="1"/>
  <c r="AH177" i="5"/>
  <c r="AF177" i="5"/>
  <c r="AE177" i="5"/>
  <c r="X177" i="5"/>
  <c r="Y177" i="5" s="1"/>
  <c r="V177" i="5"/>
  <c r="U177" i="5"/>
  <c r="W177" i="5" s="1"/>
  <c r="R177" i="5"/>
  <c r="D177" i="5"/>
  <c r="AN176" i="5"/>
  <c r="AL176" i="5"/>
  <c r="AK176" i="5"/>
  <c r="AJ176" i="5"/>
  <c r="AM176" i="5" s="1"/>
  <c r="AF176" i="5"/>
  <c r="AH176" i="5" s="1"/>
  <c r="AE176" i="5"/>
  <c r="X176" i="5"/>
  <c r="W176" i="5"/>
  <c r="U176" i="5"/>
  <c r="V176" i="5" s="1"/>
  <c r="R176" i="5"/>
  <c r="D176" i="5"/>
  <c r="AJ175" i="5"/>
  <c r="AF175" i="5"/>
  <c r="AH175" i="5" s="1"/>
  <c r="AE175" i="5"/>
  <c r="X175" i="5"/>
  <c r="Y175" i="5" s="1"/>
  <c r="W175" i="5"/>
  <c r="V175" i="5"/>
  <c r="U175" i="5"/>
  <c r="R175" i="5"/>
  <c r="D175" i="5"/>
  <c r="AJ174" i="5"/>
  <c r="AF174" i="5"/>
  <c r="AH174" i="5" s="1"/>
  <c r="AE174" i="5"/>
  <c r="W174" i="5"/>
  <c r="V174" i="5"/>
  <c r="U174" i="5"/>
  <c r="X174" i="5" s="1"/>
  <c r="R174" i="5"/>
  <c r="D174" i="5"/>
  <c r="AN173" i="5"/>
  <c r="AM173" i="5"/>
  <c r="AL173" i="5"/>
  <c r="AK173" i="5"/>
  <c r="AJ173" i="5"/>
  <c r="AH173" i="5"/>
  <c r="AF173" i="5"/>
  <c r="AE173" i="5"/>
  <c r="V173" i="5"/>
  <c r="U173" i="5"/>
  <c r="R173" i="5"/>
  <c r="D173" i="5"/>
  <c r="AN172" i="5"/>
  <c r="AM172" i="5"/>
  <c r="AK172" i="5"/>
  <c r="AJ172" i="5"/>
  <c r="AL172" i="5" s="1"/>
  <c r="AF172" i="5"/>
  <c r="AH172" i="5" s="1"/>
  <c r="AE172" i="5"/>
  <c r="X172" i="5"/>
  <c r="Y172" i="5" s="1"/>
  <c r="W172" i="5"/>
  <c r="V172" i="5"/>
  <c r="U172" i="5"/>
  <c r="R172" i="5"/>
  <c r="D172" i="5"/>
  <c r="AK171" i="5"/>
  <c r="AJ171" i="5"/>
  <c r="AF171" i="5"/>
  <c r="AH171" i="5" s="1"/>
  <c r="AE171" i="5"/>
  <c r="X171" i="5"/>
  <c r="Y171" i="5" s="1"/>
  <c r="V171" i="5"/>
  <c r="U171" i="5"/>
  <c r="W171" i="5" s="1"/>
  <c r="R171" i="5"/>
  <c r="D171" i="5"/>
  <c r="AL170" i="5"/>
  <c r="AN170" i="5" s="1"/>
  <c r="AK170" i="5"/>
  <c r="AJ170" i="5"/>
  <c r="AM170" i="5" s="1"/>
  <c r="AH170" i="5"/>
  <c r="AF170" i="5"/>
  <c r="AE170" i="5"/>
  <c r="Y170" i="5"/>
  <c r="X170" i="5"/>
  <c r="W170" i="5"/>
  <c r="V170" i="5"/>
  <c r="U170" i="5"/>
  <c r="R170" i="5"/>
  <c r="D170" i="5"/>
  <c r="AL169" i="5"/>
  <c r="AK169" i="5"/>
  <c r="AJ169" i="5"/>
  <c r="AM169" i="5" s="1"/>
  <c r="AF169" i="5"/>
  <c r="AH169" i="5" s="1"/>
  <c r="AE169" i="5"/>
  <c r="X169" i="5"/>
  <c r="W169" i="5"/>
  <c r="U169" i="5"/>
  <c r="V169" i="5" s="1"/>
  <c r="R169" i="5"/>
  <c r="D169" i="5"/>
  <c r="AK168" i="5"/>
  <c r="AJ168" i="5"/>
  <c r="AH168" i="5"/>
  <c r="AF168" i="5"/>
  <c r="AE168" i="5"/>
  <c r="W168" i="5"/>
  <c r="V168" i="5"/>
  <c r="Y168" i="5" s="1"/>
  <c r="U168" i="5"/>
  <c r="X168" i="5" s="1"/>
  <c r="R168" i="5"/>
  <c r="D168" i="5"/>
  <c r="AJ167" i="5"/>
  <c r="AF167" i="5"/>
  <c r="AH167" i="5" s="1"/>
  <c r="AE167" i="5"/>
  <c r="U167" i="5"/>
  <c r="W167" i="5" s="1"/>
  <c r="R167" i="5"/>
  <c r="D167" i="5"/>
  <c r="AM166" i="5"/>
  <c r="AN166" i="5" s="1"/>
  <c r="AL166" i="5"/>
  <c r="AK166" i="5"/>
  <c r="AJ166" i="5"/>
  <c r="AF166" i="5"/>
  <c r="AH166" i="5" s="1"/>
  <c r="AE166" i="5"/>
  <c r="U166" i="5"/>
  <c r="V166" i="5" s="1"/>
  <c r="R166" i="5"/>
  <c r="D166" i="5"/>
  <c r="AL165" i="5"/>
  <c r="AJ165" i="5"/>
  <c r="AM165" i="5" s="1"/>
  <c r="AF165" i="5"/>
  <c r="AH165" i="5" s="1"/>
  <c r="AE165" i="5"/>
  <c r="Y165" i="5"/>
  <c r="X165" i="5"/>
  <c r="W165" i="5"/>
  <c r="V165" i="5"/>
  <c r="U165" i="5"/>
  <c r="R165" i="5"/>
  <c r="D165" i="5"/>
  <c r="AM164" i="5"/>
  <c r="AK164" i="5"/>
  <c r="AJ164" i="5"/>
  <c r="AL164" i="5" s="1"/>
  <c r="AH164" i="5"/>
  <c r="AF164" i="5"/>
  <c r="AE164" i="5"/>
  <c r="U164" i="5"/>
  <c r="W164" i="5" s="1"/>
  <c r="R164" i="5"/>
  <c r="D164" i="5"/>
  <c r="AJ163" i="5"/>
  <c r="AF163" i="5"/>
  <c r="AH163" i="5" s="1"/>
  <c r="AE163" i="5"/>
  <c r="Y163" i="5"/>
  <c r="X163" i="5"/>
  <c r="W163" i="5"/>
  <c r="U163" i="5"/>
  <c r="V163" i="5" s="1"/>
  <c r="R163" i="5"/>
  <c r="D163" i="5"/>
  <c r="AN162" i="5"/>
  <c r="AM162" i="5"/>
  <c r="AL162" i="5"/>
  <c r="AK162" i="5"/>
  <c r="AJ162" i="5"/>
  <c r="AH162" i="5"/>
  <c r="AF162" i="5"/>
  <c r="AE162" i="5"/>
  <c r="X162" i="5"/>
  <c r="W162" i="5"/>
  <c r="V162" i="5"/>
  <c r="U162" i="5"/>
  <c r="R162" i="5"/>
  <c r="D162" i="5"/>
  <c r="AM161" i="5"/>
  <c r="AJ161" i="5"/>
  <c r="AK161" i="5" s="1"/>
  <c r="AF161" i="5"/>
  <c r="AH161" i="5" s="1"/>
  <c r="AE161" i="5"/>
  <c r="W161" i="5"/>
  <c r="U161" i="5"/>
  <c r="X161" i="5" s="1"/>
  <c r="R161" i="5"/>
  <c r="D161" i="5"/>
  <c r="AL160" i="5"/>
  <c r="AN160" i="5" s="1"/>
  <c r="AK160" i="5"/>
  <c r="AJ160" i="5"/>
  <c r="AM160" i="5" s="1"/>
  <c r="AH160" i="5"/>
  <c r="AF160" i="5"/>
  <c r="AE160" i="5"/>
  <c r="U160" i="5"/>
  <c r="W160" i="5" s="1"/>
  <c r="R160" i="5"/>
  <c r="D160" i="5"/>
  <c r="AM159" i="5"/>
  <c r="AN159" i="5" s="1"/>
  <c r="AK159" i="5"/>
  <c r="AJ159" i="5"/>
  <c r="AL159" i="5" s="1"/>
  <c r="AF159" i="5"/>
  <c r="AH159" i="5" s="1"/>
  <c r="AE159" i="5"/>
  <c r="W159" i="5"/>
  <c r="U159" i="5"/>
  <c r="R159" i="5"/>
  <c r="D159" i="5"/>
  <c r="AJ158" i="5"/>
  <c r="AK158" i="5" s="1"/>
  <c r="AH158" i="5"/>
  <c r="AF158" i="5"/>
  <c r="AE158" i="5"/>
  <c r="X158" i="5"/>
  <c r="Y158" i="5" s="1"/>
  <c r="W158" i="5"/>
  <c r="V158" i="5"/>
  <c r="U158" i="5"/>
  <c r="R158" i="5"/>
  <c r="D158" i="5"/>
  <c r="AM157" i="5"/>
  <c r="AL157" i="5"/>
  <c r="AK157" i="5"/>
  <c r="AN157" i="5" s="1"/>
  <c r="AJ157" i="5"/>
  <c r="AF157" i="5"/>
  <c r="AH157" i="5" s="1"/>
  <c r="AE157" i="5"/>
  <c r="U157" i="5"/>
  <c r="R157" i="5"/>
  <c r="D157" i="5"/>
  <c r="AM156" i="5"/>
  <c r="AN156" i="5" s="1"/>
  <c r="AK156" i="5"/>
  <c r="AJ156" i="5"/>
  <c r="AL156" i="5" s="1"/>
  <c r="AF156" i="5"/>
  <c r="AH156" i="5" s="1"/>
  <c r="AE156" i="5"/>
  <c r="X156" i="5"/>
  <c r="V156" i="5"/>
  <c r="U156" i="5"/>
  <c r="W156" i="5" s="1"/>
  <c r="R156" i="5"/>
  <c r="D156" i="5"/>
  <c r="AJ155" i="5"/>
  <c r="AK155" i="5" s="1"/>
  <c r="AH155" i="5"/>
  <c r="AF155" i="5"/>
  <c r="AE155" i="5"/>
  <c r="W155" i="5"/>
  <c r="U155" i="5"/>
  <c r="R155" i="5"/>
  <c r="D155" i="5"/>
  <c r="AM154" i="5"/>
  <c r="AL154" i="5"/>
  <c r="AK154" i="5"/>
  <c r="AJ154" i="5"/>
  <c r="AH154" i="5"/>
  <c r="AF154" i="5"/>
  <c r="AE154" i="5"/>
  <c r="X154" i="5"/>
  <c r="W154" i="5"/>
  <c r="V154" i="5"/>
  <c r="Y154" i="5" s="1"/>
  <c r="U154" i="5"/>
  <c r="R154" i="5"/>
  <c r="D154" i="5"/>
  <c r="AN153" i="5"/>
  <c r="AL153" i="5"/>
  <c r="AK153" i="5"/>
  <c r="AJ153" i="5"/>
  <c r="AM153" i="5" s="1"/>
  <c r="AF153" i="5"/>
  <c r="AH153" i="5" s="1"/>
  <c r="AE153" i="5"/>
  <c r="X153" i="5"/>
  <c r="U153" i="5"/>
  <c r="V153" i="5" s="1"/>
  <c r="R153" i="5"/>
  <c r="D153" i="5"/>
  <c r="AM152" i="5"/>
  <c r="AK152" i="5"/>
  <c r="AJ152" i="5"/>
  <c r="AL152" i="5" s="1"/>
  <c r="AH152" i="5"/>
  <c r="AF152" i="5"/>
  <c r="AE152" i="5"/>
  <c r="W152" i="5"/>
  <c r="V152" i="5"/>
  <c r="U152" i="5"/>
  <c r="X152" i="5" s="1"/>
  <c r="Y152" i="5" s="1"/>
  <c r="R152" i="5"/>
  <c r="D152" i="5"/>
  <c r="AJ151" i="5"/>
  <c r="AF151" i="5"/>
  <c r="AH151" i="5" s="1"/>
  <c r="AE151" i="5"/>
  <c r="U151" i="5"/>
  <c r="W151" i="5" s="1"/>
  <c r="R151" i="5"/>
  <c r="D151" i="5"/>
  <c r="AM150" i="5"/>
  <c r="AL150" i="5"/>
  <c r="AK150" i="5"/>
  <c r="AJ150" i="5"/>
  <c r="AF150" i="5"/>
  <c r="AH150" i="5" s="1"/>
  <c r="AE150" i="5"/>
  <c r="U150" i="5"/>
  <c r="V150" i="5" s="1"/>
  <c r="R150" i="5"/>
  <c r="D150" i="5"/>
  <c r="AL149" i="5"/>
  <c r="AJ149" i="5"/>
  <c r="AF149" i="5"/>
  <c r="AH149" i="5" s="1"/>
  <c r="AE149" i="5"/>
  <c r="Y149" i="5"/>
  <c r="X149" i="5"/>
  <c r="W149" i="5"/>
  <c r="V149" i="5"/>
  <c r="U149" i="5"/>
  <c r="R149" i="5"/>
  <c r="D149" i="5"/>
  <c r="AM148" i="5"/>
  <c r="AK148" i="5"/>
  <c r="AJ148" i="5"/>
  <c r="AL148" i="5" s="1"/>
  <c r="AH148" i="5"/>
  <c r="AF148" i="5"/>
  <c r="AE148" i="5"/>
  <c r="U148" i="5"/>
  <c r="W148" i="5" s="1"/>
  <c r="R148" i="5"/>
  <c r="D148" i="5"/>
  <c r="AJ147" i="5"/>
  <c r="AF147" i="5"/>
  <c r="AH147" i="5" s="1"/>
  <c r="AE147" i="5"/>
  <c r="Y147" i="5"/>
  <c r="X147" i="5"/>
  <c r="W147" i="5"/>
  <c r="U147" i="5"/>
  <c r="V147" i="5" s="1"/>
  <c r="R147" i="5"/>
  <c r="D147" i="5"/>
  <c r="AN146" i="5"/>
  <c r="AM146" i="5"/>
  <c r="AL146" i="5"/>
  <c r="AK146" i="5"/>
  <c r="AJ146" i="5"/>
  <c r="AH146" i="5"/>
  <c r="AF146" i="5"/>
  <c r="AE146" i="5"/>
  <c r="X146" i="5"/>
  <c r="W146" i="5"/>
  <c r="V146" i="5"/>
  <c r="U146" i="5"/>
  <c r="R146" i="5"/>
  <c r="D146" i="5"/>
  <c r="AM145" i="5"/>
  <c r="AJ145" i="5"/>
  <c r="AK145" i="5" s="1"/>
  <c r="AF145" i="5"/>
  <c r="AH145" i="5" s="1"/>
  <c r="AE145" i="5"/>
  <c r="W145" i="5"/>
  <c r="U145" i="5"/>
  <c r="X145" i="5" s="1"/>
  <c r="R145" i="5"/>
  <c r="D145" i="5"/>
  <c r="AL144" i="5"/>
  <c r="AN144" i="5" s="1"/>
  <c r="AK144" i="5"/>
  <c r="AJ144" i="5"/>
  <c r="AM144" i="5" s="1"/>
  <c r="AH144" i="5"/>
  <c r="AF144" i="5"/>
  <c r="AE144" i="5"/>
  <c r="U144" i="5"/>
  <c r="W144" i="5" s="1"/>
  <c r="R144" i="5"/>
  <c r="D144" i="5"/>
  <c r="AM143" i="5"/>
  <c r="AN143" i="5" s="1"/>
  <c r="AK143" i="5"/>
  <c r="AJ143" i="5"/>
  <c r="AL143" i="5" s="1"/>
  <c r="AF143" i="5"/>
  <c r="AH143" i="5" s="1"/>
  <c r="AE143" i="5"/>
  <c r="W143" i="5"/>
  <c r="U143" i="5"/>
  <c r="R143" i="5"/>
  <c r="D143" i="5"/>
  <c r="AJ142" i="5"/>
  <c r="AK142" i="5" s="1"/>
  <c r="AH142" i="5"/>
  <c r="AF142" i="5"/>
  <c r="AE142" i="5"/>
  <c r="X142" i="5"/>
  <c r="Y142" i="5" s="1"/>
  <c r="W142" i="5"/>
  <c r="V142" i="5"/>
  <c r="U142" i="5"/>
  <c r="R142" i="5"/>
  <c r="D142" i="5"/>
  <c r="AM141" i="5"/>
  <c r="AL141" i="5"/>
  <c r="AN141" i="5" s="1"/>
  <c r="AK141" i="5"/>
  <c r="AJ141" i="5"/>
  <c r="AF141" i="5"/>
  <c r="AH141" i="5" s="1"/>
  <c r="AE141" i="5"/>
  <c r="U141" i="5"/>
  <c r="R141" i="5"/>
  <c r="D141" i="5"/>
  <c r="AM140" i="5"/>
  <c r="AJ140" i="5"/>
  <c r="AL140" i="5" s="1"/>
  <c r="AF140" i="5"/>
  <c r="AH140" i="5" s="1"/>
  <c r="AE140" i="5"/>
  <c r="X140" i="5"/>
  <c r="V140" i="5"/>
  <c r="U140" i="5"/>
  <c r="W140" i="5" s="1"/>
  <c r="R140" i="5"/>
  <c r="D140" i="5"/>
  <c r="AJ139" i="5"/>
  <c r="AK139" i="5" s="1"/>
  <c r="AH139" i="5"/>
  <c r="AF139" i="5"/>
  <c r="AE139" i="5"/>
  <c r="W139" i="5"/>
  <c r="U139" i="5"/>
  <c r="R139" i="5"/>
  <c r="D139" i="5"/>
  <c r="AM138" i="5"/>
  <c r="AL138" i="5"/>
  <c r="AK138" i="5"/>
  <c r="AJ138" i="5"/>
  <c r="AH138" i="5"/>
  <c r="AF138" i="5"/>
  <c r="AE138" i="5"/>
  <c r="X138" i="5"/>
  <c r="W138" i="5"/>
  <c r="V138" i="5"/>
  <c r="Y138" i="5" s="1"/>
  <c r="U138" i="5"/>
  <c r="R138" i="5"/>
  <c r="D138" i="5"/>
  <c r="AK137" i="5"/>
  <c r="AJ137" i="5"/>
  <c r="AM137" i="5" s="1"/>
  <c r="AF137" i="5"/>
  <c r="AH137" i="5" s="1"/>
  <c r="AE137" i="5"/>
  <c r="X137" i="5"/>
  <c r="U137" i="5"/>
  <c r="V137" i="5" s="1"/>
  <c r="R137" i="5"/>
  <c r="D137" i="5"/>
  <c r="AM136" i="5"/>
  <c r="AJ136" i="5"/>
  <c r="AL136" i="5" s="1"/>
  <c r="AH136" i="5"/>
  <c r="AF136" i="5"/>
  <c r="AE136" i="5"/>
  <c r="W136" i="5"/>
  <c r="V136" i="5"/>
  <c r="Y136" i="5" s="1"/>
  <c r="U136" i="5"/>
  <c r="X136" i="5" s="1"/>
  <c r="R136" i="5"/>
  <c r="D136" i="5"/>
  <c r="AJ135" i="5"/>
  <c r="AK135" i="5" s="1"/>
  <c r="AH135" i="5"/>
  <c r="AF135" i="5"/>
  <c r="AE135" i="5"/>
  <c r="X135" i="5"/>
  <c r="U135" i="5"/>
  <c r="W135" i="5" s="1"/>
  <c r="R135" i="5"/>
  <c r="D135" i="5"/>
  <c r="AM134" i="5"/>
  <c r="AL134" i="5"/>
  <c r="AK134" i="5"/>
  <c r="AJ134" i="5"/>
  <c r="AH134" i="5"/>
  <c r="AF134" i="5"/>
  <c r="AE134" i="5"/>
  <c r="X134" i="5"/>
  <c r="U134" i="5"/>
  <c r="V134" i="5" s="1"/>
  <c r="R134" i="5"/>
  <c r="D134" i="5"/>
  <c r="AJ133" i="5"/>
  <c r="AM133" i="5" s="1"/>
  <c r="AF133" i="5"/>
  <c r="AH133" i="5" s="1"/>
  <c r="AE133" i="5"/>
  <c r="X133" i="5"/>
  <c r="W133" i="5"/>
  <c r="V133" i="5"/>
  <c r="Y133" i="5" s="1"/>
  <c r="U133" i="5"/>
  <c r="R133" i="5"/>
  <c r="D133" i="5"/>
  <c r="AJ132" i="5"/>
  <c r="AL132" i="5" s="1"/>
  <c r="AH132" i="5"/>
  <c r="AF132" i="5"/>
  <c r="AE132" i="5"/>
  <c r="Y132" i="5"/>
  <c r="X132" i="5"/>
  <c r="V132" i="5"/>
  <c r="U132" i="5"/>
  <c r="W132" i="5" s="1"/>
  <c r="R132" i="5"/>
  <c r="D132" i="5"/>
  <c r="AJ131" i="5"/>
  <c r="AL131" i="5" s="1"/>
  <c r="AF131" i="5"/>
  <c r="AH131" i="5" s="1"/>
  <c r="AE131" i="5"/>
  <c r="Y131" i="5"/>
  <c r="X131" i="5"/>
  <c r="W131" i="5"/>
  <c r="U131" i="5"/>
  <c r="V131" i="5" s="1"/>
  <c r="R131" i="5"/>
  <c r="D131" i="5"/>
  <c r="AM130" i="5"/>
  <c r="AL130" i="5"/>
  <c r="AK130" i="5"/>
  <c r="AN130" i="5" s="1"/>
  <c r="AJ130" i="5"/>
  <c r="AF130" i="5"/>
  <c r="AH130" i="5" s="1"/>
  <c r="AE130" i="5"/>
  <c r="X130" i="5"/>
  <c r="W130" i="5"/>
  <c r="V130" i="5"/>
  <c r="U130" i="5"/>
  <c r="R130" i="5"/>
  <c r="D130" i="5"/>
  <c r="AM129" i="5"/>
  <c r="AJ129" i="5"/>
  <c r="AK129" i="5" s="1"/>
  <c r="AF129" i="5"/>
  <c r="AH129" i="5" s="1"/>
  <c r="AE129" i="5"/>
  <c r="U129" i="5"/>
  <c r="X129" i="5" s="1"/>
  <c r="R129" i="5"/>
  <c r="D129" i="5"/>
  <c r="AL128" i="5"/>
  <c r="AK128" i="5"/>
  <c r="AJ128" i="5"/>
  <c r="AM128" i="5" s="1"/>
  <c r="AN128" i="5" s="1"/>
  <c r="AH128" i="5"/>
  <c r="AF128" i="5"/>
  <c r="AE128" i="5"/>
  <c r="U128" i="5"/>
  <c r="W128" i="5" s="1"/>
  <c r="R128" i="5"/>
  <c r="D128" i="5"/>
  <c r="AK127" i="5"/>
  <c r="AJ127" i="5"/>
  <c r="AL127" i="5" s="1"/>
  <c r="AF127" i="5"/>
  <c r="AH127" i="5" s="1"/>
  <c r="AE127" i="5"/>
  <c r="W127" i="5"/>
  <c r="U127" i="5"/>
  <c r="V127" i="5" s="1"/>
  <c r="R127" i="5"/>
  <c r="D127" i="5"/>
  <c r="AL126" i="5"/>
  <c r="AJ126" i="5"/>
  <c r="AK126" i="5" s="1"/>
  <c r="AF126" i="5"/>
  <c r="AH126" i="5" s="1"/>
  <c r="AE126" i="5"/>
  <c r="X126" i="5"/>
  <c r="W126" i="5"/>
  <c r="V126" i="5"/>
  <c r="U126" i="5"/>
  <c r="R126" i="5"/>
  <c r="D126" i="5"/>
  <c r="AN125" i="5"/>
  <c r="AM125" i="5"/>
  <c r="AL125" i="5"/>
  <c r="AK125" i="5"/>
  <c r="AJ125" i="5"/>
  <c r="AH125" i="5"/>
  <c r="AF125" i="5"/>
  <c r="AE125" i="5"/>
  <c r="V125" i="5"/>
  <c r="U125" i="5"/>
  <c r="X125" i="5" s="1"/>
  <c r="R125" i="5"/>
  <c r="D125" i="5"/>
  <c r="AK124" i="5"/>
  <c r="AJ124" i="5"/>
  <c r="AL124" i="5" s="1"/>
  <c r="AF124" i="5"/>
  <c r="AH124" i="5" s="1"/>
  <c r="AE124" i="5"/>
  <c r="X124" i="5"/>
  <c r="U124" i="5"/>
  <c r="W124" i="5" s="1"/>
  <c r="R124" i="5"/>
  <c r="D124" i="5"/>
  <c r="AM123" i="5"/>
  <c r="AL123" i="5"/>
  <c r="AN123" i="5" s="1"/>
  <c r="AJ123" i="5"/>
  <c r="AK123" i="5" s="1"/>
  <c r="AH123" i="5"/>
  <c r="AF123" i="5"/>
  <c r="AE123" i="5"/>
  <c r="X123" i="5"/>
  <c r="Y123" i="5" s="1"/>
  <c r="W123" i="5"/>
  <c r="U123" i="5"/>
  <c r="V123" i="5" s="1"/>
  <c r="R123" i="5"/>
  <c r="D123" i="5"/>
  <c r="AM122" i="5"/>
  <c r="AL122" i="5"/>
  <c r="AK122" i="5"/>
  <c r="AJ122" i="5"/>
  <c r="AF122" i="5"/>
  <c r="AH122" i="5" s="1"/>
  <c r="AE122" i="5"/>
  <c r="X122" i="5"/>
  <c r="W122" i="5"/>
  <c r="Y122" i="5" s="1"/>
  <c r="V122" i="5"/>
  <c r="U122" i="5"/>
  <c r="R122" i="5"/>
  <c r="D122" i="5"/>
  <c r="AJ121" i="5"/>
  <c r="AM121" i="5" s="1"/>
  <c r="AF121" i="5"/>
  <c r="AH121" i="5" s="1"/>
  <c r="AE121" i="5"/>
  <c r="W121" i="5"/>
  <c r="U121" i="5"/>
  <c r="X121" i="5" s="1"/>
  <c r="R121" i="5"/>
  <c r="D121" i="5"/>
  <c r="AM120" i="5"/>
  <c r="AN120" i="5" s="1"/>
  <c r="AK120" i="5"/>
  <c r="AJ120" i="5"/>
  <c r="AL120" i="5" s="1"/>
  <c r="AH120" i="5"/>
  <c r="AF120" i="5"/>
  <c r="AE120" i="5"/>
  <c r="Y120" i="5"/>
  <c r="W120" i="5"/>
  <c r="V120" i="5"/>
  <c r="U120" i="5"/>
  <c r="X120" i="5" s="1"/>
  <c r="R120" i="5"/>
  <c r="D120" i="5"/>
  <c r="AL119" i="5"/>
  <c r="AJ119" i="5"/>
  <c r="AK119" i="5" s="1"/>
  <c r="AH119" i="5"/>
  <c r="AF119" i="5"/>
  <c r="AE119" i="5"/>
  <c r="U119" i="5"/>
  <c r="W119" i="5" s="1"/>
  <c r="R119" i="5"/>
  <c r="D119" i="5"/>
  <c r="AM118" i="5"/>
  <c r="AL118" i="5"/>
  <c r="AK118" i="5"/>
  <c r="AJ118" i="5"/>
  <c r="AF118" i="5"/>
  <c r="AH118" i="5" s="1"/>
  <c r="AE118" i="5"/>
  <c r="X118" i="5"/>
  <c r="Y118" i="5" s="1"/>
  <c r="W118" i="5"/>
  <c r="U118" i="5"/>
  <c r="V118" i="5" s="1"/>
  <c r="R118" i="5"/>
  <c r="D118" i="5"/>
  <c r="AL117" i="5"/>
  <c r="AJ117" i="5"/>
  <c r="AM117" i="5" s="1"/>
  <c r="AF117" i="5"/>
  <c r="AH117" i="5" s="1"/>
  <c r="AE117" i="5"/>
  <c r="X117" i="5"/>
  <c r="W117" i="5"/>
  <c r="V117" i="5"/>
  <c r="Y117" i="5" s="1"/>
  <c r="U117" i="5"/>
  <c r="R117" i="5"/>
  <c r="D117" i="5"/>
  <c r="AM116" i="5"/>
  <c r="AJ116" i="5"/>
  <c r="AL116" i="5" s="1"/>
  <c r="AH116" i="5"/>
  <c r="AF116" i="5"/>
  <c r="AE116" i="5"/>
  <c r="X116" i="5"/>
  <c r="U116" i="5"/>
  <c r="W116" i="5" s="1"/>
  <c r="R116" i="5"/>
  <c r="D116" i="5"/>
  <c r="AM115" i="5"/>
  <c r="AN115" i="5" s="1"/>
  <c r="AL115" i="5"/>
  <c r="AJ115" i="5"/>
  <c r="AK115" i="5" s="1"/>
  <c r="AH115" i="5"/>
  <c r="AF115" i="5"/>
  <c r="AE115" i="5"/>
  <c r="Y115" i="5"/>
  <c r="X115" i="5"/>
  <c r="W115" i="5"/>
  <c r="U115" i="5"/>
  <c r="V115" i="5" s="1"/>
  <c r="R115" i="5"/>
  <c r="D115" i="5"/>
  <c r="AM114" i="5"/>
  <c r="AL114" i="5"/>
  <c r="AN114" i="5" s="1"/>
  <c r="AK114" i="5"/>
  <c r="AJ114" i="5"/>
  <c r="AH114" i="5"/>
  <c r="AF114" i="5"/>
  <c r="AE114" i="5"/>
  <c r="X114" i="5"/>
  <c r="W114" i="5"/>
  <c r="V114" i="5"/>
  <c r="U114" i="5"/>
  <c r="R114" i="5"/>
  <c r="D114" i="5"/>
  <c r="AM113" i="5"/>
  <c r="AK113" i="5"/>
  <c r="AJ113" i="5"/>
  <c r="AL113" i="5" s="1"/>
  <c r="AF113" i="5"/>
  <c r="AH113" i="5" s="1"/>
  <c r="AE113" i="5"/>
  <c r="U113" i="5"/>
  <c r="X113" i="5" s="1"/>
  <c r="R113" i="5"/>
  <c r="D113" i="5"/>
  <c r="AN112" i="5"/>
  <c r="AL112" i="5"/>
  <c r="AK112" i="5"/>
  <c r="AJ112" i="5"/>
  <c r="AM112" i="5" s="1"/>
  <c r="AH112" i="5"/>
  <c r="AF112" i="5"/>
  <c r="AE112" i="5"/>
  <c r="X112" i="5"/>
  <c r="U112" i="5"/>
  <c r="W112" i="5" s="1"/>
  <c r="R112" i="5"/>
  <c r="D112" i="5"/>
  <c r="AJ111" i="5"/>
  <c r="AL111" i="5" s="1"/>
  <c r="AF111" i="5"/>
  <c r="AH111" i="5" s="1"/>
  <c r="AE111" i="5"/>
  <c r="W111" i="5"/>
  <c r="U111" i="5"/>
  <c r="V111" i="5" s="1"/>
  <c r="R111" i="5"/>
  <c r="D111" i="5"/>
  <c r="AJ110" i="5"/>
  <c r="AK110" i="5" s="1"/>
  <c r="AF110" i="5"/>
  <c r="AH110" i="5" s="1"/>
  <c r="AE110" i="5"/>
  <c r="X110" i="5"/>
  <c r="W110" i="5"/>
  <c r="V110" i="5"/>
  <c r="U110" i="5"/>
  <c r="R110" i="5"/>
  <c r="D110" i="5"/>
  <c r="AM109" i="5"/>
  <c r="AN109" i="5" s="1"/>
  <c r="AL109" i="5"/>
  <c r="AK109" i="5"/>
  <c r="AJ109" i="5"/>
  <c r="AF109" i="5"/>
  <c r="AH109" i="5" s="1"/>
  <c r="AE109" i="5"/>
  <c r="W109" i="5"/>
  <c r="U109" i="5"/>
  <c r="X109" i="5" s="1"/>
  <c r="R109" i="5"/>
  <c r="D109" i="5"/>
  <c r="AM108" i="5"/>
  <c r="AN108" i="5" s="1"/>
  <c r="AK108" i="5"/>
  <c r="AJ108" i="5"/>
  <c r="AL108" i="5" s="1"/>
  <c r="AF108" i="5"/>
  <c r="AH108" i="5" s="1"/>
  <c r="AE108" i="5"/>
  <c r="X108" i="5"/>
  <c r="U108" i="5"/>
  <c r="W108" i="5" s="1"/>
  <c r="R108" i="5"/>
  <c r="D108" i="5"/>
  <c r="AL107" i="5"/>
  <c r="AJ107" i="5"/>
  <c r="AM107" i="5" s="1"/>
  <c r="AH107" i="5"/>
  <c r="AF107" i="5"/>
  <c r="AE107" i="5"/>
  <c r="U107" i="5"/>
  <c r="V107" i="5" s="1"/>
  <c r="R107" i="5"/>
  <c r="D107" i="5"/>
  <c r="AM106" i="5"/>
  <c r="AK106" i="5"/>
  <c r="AJ106" i="5"/>
  <c r="AL106" i="5" s="1"/>
  <c r="AH106" i="5"/>
  <c r="AF106" i="5"/>
  <c r="AE106" i="5"/>
  <c r="X106" i="5"/>
  <c r="Y106" i="5" s="1"/>
  <c r="W106" i="5"/>
  <c r="V106" i="5"/>
  <c r="U106" i="5"/>
  <c r="R106" i="5"/>
  <c r="D106" i="5"/>
  <c r="AL105" i="5"/>
  <c r="AK105" i="5"/>
  <c r="AJ105" i="5"/>
  <c r="AM105" i="5" s="1"/>
  <c r="AN105" i="5" s="1"/>
  <c r="AH105" i="5"/>
  <c r="AF105" i="5"/>
  <c r="AE105" i="5"/>
  <c r="U105" i="5"/>
  <c r="X105" i="5" s="1"/>
  <c r="R105" i="5"/>
  <c r="D105" i="5"/>
  <c r="AK104" i="5"/>
  <c r="AJ104" i="5"/>
  <c r="AL104" i="5" s="1"/>
  <c r="AF104" i="5"/>
  <c r="AH104" i="5" s="1"/>
  <c r="AE104" i="5"/>
  <c r="W104" i="5"/>
  <c r="V104" i="5"/>
  <c r="Y104" i="5" s="1"/>
  <c r="U104" i="5"/>
  <c r="X104" i="5" s="1"/>
  <c r="R104" i="5"/>
  <c r="D104" i="5"/>
  <c r="AN103" i="5"/>
  <c r="AM103" i="5"/>
  <c r="AL103" i="5"/>
  <c r="AJ103" i="5"/>
  <c r="AK103" i="5" s="1"/>
  <c r="AF103" i="5"/>
  <c r="AH103" i="5" s="1"/>
  <c r="AE103" i="5"/>
  <c r="X103" i="5"/>
  <c r="U103" i="5"/>
  <c r="W103" i="5" s="1"/>
  <c r="R103" i="5"/>
  <c r="D103" i="5"/>
  <c r="AM102" i="5"/>
  <c r="AL102" i="5"/>
  <c r="AK102" i="5"/>
  <c r="AJ102" i="5"/>
  <c r="AF102" i="5"/>
  <c r="AH102" i="5" s="1"/>
  <c r="AE102" i="5"/>
  <c r="X102" i="5"/>
  <c r="U102" i="5"/>
  <c r="V102" i="5" s="1"/>
  <c r="R102" i="5"/>
  <c r="D102" i="5"/>
  <c r="AL101" i="5"/>
  <c r="AK101" i="5"/>
  <c r="AN101" i="5" s="1"/>
  <c r="AJ101" i="5"/>
  <c r="AM101" i="5" s="1"/>
  <c r="AF101" i="5"/>
  <c r="AH101" i="5" s="1"/>
  <c r="AE101" i="5"/>
  <c r="Y101" i="5"/>
  <c r="X101" i="5"/>
  <c r="W101" i="5"/>
  <c r="V101" i="5"/>
  <c r="U101" i="5"/>
  <c r="R101" i="5"/>
  <c r="D101" i="5"/>
  <c r="AM100" i="5"/>
  <c r="AN100" i="5" s="1"/>
  <c r="AK100" i="5"/>
  <c r="AJ100" i="5"/>
  <c r="AL100" i="5" s="1"/>
  <c r="AH100" i="5"/>
  <c r="AF100" i="5"/>
  <c r="AE100" i="5"/>
  <c r="X100" i="5"/>
  <c r="Y100" i="5" s="1"/>
  <c r="W100" i="5"/>
  <c r="V100" i="5"/>
  <c r="U100" i="5"/>
  <c r="R100" i="5"/>
  <c r="D100" i="5"/>
  <c r="AM99" i="5"/>
  <c r="AN99" i="5" s="1"/>
  <c r="AL99" i="5"/>
  <c r="AJ99" i="5"/>
  <c r="AK99" i="5" s="1"/>
  <c r="AF99" i="5"/>
  <c r="AH99" i="5" s="1"/>
  <c r="AE99" i="5"/>
  <c r="W99" i="5"/>
  <c r="U99" i="5"/>
  <c r="X99" i="5" s="1"/>
  <c r="R99" i="5"/>
  <c r="D99" i="5"/>
  <c r="AL98" i="5"/>
  <c r="AK98" i="5"/>
  <c r="AJ98" i="5"/>
  <c r="AM98" i="5" s="1"/>
  <c r="AN98" i="5" s="1"/>
  <c r="AH98" i="5"/>
  <c r="AF98" i="5"/>
  <c r="AE98" i="5"/>
  <c r="U98" i="5"/>
  <c r="X98" i="5" s="1"/>
  <c r="R98" i="5"/>
  <c r="D98" i="5"/>
  <c r="AL97" i="5"/>
  <c r="AJ97" i="5"/>
  <c r="AM97" i="5" s="1"/>
  <c r="AH97" i="5"/>
  <c r="AF97" i="5"/>
  <c r="AE97" i="5"/>
  <c r="X97" i="5"/>
  <c r="V97" i="5"/>
  <c r="U97" i="5"/>
  <c r="W97" i="5" s="1"/>
  <c r="R97" i="5"/>
  <c r="D97" i="5"/>
  <c r="AM96" i="5"/>
  <c r="AK96" i="5"/>
  <c r="AJ96" i="5"/>
  <c r="AL96" i="5" s="1"/>
  <c r="AF96" i="5"/>
  <c r="AH96" i="5" s="1"/>
  <c r="AE96" i="5"/>
  <c r="W96" i="5"/>
  <c r="U96" i="5"/>
  <c r="X96" i="5" s="1"/>
  <c r="R96" i="5"/>
  <c r="D96" i="5"/>
  <c r="AJ95" i="5"/>
  <c r="AM95" i="5" s="1"/>
  <c r="AF95" i="5"/>
  <c r="AH95" i="5" s="1"/>
  <c r="AE95" i="5"/>
  <c r="X95" i="5"/>
  <c r="Y95" i="5" s="1"/>
  <c r="W95" i="5"/>
  <c r="V95" i="5"/>
  <c r="U95" i="5"/>
  <c r="R95" i="5"/>
  <c r="D95" i="5"/>
  <c r="AN94" i="5"/>
  <c r="AM94" i="5"/>
  <c r="AL94" i="5"/>
  <c r="AK94" i="5"/>
  <c r="AJ94" i="5"/>
  <c r="AH94" i="5"/>
  <c r="AF94" i="5"/>
  <c r="AE94" i="5"/>
  <c r="U94" i="5"/>
  <c r="X94" i="5" s="1"/>
  <c r="R94" i="5"/>
  <c r="D94" i="5"/>
  <c r="AM93" i="5"/>
  <c r="AN93" i="5" s="1"/>
  <c r="AL93" i="5"/>
  <c r="AK93" i="5"/>
  <c r="AJ93" i="5"/>
  <c r="AF93" i="5"/>
  <c r="AH93" i="5" s="1"/>
  <c r="AE93" i="5"/>
  <c r="X93" i="5"/>
  <c r="V93" i="5"/>
  <c r="U93" i="5"/>
  <c r="W93" i="5" s="1"/>
  <c r="R93" i="5"/>
  <c r="D93" i="5"/>
  <c r="AL92" i="5"/>
  <c r="AJ92" i="5"/>
  <c r="AM92" i="5" s="1"/>
  <c r="AH92" i="5"/>
  <c r="AF92" i="5"/>
  <c r="AE92" i="5"/>
  <c r="W92" i="5"/>
  <c r="U92" i="5"/>
  <c r="V92" i="5" s="1"/>
  <c r="R92" i="5"/>
  <c r="D92" i="5"/>
  <c r="AM91" i="5"/>
  <c r="AK91" i="5"/>
  <c r="AJ91" i="5"/>
  <c r="AL91" i="5" s="1"/>
  <c r="AH91" i="5"/>
  <c r="AF91" i="5"/>
  <c r="AE91" i="5"/>
  <c r="W91" i="5"/>
  <c r="V91" i="5"/>
  <c r="U91" i="5"/>
  <c r="X91" i="5" s="1"/>
  <c r="Y91" i="5" s="1"/>
  <c r="R91" i="5"/>
  <c r="D91" i="5"/>
  <c r="AJ90" i="5"/>
  <c r="AM90" i="5" s="1"/>
  <c r="AF90" i="5"/>
  <c r="AH90" i="5" s="1"/>
  <c r="AE90" i="5"/>
  <c r="U90" i="5"/>
  <c r="X90" i="5" s="1"/>
  <c r="R90" i="5"/>
  <c r="D90" i="5"/>
  <c r="AM89" i="5"/>
  <c r="AK89" i="5"/>
  <c r="AJ89" i="5"/>
  <c r="AL89" i="5" s="1"/>
  <c r="AH89" i="5"/>
  <c r="AF89" i="5"/>
  <c r="AE89" i="5"/>
  <c r="W89" i="5"/>
  <c r="U89" i="5"/>
  <c r="X89" i="5" s="1"/>
  <c r="R89" i="5"/>
  <c r="D89" i="5"/>
  <c r="AL88" i="5"/>
  <c r="AJ88" i="5"/>
  <c r="AM88" i="5" s="1"/>
  <c r="AF88" i="5"/>
  <c r="AH88" i="5" s="1"/>
  <c r="AE88" i="5"/>
  <c r="X88" i="5"/>
  <c r="V88" i="5"/>
  <c r="Y88" i="5" s="1"/>
  <c r="U88" i="5"/>
  <c r="W88" i="5" s="1"/>
  <c r="R88" i="5"/>
  <c r="D88" i="5"/>
  <c r="AM87" i="5"/>
  <c r="AN87" i="5" s="1"/>
  <c r="AL87" i="5"/>
  <c r="AK87" i="5"/>
  <c r="AJ87" i="5"/>
  <c r="AH87" i="5"/>
  <c r="AF87" i="5"/>
  <c r="AE87" i="5"/>
  <c r="U87" i="5"/>
  <c r="X87" i="5" s="1"/>
  <c r="R87" i="5"/>
  <c r="D87" i="5"/>
  <c r="AJ86" i="5"/>
  <c r="AM86" i="5" s="1"/>
  <c r="AF86" i="5"/>
  <c r="AH86" i="5" s="1"/>
  <c r="AE86" i="5"/>
  <c r="Y86" i="5"/>
  <c r="X86" i="5"/>
  <c r="W86" i="5"/>
  <c r="V86" i="5"/>
  <c r="U86" i="5"/>
  <c r="R86" i="5"/>
  <c r="D86" i="5"/>
  <c r="AM85" i="5"/>
  <c r="AN85" i="5" s="1"/>
  <c r="AK85" i="5"/>
  <c r="AJ85" i="5"/>
  <c r="AL85" i="5" s="1"/>
  <c r="AH85" i="5"/>
  <c r="AF85" i="5"/>
  <c r="AE85" i="5"/>
  <c r="X85" i="5"/>
  <c r="V85" i="5"/>
  <c r="U85" i="5"/>
  <c r="W85" i="5" s="1"/>
  <c r="R85" i="5"/>
  <c r="D85" i="5"/>
  <c r="AL84" i="5"/>
  <c r="AJ84" i="5"/>
  <c r="AK84" i="5" s="1"/>
  <c r="AF84" i="5"/>
  <c r="AH84" i="5" s="1"/>
  <c r="AE84" i="5"/>
  <c r="W84" i="5"/>
  <c r="U84" i="5"/>
  <c r="X84" i="5" s="1"/>
  <c r="R84" i="5"/>
  <c r="D84" i="5"/>
  <c r="AL83" i="5"/>
  <c r="AK83" i="5"/>
  <c r="AJ83" i="5"/>
  <c r="AM83" i="5" s="1"/>
  <c r="AN83" i="5" s="1"/>
  <c r="AH83" i="5"/>
  <c r="AF83" i="5"/>
  <c r="AE83" i="5"/>
  <c r="X83" i="5"/>
  <c r="V83" i="5"/>
  <c r="U83" i="5"/>
  <c r="W83" i="5" s="1"/>
  <c r="R83" i="5"/>
  <c r="D83" i="5"/>
  <c r="AJ82" i="5"/>
  <c r="AM82" i="5" s="1"/>
  <c r="AF82" i="5"/>
  <c r="AH82" i="5" s="1"/>
  <c r="AE82" i="5"/>
  <c r="U82" i="5"/>
  <c r="X82" i="5" s="1"/>
  <c r="R82" i="5"/>
  <c r="D82" i="5"/>
  <c r="AL81" i="5"/>
  <c r="AJ81" i="5"/>
  <c r="AM81" i="5" s="1"/>
  <c r="AH81" i="5"/>
  <c r="AF81" i="5"/>
  <c r="AE81" i="5"/>
  <c r="X81" i="5"/>
  <c r="V81" i="5"/>
  <c r="U81" i="5"/>
  <c r="W81" i="5" s="1"/>
  <c r="R81" i="5"/>
  <c r="D81" i="5"/>
  <c r="AM80" i="5"/>
  <c r="AK80" i="5"/>
  <c r="AN80" i="5" s="1"/>
  <c r="AJ80" i="5"/>
  <c r="AL80" i="5" s="1"/>
  <c r="AF80" i="5"/>
  <c r="AH80" i="5" s="1"/>
  <c r="AE80" i="5"/>
  <c r="W80" i="5"/>
  <c r="U80" i="5"/>
  <c r="X80" i="5" s="1"/>
  <c r="R80" i="5"/>
  <c r="D80" i="5"/>
  <c r="AJ79" i="5"/>
  <c r="AM79" i="5" s="1"/>
  <c r="AF79" i="5"/>
  <c r="AH79" i="5" s="1"/>
  <c r="AE79" i="5"/>
  <c r="X79" i="5"/>
  <c r="Y79" i="5" s="1"/>
  <c r="W79" i="5"/>
  <c r="V79" i="5"/>
  <c r="U79" i="5"/>
  <c r="R79" i="5"/>
  <c r="D79" i="5"/>
  <c r="AN78" i="5"/>
  <c r="AM78" i="5"/>
  <c r="AL78" i="5"/>
  <c r="AK78" i="5"/>
  <c r="AJ78" i="5"/>
  <c r="AH78" i="5"/>
  <c r="AF78" i="5"/>
  <c r="AE78" i="5"/>
  <c r="U78" i="5"/>
  <c r="X78" i="5" s="1"/>
  <c r="R78" i="5"/>
  <c r="D78" i="5"/>
  <c r="AM77" i="5"/>
  <c r="AN77" i="5" s="1"/>
  <c r="AK77" i="5"/>
  <c r="AJ77" i="5"/>
  <c r="AL77" i="5" s="1"/>
  <c r="AF77" i="5"/>
  <c r="AH77" i="5" s="1"/>
  <c r="AE77" i="5"/>
  <c r="X77" i="5"/>
  <c r="Y77" i="5" s="1"/>
  <c r="V77" i="5"/>
  <c r="U77" i="5"/>
  <c r="W77" i="5" s="1"/>
  <c r="R77" i="5"/>
  <c r="D77" i="5"/>
  <c r="AL76" i="5"/>
  <c r="AJ76" i="5"/>
  <c r="AM76" i="5" s="1"/>
  <c r="AH76" i="5"/>
  <c r="AF76" i="5"/>
  <c r="AE76" i="5"/>
  <c r="W76" i="5"/>
  <c r="U76" i="5"/>
  <c r="V76" i="5" s="1"/>
  <c r="R76" i="5"/>
  <c r="D76" i="5"/>
  <c r="AM75" i="5"/>
  <c r="AN75" i="5" s="1"/>
  <c r="AK75" i="5"/>
  <c r="AJ75" i="5"/>
  <c r="AL75" i="5" s="1"/>
  <c r="AH75" i="5"/>
  <c r="AF75" i="5"/>
  <c r="AE75" i="5"/>
  <c r="W75" i="5"/>
  <c r="V75" i="5"/>
  <c r="U75" i="5"/>
  <c r="X75" i="5" s="1"/>
  <c r="Y75" i="5" s="1"/>
  <c r="R75" i="5"/>
  <c r="D75" i="5"/>
  <c r="AJ74" i="5"/>
  <c r="AM74" i="5" s="1"/>
  <c r="AF74" i="5"/>
  <c r="AH74" i="5" s="1"/>
  <c r="AE74" i="5"/>
  <c r="U74" i="5"/>
  <c r="X74" i="5" s="1"/>
  <c r="R74" i="5"/>
  <c r="D74" i="5"/>
  <c r="AM73" i="5"/>
  <c r="AK73" i="5"/>
  <c r="AJ73" i="5"/>
  <c r="AL73" i="5" s="1"/>
  <c r="AH73" i="5"/>
  <c r="AF73" i="5"/>
  <c r="AE73" i="5"/>
  <c r="W73" i="5"/>
  <c r="U73" i="5"/>
  <c r="X73" i="5" s="1"/>
  <c r="R73" i="5"/>
  <c r="D73" i="5"/>
  <c r="AL72" i="5"/>
  <c r="AJ72" i="5"/>
  <c r="AM72" i="5" s="1"/>
  <c r="AF72" i="5"/>
  <c r="AH72" i="5" s="1"/>
  <c r="AE72" i="5"/>
  <c r="X72" i="5"/>
  <c r="V72" i="5"/>
  <c r="Y72" i="5" s="1"/>
  <c r="U72" i="5"/>
  <c r="W72" i="5" s="1"/>
  <c r="R72" i="5"/>
  <c r="D72" i="5"/>
  <c r="AM71" i="5"/>
  <c r="AN71" i="5" s="1"/>
  <c r="AL71" i="5"/>
  <c r="AK71" i="5"/>
  <c r="AJ71" i="5"/>
  <c r="AH71" i="5"/>
  <c r="AF71" i="5"/>
  <c r="AE71" i="5"/>
  <c r="U71" i="5"/>
  <c r="X71" i="5" s="1"/>
  <c r="R71" i="5"/>
  <c r="D71" i="5"/>
  <c r="AJ70" i="5"/>
  <c r="AM70" i="5" s="1"/>
  <c r="AF70" i="5"/>
  <c r="AH70" i="5" s="1"/>
  <c r="AE70" i="5"/>
  <c r="X70" i="5"/>
  <c r="W70" i="5"/>
  <c r="Y70" i="5" s="1"/>
  <c r="V70" i="5"/>
  <c r="U70" i="5"/>
  <c r="R70" i="5"/>
  <c r="D70" i="5"/>
  <c r="AM69" i="5"/>
  <c r="AN69" i="5" s="1"/>
  <c r="AK69" i="5"/>
  <c r="AJ69" i="5"/>
  <c r="AL69" i="5" s="1"/>
  <c r="AH69" i="5"/>
  <c r="AF69" i="5"/>
  <c r="AE69" i="5"/>
  <c r="X69" i="5"/>
  <c r="Y69" i="5" s="1"/>
  <c r="V69" i="5"/>
  <c r="U69" i="5"/>
  <c r="W69" i="5" s="1"/>
  <c r="R69" i="5"/>
  <c r="D69" i="5"/>
  <c r="AL68" i="5"/>
  <c r="AJ68" i="5"/>
  <c r="AK68" i="5" s="1"/>
  <c r="AF68" i="5"/>
  <c r="AH68" i="5" s="1"/>
  <c r="AE68" i="5"/>
  <c r="U68" i="5"/>
  <c r="X68" i="5" s="1"/>
  <c r="R68" i="5"/>
  <c r="D68" i="5"/>
  <c r="AL67" i="5"/>
  <c r="AK67" i="5"/>
  <c r="AJ67" i="5"/>
  <c r="AM67" i="5" s="1"/>
  <c r="AN67" i="5" s="1"/>
  <c r="AH67" i="5"/>
  <c r="AF67" i="5"/>
  <c r="AE67" i="5"/>
  <c r="X67" i="5"/>
  <c r="Y67" i="5" s="1"/>
  <c r="V67" i="5"/>
  <c r="U67" i="5"/>
  <c r="W67" i="5" s="1"/>
  <c r="R67" i="5"/>
  <c r="D67" i="5"/>
  <c r="AJ66" i="5"/>
  <c r="AM66" i="5" s="1"/>
  <c r="AF66" i="5"/>
  <c r="AH66" i="5" s="1"/>
  <c r="AE66" i="5"/>
  <c r="U66" i="5"/>
  <c r="X66" i="5" s="1"/>
  <c r="R66" i="5"/>
  <c r="D66" i="5"/>
  <c r="AL65" i="5"/>
  <c r="AJ65" i="5"/>
  <c r="AM65" i="5" s="1"/>
  <c r="AH65" i="5"/>
  <c r="AF65" i="5"/>
  <c r="AE65" i="5"/>
  <c r="X65" i="5"/>
  <c r="Y65" i="5" s="1"/>
  <c r="V65" i="5"/>
  <c r="U65" i="5"/>
  <c r="W65" i="5" s="1"/>
  <c r="R65" i="5"/>
  <c r="D65" i="5"/>
  <c r="AM64" i="5"/>
  <c r="AK64" i="5"/>
  <c r="AN64" i="5" s="1"/>
  <c r="AJ64" i="5"/>
  <c r="AL64" i="5" s="1"/>
  <c r="AF64" i="5"/>
  <c r="AH64" i="5" s="1"/>
  <c r="AE64" i="5"/>
  <c r="W64" i="5"/>
  <c r="U64" i="5"/>
  <c r="X64" i="5" s="1"/>
  <c r="R64" i="5"/>
  <c r="D64" i="5"/>
  <c r="AJ63" i="5"/>
  <c r="AM63" i="5" s="1"/>
  <c r="AF63" i="5"/>
  <c r="AH63" i="5" s="1"/>
  <c r="AE63" i="5"/>
  <c r="X63" i="5"/>
  <c r="Y63" i="5" s="1"/>
  <c r="W63" i="5"/>
  <c r="V63" i="5"/>
  <c r="U63" i="5"/>
  <c r="R63" i="5"/>
  <c r="D63" i="5"/>
  <c r="AM62" i="5"/>
  <c r="AL62" i="5"/>
  <c r="AN62" i="5" s="1"/>
  <c r="AK62" i="5"/>
  <c r="AJ62" i="5"/>
  <c r="AH62" i="5"/>
  <c r="AF62" i="5"/>
  <c r="AE62" i="5"/>
  <c r="U62" i="5"/>
  <c r="X62" i="5" s="1"/>
  <c r="R62" i="5"/>
  <c r="D62" i="5"/>
  <c r="AM61" i="5"/>
  <c r="AN61" i="5" s="1"/>
  <c r="AK61" i="5"/>
  <c r="AJ61" i="5"/>
  <c r="AL61" i="5" s="1"/>
  <c r="AF61" i="5"/>
  <c r="AH61" i="5" s="1"/>
  <c r="AE61" i="5"/>
  <c r="X61" i="5"/>
  <c r="V61" i="5"/>
  <c r="U61" i="5"/>
  <c r="W61" i="5" s="1"/>
  <c r="R61" i="5"/>
  <c r="D61" i="5"/>
  <c r="AJ60" i="5"/>
  <c r="AM60" i="5" s="1"/>
  <c r="AH60" i="5"/>
  <c r="AF60" i="5"/>
  <c r="AE60" i="5"/>
  <c r="W60" i="5"/>
  <c r="U60" i="5"/>
  <c r="V60" i="5" s="1"/>
  <c r="R60" i="5"/>
  <c r="D60" i="5"/>
  <c r="AM59" i="5"/>
  <c r="AN59" i="5" s="1"/>
  <c r="AK59" i="5"/>
  <c r="AJ59" i="5"/>
  <c r="AL59" i="5" s="1"/>
  <c r="AH59" i="5"/>
  <c r="AF59" i="5"/>
  <c r="AE59" i="5"/>
  <c r="W59" i="5"/>
  <c r="V59" i="5"/>
  <c r="U59" i="5"/>
  <c r="X59" i="5" s="1"/>
  <c r="Y59" i="5" s="1"/>
  <c r="R59" i="5"/>
  <c r="D59" i="5"/>
  <c r="AJ58" i="5"/>
  <c r="AM58" i="5" s="1"/>
  <c r="AF58" i="5"/>
  <c r="AH58" i="5" s="1"/>
  <c r="AE58" i="5"/>
  <c r="U58" i="5"/>
  <c r="X58" i="5" s="1"/>
  <c r="R58" i="5"/>
  <c r="D58" i="5"/>
  <c r="AM57" i="5"/>
  <c r="AN57" i="5" s="1"/>
  <c r="AK57" i="5"/>
  <c r="AJ57" i="5"/>
  <c r="AL57" i="5" s="1"/>
  <c r="AH57" i="5"/>
  <c r="AF57" i="5"/>
  <c r="AE57" i="5"/>
  <c r="W57" i="5"/>
  <c r="U57" i="5"/>
  <c r="X57" i="5" s="1"/>
  <c r="R57" i="5"/>
  <c r="D57" i="5"/>
  <c r="AL56" i="5"/>
  <c r="AJ56" i="5"/>
  <c r="AM56" i="5" s="1"/>
  <c r="AF56" i="5"/>
  <c r="AH56" i="5" s="1"/>
  <c r="AE56" i="5"/>
  <c r="X56" i="5"/>
  <c r="V56" i="5"/>
  <c r="U56" i="5"/>
  <c r="W56" i="5" s="1"/>
  <c r="Y56" i="5" s="1"/>
  <c r="R56" i="5"/>
  <c r="D56" i="5"/>
  <c r="AM55" i="5"/>
  <c r="AN55" i="5" s="1"/>
  <c r="AL55" i="5"/>
  <c r="AK55" i="5"/>
  <c r="AJ55" i="5"/>
  <c r="AH55" i="5"/>
  <c r="AF55" i="5"/>
  <c r="AE55" i="5"/>
  <c r="X55" i="5"/>
  <c r="U55" i="5"/>
  <c r="W55" i="5" s="1"/>
  <c r="R55" i="5"/>
  <c r="D55" i="5"/>
  <c r="AJ54" i="5"/>
  <c r="AM54" i="5" s="1"/>
  <c r="AF54" i="5"/>
  <c r="AH54" i="5" s="1"/>
  <c r="AE54" i="5"/>
  <c r="X54" i="5"/>
  <c r="W54" i="5"/>
  <c r="Y54" i="5" s="1"/>
  <c r="V54" i="5"/>
  <c r="U54" i="5"/>
  <c r="R54" i="5"/>
  <c r="D54" i="5"/>
  <c r="AM53" i="5"/>
  <c r="AK53" i="5"/>
  <c r="AJ53" i="5"/>
  <c r="AL53" i="5" s="1"/>
  <c r="AH53" i="5"/>
  <c r="AF53" i="5"/>
  <c r="AE53" i="5"/>
  <c r="X53" i="5"/>
  <c r="Y53" i="5" s="1"/>
  <c r="V53" i="5"/>
  <c r="U53" i="5"/>
  <c r="W53" i="5" s="1"/>
  <c r="R53" i="5"/>
  <c r="D53" i="5"/>
  <c r="AL52" i="5"/>
  <c r="AJ52" i="5"/>
  <c r="AK52" i="5" s="1"/>
  <c r="AF52" i="5"/>
  <c r="AH52" i="5" s="1"/>
  <c r="AE52" i="5"/>
  <c r="U52" i="5"/>
  <c r="X52" i="5" s="1"/>
  <c r="R52" i="5"/>
  <c r="D52" i="5"/>
  <c r="AL51" i="5"/>
  <c r="AK51" i="5"/>
  <c r="AJ51" i="5"/>
  <c r="AM51" i="5" s="1"/>
  <c r="AN51" i="5" s="1"/>
  <c r="AH51" i="5"/>
  <c r="AF51" i="5"/>
  <c r="AE51" i="5"/>
  <c r="X51" i="5"/>
  <c r="Y51" i="5" s="1"/>
  <c r="V51" i="5"/>
  <c r="U51" i="5"/>
  <c r="W51" i="5" s="1"/>
  <c r="R51" i="5"/>
  <c r="D51" i="5"/>
  <c r="AJ50" i="5"/>
  <c r="AM50" i="5" s="1"/>
  <c r="AF50" i="5"/>
  <c r="AH50" i="5" s="1"/>
  <c r="AE50" i="5"/>
  <c r="U50" i="5"/>
  <c r="X50" i="5" s="1"/>
  <c r="R50" i="5"/>
  <c r="D50" i="5"/>
  <c r="AL49" i="5"/>
  <c r="AJ49" i="5"/>
  <c r="AM49" i="5" s="1"/>
  <c r="AH49" i="5"/>
  <c r="AF49" i="5"/>
  <c r="AE49" i="5"/>
  <c r="X49" i="5"/>
  <c r="Y49" i="5" s="1"/>
  <c r="V49" i="5"/>
  <c r="U49" i="5"/>
  <c r="W49" i="5" s="1"/>
  <c r="R49" i="5"/>
  <c r="D49" i="5"/>
  <c r="AM48" i="5"/>
  <c r="AK48" i="5"/>
  <c r="AJ48" i="5"/>
  <c r="AL48" i="5" s="1"/>
  <c r="AN48" i="5" s="1"/>
  <c r="AF48" i="5"/>
  <c r="AH48" i="5" s="1"/>
  <c r="AE48" i="5"/>
  <c r="W48" i="5"/>
  <c r="U48" i="5"/>
  <c r="X48" i="5" s="1"/>
  <c r="R48" i="5"/>
  <c r="D48" i="5"/>
  <c r="AM47" i="5"/>
  <c r="AJ47" i="5"/>
  <c r="AL47" i="5" s="1"/>
  <c r="AF47" i="5"/>
  <c r="AH47" i="5" s="1"/>
  <c r="AE47" i="5"/>
  <c r="X47" i="5"/>
  <c r="Y47" i="5" s="1"/>
  <c r="W47" i="5"/>
  <c r="V47" i="5"/>
  <c r="U47" i="5"/>
  <c r="R47" i="5"/>
  <c r="D47" i="5"/>
  <c r="AM46" i="5"/>
  <c r="AL46" i="5"/>
  <c r="AN46" i="5" s="1"/>
  <c r="AK46" i="5"/>
  <c r="AJ46" i="5"/>
  <c r="AH46" i="5"/>
  <c r="AF46" i="5"/>
  <c r="AE46" i="5"/>
  <c r="U46" i="5"/>
  <c r="X46" i="5" s="1"/>
  <c r="R46" i="5"/>
  <c r="D46" i="5"/>
  <c r="AM45" i="5"/>
  <c r="AK45" i="5"/>
  <c r="AJ45" i="5"/>
  <c r="AL45" i="5" s="1"/>
  <c r="AF45" i="5"/>
  <c r="AH45" i="5" s="1"/>
  <c r="AE45" i="5"/>
  <c r="X45" i="5"/>
  <c r="V45" i="5"/>
  <c r="U45" i="5"/>
  <c r="W45" i="5" s="1"/>
  <c r="R45" i="5"/>
  <c r="D45" i="5"/>
  <c r="AJ44" i="5"/>
  <c r="AM44" i="5" s="1"/>
  <c r="AH44" i="5"/>
  <c r="AF44" i="5"/>
  <c r="AE44" i="5"/>
  <c r="W44" i="5"/>
  <c r="U44" i="5"/>
  <c r="V44" i="5" s="1"/>
  <c r="R44" i="5"/>
  <c r="D44" i="5"/>
  <c r="AM43" i="5"/>
  <c r="AK43" i="5"/>
  <c r="AJ43" i="5"/>
  <c r="AL43" i="5" s="1"/>
  <c r="AH43" i="5"/>
  <c r="AF43" i="5"/>
  <c r="AE43" i="5"/>
  <c r="W43" i="5"/>
  <c r="V43" i="5"/>
  <c r="U43" i="5"/>
  <c r="X43" i="5" s="1"/>
  <c r="Y43" i="5" s="1"/>
  <c r="R43" i="5"/>
  <c r="D43" i="5"/>
  <c r="AJ42" i="5"/>
  <c r="AM42" i="5" s="1"/>
  <c r="AF42" i="5"/>
  <c r="AH42" i="5" s="1"/>
  <c r="AE42" i="5"/>
  <c r="U42" i="5"/>
  <c r="X42" i="5" s="1"/>
  <c r="R42" i="5"/>
  <c r="D42" i="5"/>
  <c r="AM41" i="5"/>
  <c r="AN41" i="5" s="1"/>
  <c r="AK41" i="5"/>
  <c r="AJ41" i="5"/>
  <c r="AL41" i="5" s="1"/>
  <c r="AH41" i="5"/>
  <c r="AF41" i="5"/>
  <c r="AE41" i="5"/>
  <c r="W41" i="5"/>
  <c r="U41" i="5"/>
  <c r="X41" i="5" s="1"/>
  <c r="R41" i="5"/>
  <c r="D41" i="5"/>
  <c r="AL40" i="5"/>
  <c r="AJ40" i="5"/>
  <c r="AM40" i="5" s="1"/>
  <c r="AF40" i="5"/>
  <c r="AH40" i="5" s="1"/>
  <c r="AE40" i="5"/>
  <c r="X40" i="5"/>
  <c r="V40" i="5"/>
  <c r="U40" i="5"/>
  <c r="W40" i="5" s="1"/>
  <c r="Y40" i="5" s="1"/>
  <c r="R40" i="5"/>
  <c r="D40" i="5"/>
  <c r="AM39" i="5"/>
  <c r="AN39" i="5" s="1"/>
  <c r="AL39" i="5"/>
  <c r="AK39" i="5"/>
  <c r="AJ39" i="5"/>
  <c r="AH39" i="5"/>
  <c r="AF39" i="5"/>
  <c r="AE39" i="5"/>
  <c r="X39" i="5"/>
  <c r="U39" i="5"/>
  <c r="W39" i="5" s="1"/>
  <c r="R39" i="5"/>
  <c r="D39" i="5"/>
  <c r="AJ38" i="5"/>
  <c r="AM38" i="5" s="1"/>
  <c r="AF38" i="5"/>
  <c r="AH38" i="5" s="1"/>
  <c r="AE38" i="5"/>
  <c r="X38" i="5"/>
  <c r="W38" i="5"/>
  <c r="Y38" i="5" s="1"/>
  <c r="V38" i="5"/>
  <c r="U38" i="5"/>
  <c r="R38" i="5"/>
  <c r="D38" i="5"/>
  <c r="AM37" i="5"/>
  <c r="AK37" i="5"/>
  <c r="AJ37" i="5"/>
  <c r="AL37" i="5" s="1"/>
  <c r="AH37" i="5"/>
  <c r="AF37" i="5"/>
  <c r="AE37" i="5"/>
  <c r="X37" i="5"/>
  <c r="V37" i="5"/>
  <c r="U37" i="5"/>
  <c r="W37" i="5" s="1"/>
  <c r="R37" i="5"/>
  <c r="D37" i="5"/>
  <c r="AL36" i="5"/>
  <c r="AJ36" i="5"/>
  <c r="AK36" i="5" s="1"/>
  <c r="AF36" i="5"/>
  <c r="AH36" i="5" s="1"/>
  <c r="AE36" i="5"/>
  <c r="U36" i="5"/>
  <c r="X36" i="5" s="1"/>
  <c r="R36" i="5"/>
  <c r="D36" i="5"/>
  <c r="AL35" i="5"/>
  <c r="AK35" i="5"/>
  <c r="AJ35" i="5"/>
  <c r="AM35" i="5" s="1"/>
  <c r="AN35" i="5" s="1"/>
  <c r="AH35" i="5"/>
  <c r="AF35" i="5"/>
  <c r="AE35" i="5"/>
  <c r="X35" i="5"/>
  <c r="Y35" i="5" s="1"/>
  <c r="V35" i="5"/>
  <c r="U35" i="5"/>
  <c r="W35" i="5" s="1"/>
  <c r="R35" i="5"/>
  <c r="D35" i="5"/>
  <c r="AJ34" i="5"/>
  <c r="AM34" i="5" s="1"/>
  <c r="AF34" i="5"/>
  <c r="AH34" i="5" s="1"/>
  <c r="AE34" i="5"/>
  <c r="U34" i="5"/>
  <c r="X34" i="5" s="1"/>
  <c r="R34" i="5"/>
  <c r="D34" i="5"/>
  <c r="AL33" i="5"/>
  <c r="AJ33" i="5"/>
  <c r="AM33" i="5" s="1"/>
  <c r="AH33" i="5"/>
  <c r="AF33" i="5"/>
  <c r="AE33" i="5"/>
  <c r="X33" i="5"/>
  <c r="Y33" i="5" s="1"/>
  <c r="V33" i="5"/>
  <c r="U33" i="5"/>
  <c r="W33" i="5" s="1"/>
  <c r="R33" i="5"/>
  <c r="D33" i="5"/>
  <c r="AM32" i="5"/>
  <c r="AK32" i="5"/>
  <c r="AJ32" i="5"/>
  <c r="AL32" i="5" s="1"/>
  <c r="AN32" i="5" s="1"/>
  <c r="AF32" i="5"/>
  <c r="AH32" i="5" s="1"/>
  <c r="AE32" i="5"/>
  <c r="W32" i="5"/>
  <c r="U32" i="5"/>
  <c r="X32" i="5" s="1"/>
  <c r="R32" i="5"/>
  <c r="D32" i="5"/>
  <c r="AM31" i="5"/>
  <c r="AJ31" i="5"/>
  <c r="AL31" i="5" s="1"/>
  <c r="AF31" i="5"/>
  <c r="AH31" i="5" s="1"/>
  <c r="AE31" i="5"/>
  <c r="X31" i="5"/>
  <c r="Y31" i="5" s="1"/>
  <c r="W31" i="5"/>
  <c r="V31" i="5"/>
  <c r="U31" i="5"/>
  <c r="R31" i="5"/>
  <c r="D31" i="5"/>
  <c r="AM30" i="5"/>
  <c r="AL30" i="5"/>
  <c r="AN30" i="5" s="1"/>
  <c r="AK30" i="5"/>
  <c r="AJ30" i="5"/>
  <c r="AH30" i="5"/>
  <c r="AF30" i="5"/>
  <c r="AE30" i="5"/>
  <c r="U30" i="5"/>
  <c r="X30" i="5" s="1"/>
  <c r="R30" i="5"/>
  <c r="D30" i="5"/>
  <c r="AM29" i="5"/>
  <c r="AK29" i="5"/>
  <c r="AJ29" i="5"/>
  <c r="AL29" i="5" s="1"/>
  <c r="AF29" i="5"/>
  <c r="AH29" i="5" s="1"/>
  <c r="AE29" i="5"/>
  <c r="X29" i="5"/>
  <c r="Y29" i="5" s="1"/>
  <c r="V29" i="5"/>
  <c r="U29" i="5"/>
  <c r="W29" i="5" s="1"/>
  <c r="R29" i="5"/>
  <c r="D29" i="5"/>
  <c r="AJ28" i="5"/>
  <c r="AM28" i="5" s="1"/>
  <c r="AH28" i="5"/>
  <c r="AF28" i="5"/>
  <c r="AE28" i="5"/>
  <c r="W28" i="5"/>
  <c r="U28" i="5"/>
  <c r="V28" i="5" s="1"/>
  <c r="R28" i="5"/>
  <c r="D28" i="5"/>
  <c r="AM27" i="5"/>
  <c r="AK27" i="5"/>
  <c r="AJ27" i="5"/>
  <c r="AL27" i="5" s="1"/>
  <c r="AH27" i="5"/>
  <c r="AF27" i="5"/>
  <c r="AE27" i="5"/>
  <c r="W27" i="5"/>
  <c r="V27" i="5"/>
  <c r="U27" i="5"/>
  <c r="X27" i="5" s="1"/>
  <c r="Y27" i="5" s="1"/>
  <c r="R27" i="5"/>
  <c r="D27" i="5"/>
  <c r="AJ26" i="5"/>
  <c r="AM26" i="5" s="1"/>
  <c r="AF26" i="5"/>
  <c r="AH26" i="5" s="1"/>
  <c r="AE26" i="5"/>
  <c r="U26" i="5"/>
  <c r="X26" i="5" s="1"/>
  <c r="R26" i="5"/>
  <c r="D26" i="5"/>
  <c r="AM25" i="5"/>
  <c r="AK25" i="5"/>
  <c r="AJ25" i="5"/>
  <c r="AL25" i="5" s="1"/>
  <c r="AH25" i="5"/>
  <c r="AF25" i="5"/>
  <c r="AE25" i="5"/>
  <c r="W25" i="5"/>
  <c r="U25" i="5"/>
  <c r="X25" i="5" s="1"/>
  <c r="R25" i="5"/>
  <c r="D25" i="5"/>
  <c r="AL24" i="5"/>
  <c r="AJ24" i="5"/>
  <c r="AM24" i="5" s="1"/>
  <c r="AF24" i="5"/>
  <c r="AH24" i="5" s="1"/>
  <c r="AE24" i="5"/>
  <c r="X24" i="5"/>
  <c r="V24" i="5"/>
  <c r="U24" i="5"/>
  <c r="W24" i="5" s="1"/>
  <c r="Y24" i="5" s="1"/>
  <c r="R24" i="5"/>
  <c r="D24" i="5"/>
  <c r="AM23" i="5"/>
  <c r="AN23" i="5" s="1"/>
  <c r="AL23" i="5"/>
  <c r="AK23" i="5"/>
  <c r="AJ23" i="5"/>
  <c r="AH23" i="5"/>
  <c r="AF23" i="5"/>
  <c r="AE23" i="5"/>
  <c r="X23" i="5"/>
  <c r="U23" i="5"/>
  <c r="W23" i="5" s="1"/>
  <c r="R23" i="5"/>
  <c r="D23" i="5"/>
  <c r="AJ22" i="5"/>
  <c r="AM22" i="5" s="1"/>
  <c r="AF22" i="5"/>
  <c r="AH22" i="5" s="1"/>
  <c r="AE22" i="5"/>
  <c r="X22" i="5"/>
  <c r="W22" i="5"/>
  <c r="Y22" i="5" s="1"/>
  <c r="V22" i="5"/>
  <c r="U22" i="5"/>
  <c r="R22" i="5"/>
  <c r="D22" i="5"/>
  <c r="AM21" i="5"/>
  <c r="AN21" i="5" s="1"/>
  <c r="AK21" i="5"/>
  <c r="AJ21" i="5"/>
  <c r="AL21" i="5" s="1"/>
  <c r="AH21" i="5"/>
  <c r="AF21" i="5"/>
  <c r="AE21" i="5"/>
  <c r="X21" i="5"/>
  <c r="V21" i="5"/>
  <c r="U21" i="5"/>
  <c r="W21" i="5" s="1"/>
  <c r="R21" i="5"/>
  <c r="D21" i="5"/>
  <c r="AL20" i="5"/>
  <c r="AJ20" i="5"/>
  <c r="AK20" i="5" s="1"/>
  <c r="AF20" i="5"/>
  <c r="AH20" i="5" s="1"/>
  <c r="AE20" i="5"/>
  <c r="U20" i="5"/>
  <c r="X20" i="5" s="1"/>
  <c r="R20" i="5"/>
  <c r="D20" i="5"/>
  <c r="AL19" i="5"/>
  <c r="AK19" i="5"/>
  <c r="AJ19" i="5"/>
  <c r="AM19" i="5" s="1"/>
  <c r="AN19" i="5" s="1"/>
  <c r="AH19" i="5"/>
  <c r="AF19" i="5"/>
  <c r="AE19" i="5"/>
  <c r="X19" i="5"/>
  <c r="V19" i="5"/>
  <c r="U19" i="5"/>
  <c r="W19" i="5" s="1"/>
  <c r="R19" i="5"/>
  <c r="D19" i="5"/>
  <c r="AJ18" i="5"/>
  <c r="AM18" i="5" s="1"/>
  <c r="AF18" i="5"/>
  <c r="AH18" i="5" s="1"/>
  <c r="AE18" i="5"/>
  <c r="U18" i="5"/>
  <c r="X18" i="5" s="1"/>
  <c r="R18" i="5"/>
  <c r="D18" i="5"/>
  <c r="AL17" i="5"/>
  <c r="AJ17" i="5"/>
  <c r="AM17" i="5" s="1"/>
  <c r="AH17" i="5"/>
  <c r="AF17" i="5"/>
  <c r="AE17" i="5"/>
  <c r="X17" i="5"/>
  <c r="V17" i="5"/>
  <c r="U17" i="5"/>
  <c r="W17" i="5" s="1"/>
  <c r="R17" i="5"/>
  <c r="D17" i="5"/>
  <c r="AM16" i="5"/>
  <c r="AK16" i="5"/>
  <c r="AJ16" i="5"/>
  <c r="AL16" i="5" s="1"/>
  <c r="AN16" i="5" s="1"/>
  <c r="AF16" i="5"/>
  <c r="AH16" i="5" s="1"/>
  <c r="AE16" i="5"/>
  <c r="W16" i="5"/>
  <c r="U16" i="5"/>
  <c r="X16" i="5" s="1"/>
  <c r="R16" i="5"/>
  <c r="D16" i="5"/>
  <c r="AM15" i="5"/>
  <c r="AJ15" i="5"/>
  <c r="AL15" i="5" s="1"/>
  <c r="AF15" i="5"/>
  <c r="AH15" i="5" s="1"/>
  <c r="AE15" i="5"/>
  <c r="X15" i="5"/>
  <c r="Y15" i="5" s="1"/>
  <c r="W15" i="5"/>
  <c r="V15" i="5"/>
  <c r="U15" i="5"/>
  <c r="R15" i="5"/>
  <c r="D15" i="5"/>
  <c r="AM14" i="5"/>
  <c r="AL14" i="5"/>
  <c r="AN14" i="5" s="1"/>
  <c r="AK14" i="5"/>
  <c r="AJ14" i="5"/>
  <c r="AH14" i="5"/>
  <c r="AF14" i="5"/>
  <c r="AE14" i="5"/>
  <c r="U14" i="5"/>
  <c r="X14" i="5" s="1"/>
  <c r="R14" i="5"/>
  <c r="D14" i="5"/>
  <c r="AM13" i="5"/>
  <c r="AK13" i="5"/>
  <c r="AJ13" i="5"/>
  <c r="AL13" i="5" s="1"/>
  <c r="AF13" i="5"/>
  <c r="AH13" i="5" s="1"/>
  <c r="AE13" i="5"/>
  <c r="X13" i="5"/>
  <c r="V13" i="5"/>
  <c r="U13" i="5"/>
  <c r="W13" i="5" s="1"/>
  <c r="R13" i="5"/>
  <c r="D13" i="5"/>
  <c r="AJ12" i="5"/>
  <c r="AM12" i="5" s="1"/>
  <c r="AH12" i="5"/>
  <c r="AF12" i="5"/>
  <c r="AE12" i="5"/>
  <c r="W12" i="5"/>
  <c r="U12" i="5"/>
  <c r="V12" i="5" s="1"/>
  <c r="R12" i="5"/>
  <c r="D12" i="5"/>
  <c r="AM11" i="5"/>
  <c r="AK11" i="5"/>
  <c r="AJ11" i="5"/>
  <c r="AL11" i="5" s="1"/>
  <c r="AH11" i="5"/>
  <c r="AF11" i="5"/>
  <c r="AE11" i="5"/>
  <c r="W11" i="5"/>
  <c r="V11" i="5"/>
  <c r="U11" i="5"/>
  <c r="X11" i="5" s="1"/>
  <c r="Y11" i="5" s="1"/>
  <c r="R11" i="5"/>
  <c r="D11" i="5"/>
  <c r="AJ10" i="5"/>
  <c r="AM10" i="5" s="1"/>
  <c r="AF10" i="5"/>
  <c r="AH10" i="5" s="1"/>
  <c r="AE10" i="5"/>
  <c r="U10" i="5"/>
  <c r="X10" i="5" s="1"/>
  <c r="R10" i="5"/>
  <c r="D10" i="5"/>
  <c r="AM9" i="5"/>
  <c r="AN9" i="5" s="1"/>
  <c r="AK9" i="5"/>
  <c r="AJ9" i="5"/>
  <c r="AL9" i="5" s="1"/>
  <c r="AH9" i="5"/>
  <c r="AF9" i="5"/>
  <c r="AE9" i="5"/>
  <c r="W9" i="5"/>
  <c r="U9" i="5"/>
  <c r="X9" i="5" s="1"/>
  <c r="R9" i="5"/>
  <c r="D9" i="5"/>
  <c r="AL8" i="5"/>
  <c r="AJ8" i="5"/>
  <c r="AM8" i="5" s="1"/>
  <c r="AF8" i="5"/>
  <c r="AH8" i="5" s="1"/>
  <c r="AE8" i="5"/>
  <c r="X8" i="5"/>
  <c r="V8" i="5"/>
  <c r="U8" i="5"/>
  <c r="W8" i="5" s="1"/>
  <c r="Y8" i="5" s="1"/>
  <c r="R8" i="5"/>
  <c r="D8" i="5"/>
  <c r="AM7" i="5"/>
  <c r="AN7" i="5" s="1"/>
  <c r="AL7" i="5"/>
  <c r="AK7" i="5"/>
  <c r="AJ7" i="5"/>
  <c r="AH7" i="5"/>
  <c r="AF7" i="5"/>
  <c r="AE7" i="5"/>
  <c r="X7" i="5"/>
  <c r="U7" i="5"/>
  <c r="W7" i="5" s="1"/>
  <c r="R7" i="5"/>
  <c r="D7" i="5"/>
  <c r="AJ6" i="5"/>
  <c r="AM6" i="5" s="1"/>
  <c r="AF6" i="5"/>
  <c r="AH6" i="5" s="1"/>
  <c r="AE6" i="5"/>
  <c r="X6" i="5"/>
  <c r="W6" i="5"/>
  <c r="Y6" i="5" s="1"/>
  <c r="V6" i="5"/>
  <c r="U6" i="5"/>
  <c r="R6" i="5"/>
  <c r="D6" i="5"/>
  <c r="AM5" i="5"/>
  <c r="AN5" i="5" s="1"/>
  <c r="AK5" i="5"/>
  <c r="AJ5" i="5"/>
  <c r="AL5" i="5" s="1"/>
  <c r="AH5" i="5"/>
  <c r="AF5" i="5"/>
  <c r="AE5" i="5"/>
  <c r="X5" i="5"/>
  <c r="V5" i="5"/>
  <c r="U5" i="5"/>
  <c r="W5" i="5" s="1"/>
  <c r="R5" i="5"/>
  <c r="D5" i="5"/>
  <c r="AL4" i="5"/>
  <c r="AJ4" i="5"/>
  <c r="AK4" i="5" s="1"/>
  <c r="AF4" i="5"/>
  <c r="AH4" i="5" s="1"/>
  <c r="AE4" i="5"/>
  <c r="U4" i="5"/>
  <c r="X4" i="5" s="1"/>
  <c r="R4" i="5"/>
  <c r="D4" i="5"/>
  <c r="AL3" i="5"/>
  <c r="AK3" i="5"/>
  <c r="AJ3" i="5"/>
  <c r="AM3" i="5" s="1"/>
  <c r="AN3" i="5" s="1"/>
  <c r="AH3" i="5"/>
  <c r="AF3" i="5"/>
  <c r="AE3" i="5"/>
  <c r="X3" i="5"/>
  <c r="V3" i="5"/>
  <c r="U3" i="5"/>
  <c r="W3" i="5" s="1"/>
  <c r="R3" i="5"/>
  <c r="D3" i="5"/>
  <c r="D2" i="5"/>
  <c r="AN72" i="5" l="1"/>
  <c r="Y93" i="5"/>
  <c r="AN25" i="5"/>
  <c r="AN65" i="5"/>
  <c r="Y81" i="5"/>
  <c r="Y83" i="5"/>
  <c r="AN89" i="5"/>
  <c r="AN37" i="5"/>
  <c r="Y55" i="5"/>
  <c r="Y62" i="5"/>
  <c r="Y17" i="5"/>
  <c r="Y19" i="5"/>
  <c r="AN27" i="5"/>
  <c r="AN53" i="5"/>
  <c r="AN91" i="5"/>
  <c r="AN96" i="5"/>
  <c r="Y129" i="5"/>
  <c r="AN8" i="5"/>
  <c r="Y7" i="5"/>
  <c r="AN10" i="5"/>
  <c r="Y45" i="5"/>
  <c r="Y21" i="5"/>
  <c r="AN29" i="5"/>
  <c r="AN76" i="5"/>
  <c r="Y85" i="5"/>
  <c r="AN86" i="5"/>
  <c r="Y116" i="5"/>
  <c r="AN11" i="5"/>
  <c r="Y5" i="5"/>
  <c r="Y48" i="5"/>
  <c r="Y9" i="5"/>
  <c r="AN12" i="5"/>
  <c r="AN24" i="5"/>
  <c r="AN43" i="5"/>
  <c r="Y3" i="5"/>
  <c r="Y61" i="5"/>
  <c r="AN17" i="5"/>
  <c r="AN31" i="5"/>
  <c r="Y37" i="5"/>
  <c r="AN45" i="5"/>
  <c r="Y97" i="5"/>
  <c r="Y10" i="5"/>
  <c r="AN13" i="5"/>
  <c r="Y99" i="5"/>
  <c r="AN116" i="5"/>
  <c r="AN121" i="5"/>
  <c r="AN70" i="5"/>
  <c r="Y18" i="5"/>
  <c r="Y13" i="5"/>
  <c r="Y39" i="5"/>
  <c r="AN42" i="5"/>
  <c r="Y46" i="5"/>
  <c r="AN54" i="5"/>
  <c r="AN73" i="5"/>
  <c r="AK174" i="5"/>
  <c r="AL174" i="5"/>
  <c r="W193" i="5"/>
  <c r="X193" i="5"/>
  <c r="V193" i="5"/>
  <c r="AM4" i="5"/>
  <c r="AN4" i="5" s="1"/>
  <c r="V10" i="5"/>
  <c r="X12" i="5"/>
  <c r="Y12" i="5" s="1"/>
  <c r="AK18" i="5"/>
  <c r="AN18" i="5" s="1"/>
  <c r="AM20" i="5"/>
  <c r="AN20" i="5" s="1"/>
  <c r="V26" i="5"/>
  <c r="Y26" i="5" s="1"/>
  <c r="X28" i="5"/>
  <c r="Y28" i="5" s="1"/>
  <c r="AK34" i="5"/>
  <c r="AN34" i="5" s="1"/>
  <c r="AM36" i="5"/>
  <c r="AN36" i="5" s="1"/>
  <c r="V42" i="5"/>
  <c r="Y42" i="5" s="1"/>
  <c r="X44" i="5"/>
  <c r="Y44" i="5" s="1"/>
  <c r="AK50" i="5"/>
  <c r="AN50" i="5" s="1"/>
  <c r="AM52" i="5"/>
  <c r="AN52" i="5" s="1"/>
  <c r="V58" i="5"/>
  <c r="Y58" i="5" s="1"/>
  <c r="X60" i="5"/>
  <c r="Y60" i="5" s="1"/>
  <c r="AK66" i="5"/>
  <c r="AN66" i="5" s="1"/>
  <c r="AM68" i="5"/>
  <c r="AN68" i="5" s="1"/>
  <c r="V74" i="5"/>
  <c r="Y74" i="5" s="1"/>
  <c r="X76" i="5"/>
  <c r="Y76" i="5" s="1"/>
  <c r="AK82" i="5"/>
  <c r="AN82" i="5" s="1"/>
  <c r="AM84" i="5"/>
  <c r="AN84" i="5" s="1"/>
  <c r="V90" i="5"/>
  <c r="Y90" i="5" s="1"/>
  <c r="X92" i="5"/>
  <c r="Y92" i="5" s="1"/>
  <c r="AK111" i="5"/>
  <c r="V119" i="5"/>
  <c r="AK121" i="5"/>
  <c r="AN122" i="5"/>
  <c r="V129" i="5"/>
  <c r="AN148" i="5"/>
  <c r="W150" i="5"/>
  <c r="AN152" i="5"/>
  <c r="AN164" i="5"/>
  <c r="W166" i="5"/>
  <c r="AM174" i="5"/>
  <c r="AN174" i="5" s="1"/>
  <c r="Y183" i="5"/>
  <c r="Y188" i="5"/>
  <c r="V198" i="5"/>
  <c r="X198" i="5"/>
  <c r="Y198" i="5" s="1"/>
  <c r="W198" i="5"/>
  <c r="Y208" i="5"/>
  <c r="V9" i="5"/>
  <c r="W10" i="5"/>
  <c r="AK17" i="5"/>
  <c r="AL18" i="5"/>
  <c r="V25" i="5"/>
  <c r="Y25" i="5" s="1"/>
  <c r="W26" i="5"/>
  <c r="AK33" i="5"/>
  <c r="AN33" i="5" s="1"/>
  <c r="AL34" i="5"/>
  <c r="V41" i="5"/>
  <c r="Y41" i="5" s="1"/>
  <c r="W42" i="5"/>
  <c r="AK49" i="5"/>
  <c r="AN49" i="5" s="1"/>
  <c r="AL50" i="5"/>
  <c r="V57" i="5"/>
  <c r="Y57" i="5" s="1"/>
  <c r="W58" i="5"/>
  <c r="AK65" i="5"/>
  <c r="AL66" i="5"/>
  <c r="V73" i="5"/>
  <c r="Y73" i="5" s="1"/>
  <c r="W74" i="5"/>
  <c r="AK81" i="5"/>
  <c r="AN81" i="5" s="1"/>
  <c r="AL82" i="5"/>
  <c r="V89" i="5"/>
  <c r="Y89" i="5" s="1"/>
  <c r="W90" i="5"/>
  <c r="AK97" i="5"/>
  <c r="AN97" i="5" s="1"/>
  <c r="W102" i="5"/>
  <c r="Y102" i="5" s="1"/>
  <c r="V108" i="5"/>
  <c r="Y108" i="5" s="1"/>
  <c r="AM111" i="5"/>
  <c r="Y114" i="5"/>
  <c r="AK116" i="5"/>
  <c r="X119" i="5"/>
  <c r="AL121" i="5"/>
  <c r="V124" i="5"/>
  <c r="Y124" i="5" s="1"/>
  <c r="W129" i="5"/>
  <c r="AL135" i="5"/>
  <c r="Y146" i="5"/>
  <c r="X150" i="5"/>
  <c r="Y150" i="5" s="1"/>
  <c r="Y162" i="5"/>
  <c r="X166" i="5"/>
  <c r="Y166" i="5" s="1"/>
  <c r="Y176" i="5"/>
  <c r="AN177" i="5"/>
  <c r="AK196" i="5"/>
  <c r="AM196" i="5"/>
  <c r="AN196" i="5" s="1"/>
  <c r="AL196" i="5"/>
  <c r="Y273" i="5"/>
  <c r="AN317" i="5"/>
  <c r="AM131" i="5"/>
  <c r="AK131" i="5"/>
  <c r="AM135" i="5"/>
  <c r="AN135" i="5" s="1"/>
  <c r="AM147" i="5"/>
  <c r="AN147" i="5" s="1"/>
  <c r="AK147" i="5"/>
  <c r="AM151" i="5"/>
  <c r="AK151" i="5"/>
  <c r="AM163" i="5"/>
  <c r="AK163" i="5"/>
  <c r="AM167" i="5"/>
  <c r="AL167" i="5"/>
  <c r="AK167" i="5"/>
  <c r="AN273" i="5"/>
  <c r="V7" i="5"/>
  <c r="AK15" i="5"/>
  <c r="AN15" i="5" s="1"/>
  <c r="V23" i="5"/>
  <c r="Y23" i="5" s="1"/>
  <c r="AK31" i="5"/>
  <c r="V39" i="5"/>
  <c r="AK47" i="5"/>
  <c r="AN47" i="5" s="1"/>
  <c r="V55" i="5"/>
  <c r="AK63" i="5"/>
  <c r="AN63" i="5" s="1"/>
  <c r="V71" i="5"/>
  <c r="Y71" i="5" s="1"/>
  <c r="AK79" i="5"/>
  <c r="AN79" i="5" s="1"/>
  <c r="V87" i="5"/>
  <c r="Y87" i="5" s="1"/>
  <c r="AK95" i="5"/>
  <c r="AN95" i="5" s="1"/>
  <c r="AM104" i="5"/>
  <c r="AN104" i="5" s="1"/>
  <c r="W107" i="5"/>
  <c r="AL110" i="5"/>
  <c r="V113" i="5"/>
  <c r="Y113" i="5" s="1"/>
  <c r="AM126" i="5"/>
  <c r="AN126" i="5" s="1"/>
  <c r="V128" i="5"/>
  <c r="AL139" i="5"/>
  <c r="X141" i="5"/>
  <c r="V141" i="5"/>
  <c r="AL147" i="5"/>
  <c r="AL151" i="5"/>
  <c r="AL155" i="5"/>
  <c r="X157" i="5"/>
  <c r="V157" i="5"/>
  <c r="AL163" i="5"/>
  <c r="Y169" i="5"/>
  <c r="AM188" i="5"/>
  <c r="AN188" i="5" s="1"/>
  <c r="AL188" i="5"/>
  <c r="AK188" i="5"/>
  <c r="AM208" i="5"/>
  <c r="AL208" i="5"/>
  <c r="AK208" i="5"/>
  <c r="AN106" i="5"/>
  <c r="AL63" i="5"/>
  <c r="W71" i="5"/>
  <c r="AL79" i="5"/>
  <c r="W87" i="5"/>
  <c r="AL95" i="5"/>
  <c r="X107" i="5"/>
  <c r="Y107" i="5" s="1"/>
  <c r="AM110" i="5"/>
  <c r="AN110" i="5" s="1"/>
  <c r="W113" i="5"/>
  <c r="X128" i="5"/>
  <c r="W137" i="5"/>
  <c r="AM139" i="5"/>
  <c r="AN139" i="5" s="1"/>
  <c r="W141" i="5"/>
  <c r="V145" i="5"/>
  <c r="Y145" i="5" s="1"/>
  <c r="W153" i="5"/>
  <c r="AM155" i="5"/>
  <c r="AN155" i="5" s="1"/>
  <c r="W157" i="5"/>
  <c r="V161" i="5"/>
  <c r="Y161" i="5" s="1"/>
  <c r="AN180" i="5"/>
  <c r="V182" i="5"/>
  <c r="X182" i="5"/>
  <c r="Y182" i="5" s="1"/>
  <c r="AL239" i="5"/>
  <c r="AM239" i="5"/>
  <c r="AK239" i="5"/>
  <c r="AN249" i="5"/>
  <c r="AN301" i="5"/>
  <c r="Y137" i="5"/>
  <c r="Y153" i="5"/>
  <c r="Y228" i="5"/>
  <c r="AN285" i="5"/>
  <c r="V4" i="5"/>
  <c r="Y4" i="5" s="1"/>
  <c r="AK12" i="5"/>
  <c r="V20" i="5"/>
  <c r="Y20" i="5" s="1"/>
  <c r="AK28" i="5"/>
  <c r="AN28" i="5" s="1"/>
  <c r="V36" i="5"/>
  <c r="Y36" i="5" s="1"/>
  <c r="AK44" i="5"/>
  <c r="AN44" i="5" s="1"/>
  <c r="V52" i="5"/>
  <c r="Y52" i="5" s="1"/>
  <c r="AK60" i="5"/>
  <c r="AN60" i="5" s="1"/>
  <c r="V68" i="5"/>
  <c r="Y68" i="5" s="1"/>
  <c r="AK76" i="5"/>
  <c r="V84" i="5"/>
  <c r="Y84" i="5" s="1"/>
  <c r="AK92" i="5"/>
  <c r="AN92" i="5" s="1"/>
  <c r="V99" i="5"/>
  <c r="V112" i="5"/>
  <c r="Y112" i="5" s="1"/>
  <c r="AL129" i="5"/>
  <c r="AN134" i="5"/>
  <c r="AN169" i="5"/>
  <c r="X178" i="5"/>
  <c r="V178" i="5"/>
  <c r="AL185" i="5"/>
  <c r="AM185" i="5"/>
  <c r="AN185" i="5" s="1"/>
  <c r="AK185" i="5"/>
  <c r="AK200" i="5"/>
  <c r="AM200" i="5"/>
  <c r="AL200" i="5"/>
  <c r="W4" i="5"/>
  <c r="AL28" i="5"/>
  <c r="W36" i="5"/>
  <c r="AL44" i="5"/>
  <c r="W52" i="5"/>
  <c r="AL60" i="5"/>
  <c r="W68" i="5"/>
  <c r="AN129" i="5"/>
  <c r="W199" i="5"/>
  <c r="X199" i="5"/>
  <c r="Y199" i="5" s="1"/>
  <c r="V199" i="5"/>
  <c r="AL12" i="5"/>
  <c r="W20" i="5"/>
  <c r="AK10" i="5"/>
  <c r="V18" i="5"/>
  <c r="AK26" i="5"/>
  <c r="AN26" i="5" s="1"/>
  <c r="V34" i="5"/>
  <c r="Y34" i="5" s="1"/>
  <c r="AK42" i="5"/>
  <c r="V50" i="5"/>
  <c r="Y50" i="5" s="1"/>
  <c r="AK58" i="5"/>
  <c r="AN58" i="5" s="1"/>
  <c r="V66" i="5"/>
  <c r="Y66" i="5" s="1"/>
  <c r="AK74" i="5"/>
  <c r="AN74" i="5" s="1"/>
  <c r="V82" i="5"/>
  <c r="Y82" i="5" s="1"/>
  <c r="AK90" i="5"/>
  <c r="V98" i="5"/>
  <c r="Y98" i="5" s="1"/>
  <c r="V105" i="5"/>
  <c r="AM119" i="5"/>
  <c r="AN119" i="5" s="1"/>
  <c r="AM124" i="5"/>
  <c r="AN124" i="5" s="1"/>
  <c r="X127" i="5"/>
  <c r="Y127" i="5" s="1"/>
  <c r="AK133" i="5"/>
  <c r="AN133" i="5" s="1"/>
  <c r="AL142" i="5"/>
  <c r="V144" i="5"/>
  <c r="V148" i="5"/>
  <c r="AN150" i="5"/>
  <c r="AL158" i="5"/>
  <c r="V160" i="5"/>
  <c r="V164" i="5"/>
  <c r="AK190" i="5"/>
  <c r="AM190" i="5"/>
  <c r="AN190" i="5" s="1"/>
  <c r="AL190" i="5"/>
  <c r="AN294" i="5"/>
  <c r="AL10" i="5"/>
  <c r="W18" i="5"/>
  <c r="AL26" i="5"/>
  <c r="W34" i="5"/>
  <c r="AL42" i="5"/>
  <c r="W50" i="5"/>
  <c r="AL58" i="5"/>
  <c r="W66" i="5"/>
  <c r="AL74" i="5"/>
  <c r="W82" i="5"/>
  <c r="AL90" i="5"/>
  <c r="AN90" i="5" s="1"/>
  <c r="W98" i="5"/>
  <c r="W105" i="5"/>
  <c r="Y105" i="5" s="1"/>
  <c r="AL133" i="5"/>
  <c r="AN138" i="5"/>
  <c r="AM142" i="5"/>
  <c r="X144" i="5"/>
  <c r="X148" i="5"/>
  <c r="AN154" i="5"/>
  <c r="AM158" i="5"/>
  <c r="X160" i="5"/>
  <c r="X164" i="5"/>
  <c r="X184" i="5"/>
  <c r="Y184" i="5" s="1"/>
  <c r="W184" i="5"/>
  <c r="V184" i="5"/>
  <c r="AN313" i="5"/>
  <c r="AK8" i="5"/>
  <c r="V16" i="5"/>
  <c r="Y16" i="5" s="1"/>
  <c r="AK24" i="5"/>
  <c r="V32" i="5"/>
  <c r="Y32" i="5" s="1"/>
  <c r="AK40" i="5"/>
  <c r="AN40" i="5" s="1"/>
  <c r="V48" i="5"/>
  <c r="AK56" i="5"/>
  <c r="AN56" i="5" s="1"/>
  <c r="V64" i="5"/>
  <c r="Y64" i="5" s="1"/>
  <c r="AK72" i="5"/>
  <c r="V80" i="5"/>
  <c r="Y80" i="5" s="1"/>
  <c r="AK88" i="5"/>
  <c r="AN88" i="5" s="1"/>
  <c r="V96" i="5"/>
  <c r="Y96" i="5" s="1"/>
  <c r="AN102" i="5"/>
  <c r="AK107" i="5"/>
  <c r="AN107" i="5" s="1"/>
  <c r="X111" i="5"/>
  <c r="Y111" i="5" s="1"/>
  <c r="V116" i="5"/>
  <c r="V121" i="5"/>
  <c r="Y121" i="5" s="1"/>
  <c r="V135" i="5"/>
  <c r="Y135" i="5" s="1"/>
  <c r="AL137" i="5"/>
  <c r="AN137" i="5" s="1"/>
  <c r="Y140" i="5"/>
  <c r="AL145" i="5"/>
  <c r="AN145" i="5" s="1"/>
  <c r="AM149" i="5"/>
  <c r="AN149" i="5" s="1"/>
  <c r="AK149" i="5"/>
  <c r="Y156" i="5"/>
  <c r="AL161" i="5"/>
  <c r="AN161" i="5" s="1"/>
  <c r="Y174" i="5"/>
  <c r="Y181" i="5"/>
  <c r="Y186" i="5"/>
  <c r="AN213" i="5"/>
  <c r="Y268" i="5"/>
  <c r="AN113" i="5"/>
  <c r="AL175" i="5"/>
  <c r="AK175" i="5"/>
  <c r="AM187" i="5"/>
  <c r="AL187" i="5"/>
  <c r="AK187" i="5"/>
  <c r="Y234" i="5"/>
  <c r="AK6" i="5"/>
  <c r="AN6" i="5" s="1"/>
  <c r="V14" i="5"/>
  <c r="AK22" i="5"/>
  <c r="AN22" i="5" s="1"/>
  <c r="V30" i="5"/>
  <c r="Y30" i="5" s="1"/>
  <c r="AK38" i="5"/>
  <c r="AN38" i="5" s="1"/>
  <c r="V46" i="5"/>
  <c r="AK54" i="5"/>
  <c r="V62" i="5"/>
  <c r="AK70" i="5"/>
  <c r="V78" i="5"/>
  <c r="Y78" i="5" s="1"/>
  <c r="AK86" i="5"/>
  <c r="V94" i="5"/>
  <c r="Y94" i="5" s="1"/>
  <c r="AN118" i="5"/>
  <c r="AK132" i="5"/>
  <c r="X139" i="5"/>
  <c r="Y139" i="5" s="1"/>
  <c r="V139" i="5"/>
  <c r="X143" i="5"/>
  <c r="V143" i="5"/>
  <c r="V151" i="5"/>
  <c r="X155" i="5"/>
  <c r="V155" i="5"/>
  <c r="X159" i="5"/>
  <c r="Y159" i="5" s="1"/>
  <c r="V159" i="5"/>
  <c r="V167" i="5"/>
  <c r="AM175" i="5"/>
  <c r="AK184" i="5"/>
  <c r="AM184" i="5"/>
  <c r="X196" i="5"/>
  <c r="W196" i="5"/>
  <c r="V196" i="5"/>
  <c r="X211" i="5"/>
  <c r="W211" i="5"/>
  <c r="V211" i="5"/>
  <c r="AN251" i="5"/>
  <c r="AN253" i="5"/>
  <c r="AN316" i="5"/>
  <c r="AL6" i="5"/>
  <c r="AL22" i="5"/>
  <c r="W30" i="5"/>
  <c r="AL38" i="5"/>
  <c r="W46" i="5"/>
  <c r="AL54" i="5"/>
  <c r="W62" i="5"/>
  <c r="AL70" i="5"/>
  <c r="W78" i="5"/>
  <c r="AL86" i="5"/>
  <c r="W94" i="5"/>
  <c r="Y126" i="5"/>
  <c r="Y130" i="5"/>
  <c r="AM132" i="5"/>
  <c r="X151" i="5"/>
  <c r="X167" i="5"/>
  <c r="Y167" i="5" s="1"/>
  <c r="AM168" i="5"/>
  <c r="AL168" i="5"/>
  <c r="X180" i="5"/>
  <c r="W180" i="5"/>
  <c r="AL184" i="5"/>
  <c r="AN189" i="5"/>
  <c r="W237" i="5"/>
  <c r="V237" i="5"/>
  <c r="X237" i="5"/>
  <c r="Y260" i="5"/>
  <c r="Y284" i="5"/>
  <c r="Y321" i="5"/>
  <c r="W14" i="5"/>
  <c r="Y14" i="5" s="1"/>
  <c r="V103" i="5"/>
  <c r="Y103" i="5" s="1"/>
  <c r="V109" i="5"/>
  <c r="Y109" i="5" s="1"/>
  <c r="Y110" i="5"/>
  <c r="AK117" i="5"/>
  <c r="AN117" i="5" s="1"/>
  <c r="W125" i="5"/>
  <c r="Y125" i="5" s="1"/>
  <c r="AM127" i="5"/>
  <c r="AN127" i="5" s="1"/>
  <c r="W134" i="5"/>
  <c r="Y134" i="5" s="1"/>
  <c r="AK136" i="5"/>
  <c r="AN136" i="5" s="1"/>
  <c r="AK140" i="5"/>
  <c r="AN140" i="5" s="1"/>
  <c r="AM171" i="5"/>
  <c r="AN171" i="5" s="1"/>
  <c r="AL171" i="5"/>
  <c r="X173" i="5"/>
  <c r="W173" i="5"/>
  <c r="X216" i="5"/>
  <c r="W216" i="5"/>
  <c r="V216" i="5"/>
  <c r="AN219" i="5"/>
  <c r="Y195" i="5"/>
  <c r="Y201" i="5"/>
  <c r="X206" i="5"/>
  <c r="W206" i="5"/>
  <c r="Y227" i="5"/>
  <c r="AL229" i="5"/>
  <c r="AK229" i="5"/>
  <c r="AM263" i="5"/>
  <c r="AK263" i="5"/>
  <c r="Y270" i="5"/>
  <c r="X282" i="5"/>
  <c r="W282" i="5"/>
  <c r="X298" i="5"/>
  <c r="W298" i="5"/>
  <c r="X314" i="5"/>
  <c r="Y314" i="5" s="1"/>
  <c r="W314" i="5"/>
  <c r="AK191" i="5"/>
  <c r="V194" i="5"/>
  <c r="V200" i="5"/>
  <c r="AK203" i="5"/>
  <c r="AN203" i="5" s="1"/>
  <c r="V206" i="5"/>
  <c r="AK218" i="5"/>
  <c r="AN218" i="5" s="1"/>
  <c r="W221" i="5"/>
  <c r="V221" i="5"/>
  <c r="Y221" i="5" s="1"/>
  <c r="V226" i="5"/>
  <c r="Y226" i="5" s="1"/>
  <c r="AM229" i="5"/>
  <c r="AN229" i="5" s="1"/>
  <c r="V231" i="5"/>
  <c r="AK233" i="5"/>
  <c r="AK253" i="5"/>
  <c r="AL263" i="5"/>
  <c r="V272" i="5"/>
  <c r="AK280" i="5"/>
  <c r="AN280" i="5" s="1"/>
  <c r="V282" i="5"/>
  <c r="V284" i="5"/>
  <c r="AM287" i="5"/>
  <c r="AL287" i="5"/>
  <c r="AK287" i="5"/>
  <c r="AK296" i="5"/>
  <c r="AN296" i="5" s="1"/>
  <c r="V298" i="5"/>
  <c r="V300" i="5"/>
  <c r="Y300" i="5" s="1"/>
  <c r="AM303" i="5"/>
  <c r="AL303" i="5"/>
  <c r="AK303" i="5"/>
  <c r="AK312" i="5"/>
  <c r="AN312" i="5" s="1"/>
  <c r="V314" i="5"/>
  <c r="V316" i="5"/>
  <c r="Y316" i="5" s="1"/>
  <c r="AM319" i="5"/>
  <c r="AL319" i="5"/>
  <c r="AK319" i="5"/>
  <c r="AM191" i="5"/>
  <c r="W194" i="5"/>
  <c r="W200" i="5"/>
  <c r="AL213" i="5"/>
  <c r="AK213" i="5"/>
  <c r="AL218" i="5"/>
  <c r="W226" i="5"/>
  <c r="X231" i="5"/>
  <c r="Y231" i="5" s="1"/>
  <c r="AM233" i="5"/>
  <c r="AL253" i="5"/>
  <c r="W272" i="5"/>
  <c r="Y272" i="5" s="1"/>
  <c r="AM275" i="5"/>
  <c r="AN275" i="5" s="1"/>
  <c r="AK275" i="5"/>
  <c r="AL280" i="5"/>
  <c r="W284" i="5"/>
  <c r="AL296" i="5"/>
  <c r="W300" i="5"/>
  <c r="AL312" i="5"/>
  <c r="W316" i="5"/>
  <c r="W205" i="5"/>
  <c r="V205" i="5"/>
  <c r="AK321" i="5"/>
  <c r="AN321" i="5" s="1"/>
  <c r="AL202" i="5"/>
  <c r="AN202" i="5" s="1"/>
  <c r="X205" i="5"/>
  <c r="Y205" i="5" s="1"/>
  <c r="AK207" i="5"/>
  <c r="W210" i="5"/>
  <c r="Y210" i="5" s="1"/>
  <c r="X215" i="5"/>
  <c r="Y215" i="5" s="1"/>
  <c r="AM217" i="5"/>
  <c r="AN217" i="5" s="1"/>
  <c r="V225" i="5"/>
  <c r="AM238" i="5"/>
  <c r="AN238" i="5" s="1"/>
  <c r="W246" i="5"/>
  <c r="AM248" i="5"/>
  <c r="AN248" i="5" s="1"/>
  <c r="AM255" i="5"/>
  <c r="AK255" i="5"/>
  <c r="AL260" i="5"/>
  <c r="AN260" i="5" s="1"/>
  <c r="X262" i="5"/>
  <c r="Y262" i="5" s="1"/>
  <c r="AL265" i="5"/>
  <c r="AN265" i="5" s="1"/>
  <c r="X286" i="5"/>
  <c r="W286" i="5"/>
  <c r="AL289" i="5"/>
  <c r="AN289" i="5" s="1"/>
  <c r="X302" i="5"/>
  <c r="W302" i="5"/>
  <c r="AL305" i="5"/>
  <c r="AN305" i="5" s="1"/>
  <c r="X318" i="5"/>
  <c r="W318" i="5"/>
  <c r="AL321" i="5"/>
  <c r="AM207" i="5"/>
  <c r="X225" i="5"/>
  <c r="X246" i="5"/>
  <c r="AL255" i="5"/>
  <c r="AK277" i="5"/>
  <c r="AN277" i="5" s="1"/>
  <c r="V286" i="5"/>
  <c r="AM291" i="5"/>
  <c r="AL291" i="5"/>
  <c r="AK291" i="5"/>
  <c r="V302" i="5"/>
  <c r="AM307" i="5"/>
  <c r="AL307" i="5"/>
  <c r="AK307" i="5"/>
  <c r="V318" i="5"/>
  <c r="AM323" i="5"/>
  <c r="AL323" i="5"/>
  <c r="AK323" i="5"/>
  <c r="AM267" i="5"/>
  <c r="AK267" i="5"/>
  <c r="Y264" i="5"/>
  <c r="Y288" i="5"/>
  <c r="Y304" i="5"/>
  <c r="AK309" i="5"/>
  <c r="AN309" i="5" s="1"/>
  <c r="Y320" i="5"/>
  <c r="AK325" i="5"/>
  <c r="AN325" i="5" s="1"/>
  <c r="AN327" i="5"/>
  <c r="AN183" i="5"/>
  <c r="X192" i="5"/>
  <c r="Y192" i="5" s="1"/>
  <c r="AL194" i="5"/>
  <c r="AN194" i="5" s="1"/>
  <c r="AM206" i="5"/>
  <c r="AN206" i="5" s="1"/>
  <c r="W214" i="5"/>
  <c r="AM216" i="5"/>
  <c r="AN216" i="5" s="1"/>
  <c r="W224" i="5"/>
  <c r="AL226" i="5"/>
  <c r="AN226" i="5" s="1"/>
  <c r="W234" i="5"/>
  <c r="AN247" i="5"/>
  <c r="V249" i="5"/>
  <c r="Y249" i="5" s="1"/>
  <c r="AL252" i="5"/>
  <c r="AN252" i="5" s="1"/>
  <c r="X254" i="5"/>
  <c r="Y254" i="5" s="1"/>
  <c r="AL257" i="5"/>
  <c r="AN257" i="5" s="1"/>
  <c r="W276" i="5"/>
  <c r="Y276" i="5" s="1"/>
  <c r="AM279" i="5"/>
  <c r="AK279" i="5"/>
  <c r="X290" i="5"/>
  <c r="Y290" i="5" s="1"/>
  <c r="W290" i="5"/>
  <c r="AL293" i="5"/>
  <c r="AN293" i="5" s="1"/>
  <c r="X306" i="5"/>
  <c r="W306" i="5"/>
  <c r="AL309" i="5"/>
  <c r="X322" i="5"/>
  <c r="W322" i="5"/>
  <c r="AL325" i="5"/>
  <c r="X214" i="5"/>
  <c r="Y214" i="5" s="1"/>
  <c r="X224" i="5"/>
  <c r="Y224" i="5" s="1"/>
  <c r="AM246" i="5"/>
  <c r="AL246" i="5"/>
  <c r="W249" i="5"/>
  <c r="AM295" i="5"/>
  <c r="AL295" i="5"/>
  <c r="AK295" i="5"/>
  <c r="AM311" i="5"/>
  <c r="AL311" i="5"/>
  <c r="AK311" i="5"/>
  <c r="AK165" i="5"/>
  <c r="AN165" i="5" s="1"/>
  <c r="W208" i="5"/>
  <c r="AN231" i="5"/>
  <c r="V233" i="5"/>
  <c r="Y233" i="5" s="1"/>
  <c r="AK246" i="5"/>
  <c r="AM259" i="5"/>
  <c r="AN259" i="5" s="1"/>
  <c r="AK259" i="5"/>
  <c r="AM230" i="5"/>
  <c r="AL230" i="5"/>
  <c r="AK313" i="5"/>
  <c r="X326" i="5"/>
  <c r="Y326" i="5" s="1"/>
  <c r="W326" i="5"/>
  <c r="Y191" i="5"/>
  <c r="AN215" i="5"/>
  <c r="V217" i="5"/>
  <c r="Y217" i="5" s="1"/>
  <c r="AK230" i="5"/>
  <c r="X238" i="5"/>
  <c r="W238" i="5"/>
  <c r="AK240" i="5"/>
  <c r="V243" i="5"/>
  <c r="Y243" i="5" s="1"/>
  <c r="V248" i="5"/>
  <c r="Y248" i="5" s="1"/>
  <c r="AL251" i="5"/>
  <c r="W268" i="5"/>
  <c r="AM271" i="5"/>
  <c r="AK271" i="5"/>
  <c r="AL276" i="5"/>
  <c r="AN276" i="5" s="1"/>
  <c r="X278" i="5"/>
  <c r="Y278" i="5" s="1"/>
  <c r="AL281" i="5"/>
  <c r="AN281" i="5" s="1"/>
  <c r="X294" i="5"/>
  <c r="W294" i="5"/>
  <c r="AL297" i="5"/>
  <c r="AN297" i="5" s="1"/>
  <c r="X310" i="5"/>
  <c r="Y310" i="5" s="1"/>
  <c r="W310" i="5"/>
  <c r="AL313" i="5"/>
  <c r="V326" i="5"/>
  <c r="AN193" i="5"/>
  <c r="AN199" i="5"/>
  <c r="AM214" i="5"/>
  <c r="AL214" i="5"/>
  <c r="W217" i="5"/>
  <c r="Y223" i="5"/>
  <c r="AN225" i="5"/>
  <c r="AL240" i="5"/>
  <c r="AN240" i="5" s="1"/>
  <c r="W243" i="5"/>
  <c r="W248" i="5"/>
  <c r="AL271" i="5"/>
  <c r="AM283" i="5"/>
  <c r="AL283" i="5"/>
  <c r="AK283" i="5"/>
  <c r="AM299" i="5"/>
  <c r="AL299" i="5"/>
  <c r="AK299" i="5"/>
  <c r="AM315" i="5"/>
  <c r="AN315" i="5" s="1"/>
  <c r="AL315" i="5"/>
  <c r="AK315" i="5"/>
  <c r="AK186" i="5"/>
  <c r="AN186" i="5" s="1"/>
  <c r="W190" i="5"/>
  <c r="Y190" i="5" s="1"/>
  <c r="AK192" i="5"/>
  <c r="AN192" i="5" s="1"/>
  <c r="AK198" i="5"/>
  <c r="AN198" i="5" s="1"/>
  <c r="AK214" i="5"/>
  <c r="X222" i="5"/>
  <c r="W222" i="5"/>
  <c r="AK224" i="5"/>
  <c r="AN224" i="5" s="1"/>
  <c r="V232" i="5"/>
  <c r="Y232" i="5" s="1"/>
  <c r="AL245" i="5"/>
  <c r="AK245" i="5"/>
  <c r="AN245" i="5" s="1"/>
  <c r="AK327" i="5"/>
  <c r="AL327" i="5"/>
  <c r="V253" i="5"/>
  <c r="Y253" i="5" s="1"/>
  <c r="V257" i="5"/>
  <c r="Y257" i="5" s="1"/>
  <c r="V261" i="5"/>
  <c r="Y261" i="5" s="1"/>
  <c r="V265" i="5"/>
  <c r="Y265" i="5" s="1"/>
  <c r="V269" i="5"/>
  <c r="Y269" i="5" s="1"/>
  <c r="V273" i="5"/>
  <c r="V277" i="5"/>
  <c r="Y277" i="5" s="1"/>
  <c r="V281" i="5"/>
  <c r="Y281" i="5" s="1"/>
  <c r="V285" i="5"/>
  <c r="Y285" i="5" s="1"/>
  <c r="V289" i="5"/>
  <c r="Y289" i="5" s="1"/>
  <c r="V293" i="5"/>
  <c r="Y293" i="5" s="1"/>
  <c r="V297" i="5"/>
  <c r="Y297" i="5" s="1"/>
  <c r="V301" i="5"/>
  <c r="Y301" i="5" s="1"/>
  <c r="V305" i="5"/>
  <c r="Y305" i="5" s="1"/>
  <c r="V309" i="5"/>
  <c r="Y309" i="5" s="1"/>
  <c r="V313" i="5"/>
  <c r="Y313" i="5" s="1"/>
  <c r="V317" i="5"/>
  <c r="Y317" i="5" s="1"/>
  <c r="V321" i="5"/>
  <c r="V325" i="5"/>
  <c r="Y325" i="5" s="1"/>
  <c r="AK328" i="5"/>
  <c r="AN328" i="5" s="1"/>
  <c r="AN295" i="5" l="1"/>
  <c r="AN279" i="5"/>
  <c r="AN307" i="5"/>
  <c r="Y302" i="5"/>
  <c r="Y282" i="5"/>
  <c r="Y155" i="5"/>
  <c r="AN239" i="5"/>
  <c r="AN111" i="5"/>
  <c r="AN246" i="5"/>
  <c r="Y286" i="5"/>
  <c r="AN263" i="5"/>
  <c r="Y173" i="5"/>
  <c r="Y237" i="5"/>
  <c r="Y143" i="5"/>
  <c r="Y157" i="5"/>
  <c r="AN163" i="5"/>
  <c r="AN214" i="5"/>
  <c r="AN291" i="5"/>
  <c r="Y211" i="5"/>
  <c r="Y178" i="5"/>
  <c r="AN230" i="5"/>
  <c r="AN151" i="5"/>
  <c r="Y164" i="5"/>
  <c r="Y216" i="5"/>
  <c r="AN303" i="5"/>
  <c r="Y196" i="5"/>
  <c r="Y160" i="5"/>
  <c r="AN233" i="5"/>
  <c r="AN271" i="5"/>
  <c r="AN299" i="5"/>
  <c r="Y322" i="5"/>
  <c r="Y246" i="5"/>
  <c r="AN255" i="5"/>
  <c r="AN287" i="5"/>
  <c r="Y200" i="5"/>
  <c r="Y206" i="5"/>
  <c r="AN158" i="5"/>
  <c r="Y141" i="5"/>
  <c r="Y238" i="5"/>
  <c r="AN267" i="5"/>
  <c r="Y225" i="5"/>
  <c r="AN191" i="5"/>
  <c r="Y194" i="5"/>
  <c r="Y180" i="5"/>
  <c r="AN184" i="5"/>
  <c r="AN187" i="5"/>
  <c r="Y193" i="5"/>
  <c r="AN207" i="5"/>
  <c r="Y148" i="5"/>
  <c r="AN283" i="5"/>
  <c r="Y306" i="5"/>
  <c r="AN168" i="5"/>
  <c r="AN175" i="5"/>
  <c r="Y144" i="5"/>
  <c r="AN131" i="5"/>
  <c r="AN323" i="5"/>
  <c r="AN319" i="5"/>
  <c r="AN142" i="5"/>
  <c r="AN208" i="5"/>
  <c r="AN167" i="5"/>
  <c r="Y222" i="5"/>
  <c r="Y294" i="5"/>
  <c r="AN311" i="5"/>
  <c r="Y318" i="5"/>
  <c r="Y151" i="5"/>
  <c r="Y128" i="5"/>
  <c r="Y119" i="5"/>
  <c r="Y298" i="5"/>
  <c r="AN132" i="5"/>
  <c r="AN200" i="5"/>
</calcChain>
</file>

<file path=xl/sharedStrings.xml><?xml version="1.0" encoding="utf-8"?>
<sst xmlns="http://schemas.openxmlformats.org/spreadsheetml/2006/main" count="2644" uniqueCount="2021">
  <si>
    <t>icao</t>
  </si>
  <si>
    <t>สัญชาติ(ไทย)</t>
  </si>
  <si>
    <t>สัญชาติ(อังกฤษ)</t>
  </si>
  <si>
    <t>AFG</t>
  </si>
  <si>
    <t>รัฐอิสลามอัฟกานิสถาน</t>
  </si>
  <si>
    <t>THE ISLAMIC STATE OF AFGHANISTAN</t>
  </si>
  <si>
    <t>ALB</t>
  </si>
  <si>
    <t>สาธารณรัฐแอลเบเนีย</t>
  </si>
  <si>
    <t>THE REPUBLIC OF ALBANIA</t>
  </si>
  <si>
    <t>DZA</t>
  </si>
  <si>
    <t>สาธารณรัฐประชาธิปไตยประชาชนแอลจิเรีย</t>
  </si>
  <si>
    <t>THE PEPLE'S DEMOCRATIC REPUBLIC OF ALGERIA</t>
  </si>
  <si>
    <t>USA</t>
  </si>
  <si>
    <t>สหรัฐอเมริกา</t>
  </si>
  <si>
    <t>THE UNITED STATES OF AMERICA</t>
  </si>
  <si>
    <t>AGO</t>
  </si>
  <si>
    <t>สาธารณรัฐแองโกลา</t>
  </si>
  <si>
    <t>REPUBLIC OF ANGOLA</t>
  </si>
  <si>
    <t>ARG</t>
  </si>
  <si>
    <t>สาธารณรัฐอาร์เจนตินา</t>
  </si>
  <si>
    <t>ARGENTINE REPUBLIC</t>
  </si>
  <si>
    <t>AUS</t>
  </si>
  <si>
    <t>ออสเตรเลีย</t>
  </si>
  <si>
    <t>AUSTRALIA</t>
  </si>
  <si>
    <t>AUT</t>
  </si>
  <si>
    <t>สาธารณรัฐออสเตรีย</t>
  </si>
  <si>
    <t>THE REPUBLIC OF AUSTRIA</t>
  </si>
  <si>
    <t>AND</t>
  </si>
  <si>
    <t>ราชรัฐอันดอร์รา</t>
  </si>
  <si>
    <t>THE PRINCIPALITY OF ANDORRA</t>
  </si>
  <si>
    <t>ALD</t>
  </si>
  <si>
    <t>อัลมาดินา</t>
  </si>
  <si>
    <t>ALMADINAH</t>
  </si>
  <si>
    <t>ATG</t>
  </si>
  <si>
    <t>แอนติกาและบาร์บูดา</t>
  </si>
  <si>
    <t>ANTIGUA AND BARBUDA</t>
  </si>
  <si>
    <t>ARM</t>
  </si>
  <si>
    <t>สาธารณรัฐอาร์เมเนีย</t>
  </si>
  <si>
    <t>THE REPUBLIC OF ARMENIA</t>
  </si>
  <si>
    <t>AZE</t>
  </si>
  <si>
    <t>สาธารณรัฐอาเชอร์ไบจาน</t>
  </si>
  <si>
    <t>THE AZERBAIJANI REPUBLIC</t>
  </si>
  <si>
    <t>AIA</t>
  </si>
  <si>
    <t>แองกูล่า</t>
  </si>
  <si>
    <t>ANGUILLA</t>
  </si>
  <si>
    <t>ANT</t>
  </si>
  <si>
    <t>เนเธอร์แลนด์ แอนทิลล์</t>
  </si>
  <si>
    <t>NETHERLANDS ANTILLES</t>
  </si>
  <si>
    <t>ATF</t>
  </si>
  <si>
    <t>เฟรนช์เซาเทิร์นและแอนตาร์กติกแลนส์</t>
  </si>
  <si>
    <t>FRENCH SOUTHERN TERRIORIES</t>
  </si>
  <si>
    <t>AWB</t>
  </si>
  <si>
    <t>อารูบา</t>
  </si>
  <si>
    <t>ARUBA</t>
  </si>
  <si>
    <t>ASM</t>
  </si>
  <si>
    <t>อเมริกันซามัว</t>
  </si>
  <si>
    <t>AMERICA SAMOA</t>
  </si>
  <si>
    <t>BHS</t>
  </si>
  <si>
    <t>เครือรัฐบาฮามาส</t>
  </si>
  <si>
    <t>THE COMMONWEALTH OF THE BAHAMAS</t>
  </si>
  <si>
    <t>BHR</t>
  </si>
  <si>
    <t>รัฐบาห์เรน</t>
  </si>
  <si>
    <t>THE STATE OF BAHRAIN</t>
  </si>
  <si>
    <t>BGD</t>
  </si>
  <si>
    <t>สาธารณรัฐประชาชนบังกลาเทศ</t>
  </si>
  <si>
    <t>THE PEOPLE'S REPUBLIC OF BANGLADESH</t>
  </si>
  <si>
    <t>BRB</t>
  </si>
  <si>
    <t>บาร์เบโดส</t>
  </si>
  <si>
    <t>BARBADOS</t>
  </si>
  <si>
    <t>BEL</t>
  </si>
  <si>
    <t>ราชอาณาจักรเบลเยียม</t>
  </si>
  <si>
    <t>THE KINGDOM OF BELGIUM</t>
  </si>
  <si>
    <t>BMU</t>
  </si>
  <si>
    <t>เบอร์มูดาส์</t>
  </si>
  <si>
    <t>BERMUDA</t>
  </si>
  <si>
    <t>BOL</t>
  </si>
  <si>
    <t>รัฐพหุชนชาติแห่งโบลิเวีย</t>
  </si>
  <si>
    <t>PLURINATIONAL STATE OF BOLIVIA</t>
  </si>
  <si>
    <t>BWA</t>
  </si>
  <si>
    <t>สาธารณรัฐบอตสวานา</t>
  </si>
  <si>
    <t>THE REPUBLIC OF BOTSWANA</t>
  </si>
  <si>
    <t>BRA</t>
  </si>
  <si>
    <t>สหพันธ์สาธารณรัฐบราซิล</t>
  </si>
  <si>
    <t>FEDERATIVE REPUBLIC OF BRAZIL</t>
  </si>
  <si>
    <t>GBR</t>
  </si>
  <si>
    <t>สหราชอาณาจักร</t>
  </si>
  <si>
    <t>THE UNITED KINGDOM OF GREAT BRITAIN</t>
  </si>
  <si>
    <t>B13</t>
  </si>
  <si>
    <t>อังกฤษ-ฮ่องกง</t>
  </si>
  <si>
    <t>BRITISH (HK)</t>
  </si>
  <si>
    <t>BRN</t>
  </si>
  <si>
    <t>เนการาบรูไนดารุสซาลาม</t>
  </si>
  <si>
    <t>BRUNEI DARUSSALAM</t>
  </si>
  <si>
    <t>BGR</t>
  </si>
  <si>
    <t>สาธารณรัฐบัลแกเรีย</t>
  </si>
  <si>
    <t>THE REPUBLIC OF BULGARIA</t>
  </si>
  <si>
    <t>MMR</t>
  </si>
  <si>
    <t>สหภาพเมียนมา</t>
  </si>
  <si>
    <t>THE UNION OF MYANMAR</t>
  </si>
  <si>
    <t>B17</t>
  </si>
  <si>
    <t>โคโลนีอังกฤษ</t>
  </si>
  <si>
    <t>BRITISH COLONY</t>
  </si>
  <si>
    <t>BEN</t>
  </si>
  <si>
    <t>สาธารณรัฐเบนิน</t>
  </si>
  <si>
    <t>REPUBLIC OF BENIN</t>
  </si>
  <si>
    <t>BDI</t>
  </si>
  <si>
    <t>สาธารณรัฐบุรุนดี</t>
  </si>
  <si>
    <t>REPUBLIC OF BURUNDI</t>
  </si>
  <si>
    <t>BTN</t>
  </si>
  <si>
    <t>ราชอาณาจักรภูฎาน</t>
  </si>
  <si>
    <t>THE KINGDOM OF BHUTAN</t>
  </si>
  <si>
    <t>BLZ</t>
  </si>
  <si>
    <t>เบลิซ</t>
  </si>
  <si>
    <t>BELIZE</t>
  </si>
  <si>
    <t>BFA</t>
  </si>
  <si>
    <t>บูร์กินาฟาโซ</t>
  </si>
  <si>
    <t>BURKINAH FASO</t>
  </si>
  <si>
    <t>BIH</t>
  </si>
  <si>
    <t>สาธารณรัฐบอสเนีย-เฮอร์เซโกวินา</t>
  </si>
  <si>
    <t>BOSNIA AND HERZEGOVINA</t>
  </si>
  <si>
    <t>BLR</t>
  </si>
  <si>
    <t>สาธารณรัฐเบลารุส</t>
  </si>
  <si>
    <t>THE REPUBLIC OF BELARUS</t>
  </si>
  <si>
    <t>BVT</t>
  </si>
  <si>
    <t>หมู่เกาะโบเวท</t>
  </si>
  <si>
    <t>BOUVET ISLAND</t>
  </si>
  <si>
    <t>GBN</t>
  </si>
  <si>
    <t>ไอร์แลนด์เหนือ</t>
  </si>
  <si>
    <t>UNITED KINGDOM OF GREAT BRITIAN AND NORTHERN IRELAND</t>
  </si>
  <si>
    <t>KHM</t>
  </si>
  <si>
    <t>ราชอาณาจักรกัมพูชา</t>
  </si>
  <si>
    <t>THE KINGDOM OF CAMBODIA</t>
  </si>
  <si>
    <t>CMR</t>
  </si>
  <si>
    <t>สาธารณรัฐแคเมอรูน</t>
  </si>
  <si>
    <t>REPUBLIC OF CAMEROON</t>
  </si>
  <si>
    <t>CAN</t>
  </si>
  <si>
    <t>แคนาดา</t>
  </si>
  <si>
    <t>CANADA</t>
  </si>
  <si>
    <t>C04</t>
  </si>
  <si>
    <t>หมู่เกาะคาโรไลน์</t>
  </si>
  <si>
    <t>CAROLINE ISLANDS</t>
  </si>
  <si>
    <t>CYM</t>
  </si>
  <si>
    <t>หมู่เกาะเคย์แมน</t>
  </si>
  <si>
    <t>CAYMAN ISLANDS</t>
  </si>
  <si>
    <t>CAF</t>
  </si>
  <si>
    <t>สาธารณรัฐแอฟริกากลาง</t>
  </si>
  <si>
    <t>CENTRAL AFRICA REPUBLIC</t>
  </si>
  <si>
    <t>LKA</t>
  </si>
  <si>
    <t>สาธารณรัฐสังคมนิยมประชาธิปไตยศรีลังกา</t>
  </si>
  <si>
    <t>THE DEMOCRATIC SOCIALIST REPUBLIC OF SRI LANKA</t>
  </si>
  <si>
    <t>TCD</t>
  </si>
  <si>
    <t>สาธารณรัฐชาด</t>
  </si>
  <si>
    <t>REPUBLIC OF CHAD</t>
  </si>
  <si>
    <t>CHL</t>
  </si>
  <si>
    <t>สาธารณรัฐชิลี</t>
  </si>
  <si>
    <t>THE REPUBLIC OF CHILE</t>
  </si>
  <si>
    <t>CHN</t>
  </si>
  <si>
    <t>สาธารณรัฐประชาชนจีน</t>
  </si>
  <si>
    <t>THE PEOPLE'S REPUBLIC OF CHINA</t>
  </si>
  <si>
    <t>COL</t>
  </si>
  <si>
    <t>สาธารณรัฐโคลอมเบีย</t>
  </si>
  <si>
    <t>THE REPUBLIC OF COLOMBIA</t>
  </si>
  <si>
    <t>COG</t>
  </si>
  <si>
    <t>สาธารณรัฐคองโก</t>
  </si>
  <si>
    <t>THE REPUBLIC OF THE CONGO</t>
  </si>
  <si>
    <t>CRI</t>
  </si>
  <si>
    <t>สาธารณรัฐคอสตาริกา</t>
  </si>
  <si>
    <t>THE REPUBLIC OF COSTA RICA</t>
  </si>
  <si>
    <t>CUB</t>
  </si>
  <si>
    <t>สาธารณรัฐคิวบา</t>
  </si>
  <si>
    <t>THE REPUBLIC OF CUBA</t>
  </si>
  <si>
    <t>C15</t>
  </si>
  <si>
    <t>เกาะคูราเซา</t>
  </si>
  <si>
    <t>CURACAO</t>
  </si>
  <si>
    <t>CYP</t>
  </si>
  <si>
    <t>สาธารณรัฐไซปรัส</t>
  </si>
  <si>
    <t>THE REPUBLIC OF CYPRUS</t>
  </si>
  <si>
    <t>CZE</t>
  </si>
  <si>
    <t>สาธารณรัฐเช็ก</t>
  </si>
  <si>
    <t>CZECH REPUBLIC</t>
  </si>
  <si>
    <t>CPV</t>
  </si>
  <si>
    <t>สาธารณรัฐเคปเวิร์ด</t>
  </si>
  <si>
    <t>THE REPUBLIC OF CAPE VERDE</t>
  </si>
  <si>
    <t>COM</t>
  </si>
  <si>
    <t>สหพันธ์สาธารณรัฐอิสลาม</t>
  </si>
  <si>
    <t>THE ISIAMIC FEDERAL REPUBLIC OF THE COMOROS</t>
  </si>
  <si>
    <t>COK</t>
  </si>
  <si>
    <t>หมู่เกาะคุก</t>
  </si>
  <si>
    <t>THE COOK ISLANDS</t>
  </si>
  <si>
    <t>HRV</t>
  </si>
  <si>
    <t>สาธารณรัฐโครเอเชีย</t>
  </si>
  <si>
    <t>THE REPUBLIC OF CROATIA</t>
  </si>
  <si>
    <t>CCK</t>
  </si>
  <si>
    <t>หมู่เกาะโคโคส, หมู่เกาะคีลิง</t>
  </si>
  <si>
    <t>COCOS (KEELING) ISLANDS</t>
  </si>
  <si>
    <t>CXR</t>
  </si>
  <si>
    <t>เกาะคริสต์มาส</t>
  </si>
  <si>
    <t>CHRISTMAS ISLAND</t>
  </si>
  <si>
    <t>COD</t>
  </si>
  <si>
    <t>สาธารณรัฐประชาธิปไตยคองโก</t>
  </si>
  <si>
    <t>DEMOCRATIC  REPUBLIC OF THE CONGO</t>
  </si>
  <si>
    <t>D02</t>
  </si>
  <si>
    <t>ไดโต</t>
  </si>
  <si>
    <t>DAITO</t>
  </si>
  <si>
    <t>DNK</t>
  </si>
  <si>
    <t>ราชอาณาจักรเดนมาร์ก</t>
  </si>
  <si>
    <t>THE KINGDOM OF DENMARK</t>
  </si>
  <si>
    <t>DOM</t>
  </si>
  <si>
    <t>สาธารณรัฐโดมินิกัน</t>
  </si>
  <si>
    <t>THE DOMINICAN REPUBLIC</t>
  </si>
  <si>
    <t>NLD</t>
  </si>
  <si>
    <t>ราชอาณาจักรเนเธอร์แลนด์</t>
  </si>
  <si>
    <t>THE KINGDOM OF NETHERLANDS</t>
  </si>
  <si>
    <t>DIM</t>
  </si>
  <si>
    <t>ดินามาร์คซ</t>
  </si>
  <si>
    <t>DINAMARCZ</t>
  </si>
  <si>
    <t>D07</t>
  </si>
  <si>
    <t>เดอวอยต์</t>
  </si>
  <si>
    <t>D'VOIKE</t>
  </si>
  <si>
    <t>DJI</t>
  </si>
  <si>
    <t>สาธารณรัฐจิบูตี</t>
  </si>
  <si>
    <t>THE REPUBLIC OF DJIBOUTI</t>
  </si>
  <si>
    <t>DMA</t>
  </si>
  <si>
    <t>เครือรัฐโดมิกา</t>
  </si>
  <si>
    <t>THE COMMONWEALTH OF DOMINICA</t>
  </si>
  <si>
    <t>E01</t>
  </si>
  <si>
    <t>เยอรมันตะวันออก</t>
  </si>
  <si>
    <t>EAST GERMAN</t>
  </si>
  <si>
    <t>ECU</t>
  </si>
  <si>
    <t>สาธารณรัฐเอกวาดอร์</t>
  </si>
  <si>
    <t>REPUBLIC OF ECUADOR</t>
  </si>
  <si>
    <t>EGY</t>
  </si>
  <si>
    <t>สาธารณรัฐอียิปต์</t>
  </si>
  <si>
    <t>THE ARAB REPUBLIC OF EGYPT</t>
  </si>
  <si>
    <t>ETH</t>
  </si>
  <si>
    <t>สหพันธ์สาธารณรัฐประชาธิปไตยเอธิโอเปีย</t>
  </si>
  <si>
    <t>FEDERAL DEMOCRATIC REPUBLIC OF ETHIOPIA</t>
  </si>
  <si>
    <t>SLV</t>
  </si>
  <si>
    <t>สาธารณรัฐเอลซัลวาดอร์</t>
  </si>
  <si>
    <t>THE REPUBLIC OF EL SALVADOR</t>
  </si>
  <si>
    <t>GNQ</t>
  </si>
  <si>
    <t>สาธารณรัฐอิเควทอเรียลกินี</t>
  </si>
  <si>
    <t>REPUBLIC OF EQUATORIAL GUINEA</t>
  </si>
  <si>
    <t>EST</t>
  </si>
  <si>
    <t>สาธารณรัฐเอสโตเนีย</t>
  </si>
  <si>
    <t>ESTONIA</t>
  </si>
  <si>
    <t>ERI</t>
  </si>
  <si>
    <t>เอริเทรีย</t>
  </si>
  <si>
    <t>ERITREA</t>
  </si>
  <si>
    <t>TMP</t>
  </si>
  <si>
    <t>สาธารณรัฐติมอร์ตะวันออก</t>
  </si>
  <si>
    <t>REPUBLIC EAST TIMOR</t>
  </si>
  <si>
    <t>FRO</t>
  </si>
  <si>
    <t>หมู่เกาะแฟโรส์</t>
  </si>
  <si>
    <t>FAEROES</t>
  </si>
  <si>
    <t>FJI</t>
  </si>
  <si>
    <t>สาธารณรัฐหมู่เกาะฟิจิ</t>
  </si>
  <si>
    <t>THE REPUBLIC OF FIJI</t>
  </si>
  <si>
    <t>FIN</t>
  </si>
  <si>
    <t>สาธารณรัฐฟินแลนด์</t>
  </si>
  <si>
    <t>THE REPUBLIC OF FINLAND</t>
  </si>
  <si>
    <t>FRA</t>
  </si>
  <si>
    <t>สาธารณรัฐฝรั่งเศส</t>
  </si>
  <si>
    <t>THE FRANCE REPUBLIC</t>
  </si>
  <si>
    <t>FLK</t>
  </si>
  <si>
    <t>หมู่เกาะฟอล์กแลนด์ (มัลบีนัส)</t>
  </si>
  <si>
    <t>FALKLAND ISLANDS (MALVINAS)</t>
  </si>
  <si>
    <t>FXX</t>
  </si>
  <si>
    <t>ฟรานส์ เมโทรโปริแทรน</t>
  </si>
  <si>
    <t>FRANCE METROPOLITAN</t>
  </si>
  <si>
    <t>GAB</t>
  </si>
  <si>
    <t>สาธารณรัฐกาบอง</t>
  </si>
  <si>
    <t>GABONESE REPUBLIC</t>
  </si>
  <si>
    <t>GMB</t>
  </si>
  <si>
    <t>สาธารณรัฐอิสลามแกมเบีย</t>
  </si>
  <si>
    <t>THE ISLAM REPUBLIC OF THE GAMBIA</t>
  </si>
  <si>
    <t>DEU</t>
  </si>
  <si>
    <t>สหพันธสาธารณรัฐเยอรมันนี</t>
  </si>
  <si>
    <t>THE FEDERAL REPUBLIC OF DEU</t>
  </si>
  <si>
    <t>GHA</t>
  </si>
  <si>
    <t>สาธารณรัฐกานา</t>
  </si>
  <si>
    <t>REPUBLIC OF GHANA</t>
  </si>
  <si>
    <t>GRC</t>
  </si>
  <si>
    <t>สาธารณรัฐเฮลเลนิก</t>
  </si>
  <si>
    <t>THE HELLENIC REPUBLIC</t>
  </si>
  <si>
    <t>GRL</t>
  </si>
  <si>
    <t>กรีนแลนด์</t>
  </si>
  <si>
    <t>GREENLAND</t>
  </si>
  <si>
    <t>GLP</t>
  </si>
  <si>
    <t>กวาเดอลูป</t>
  </si>
  <si>
    <t>GUADELOUPE</t>
  </si>
  <si>
    <t>GTM</t>
  </si>
  <si>
    <t>สาธารณรัฐกัวเตมาลา</t>
  </si>
  <si>
    <t>THE REPUBLIC OF GUATEMALA</t>
  </si>
  <si>
    <t>GIN</t>
  </si>
  <si>
    <t>กินี</t>
  </si>
  <si>
    <t>REPUBLIC OF GUINEA</t>
  </si>
  <si>
    <t>GUY</t>
  </si>
  <si>
    <t>สาธารณรัฐสหกรณ์กายอานา</t>
  </si>
  <si>
    <t>CO-OPERATIVE REPUBLIC OF GUYANA</t>
  </si>
  <si>
    <t>GUM</t>
  </si>
  <si>
    <t>กวม</t>
  </si>
  <si>
    <t>GUAM</t>
  </si>
  <si>
    <t>GRD</t>
  </si>
  <si>
    <t>เกรนาดา</t>
  </si>
  <si>
    <t>GRENADA</t>
  </si>
  <si>
    <t>GNB</t>
  </si>
  <si>
    <t>สาธารณรัฐกีนี-บิสเซา</t>
  </si>
  <si>
    <t>REPUBLIC OF GUINEA-BISSAU</t>
  </si>
  <si>
    <t>GEO</t>
  </si>
  <si>
    <t>สาธารณรัฐจอร์เจีย</t>
  </si>
  <si>
    <t>GEORGIA</t>
  </si>
  <si>
    <t>GIB</t>
  </si>
  <si>
    <t>ยิบรอลตาร์</t>
  </si>
  <si>
    <t>GIBRALTAR</t>
  </si>
  <si>
    <t>GUF</t>
  </si>
  <si>
    <t>เฟรนช์เกียนา</t>
  </si>
  <si>
    <t>FRENCH GUIANA</t>
  </si>
  <si>
    <t>HTI</t>
  </si>
  <si>
    <t>สาธารณรัฐเฮติ</t>
  </si>
  <si>
    <t>THE REPUBLIC OF HAITI</t>
  </si>
  <si>
    <t>HND</t>
  </si>
  <si>
    <t>สาธารณรัฐฮอนดูรัส</t>
  </si>
  <si>
    <t>THE REPUBLIC OF HONDURAS</t>
  </si>
  <si>
    <t>HUN</t>
  </si>
  <si>
    <t>สาธารณรัฐฮังการี</t>
  </si>
  <si>
    <t>THE REPUBLIC OF HUNGARY</t>
  </si>
  <si>
    <t>HKG</t>
  </si>
  <si>
    <t>ฮ่องกง</t>
  </si>
  <si>
    <t>CHINA-HONG KONG</t>
  </si>
  <si>
    <t>HMD</t>
  </si>
  <si>
    <t>เกาะเฮิร์ดและหมู่เกาะแมกดอนัลด์</t>
  </si>
  <si>
    <t>HEARD AND MCDONALD ISLANDS</t>
  </si>
  <si>
    <t>ISL</t>
  </si>
  <si>
    <t>สาธารณรัฐไอซ์แลนด์</t>
  </si>
  <si>
    <t>THE REPUBLIC OF ICELAND</t>
  </si>
  <si>
    <t>IND</t>
  </si>
  <si>
    <t>สาธารณรัฐอินเดีย</t>
  </si>
  <si>
    <t>THE REPUBLIC OF INDIA</t>
  </si>
  <si>
    <t>IDN</t>
  </si>
  <si>
    <t>สาธารณรัฐอินโดนีเซีย</t>
  </si>
  <si>
    <t>THE REPUBLIC OF INDONESIA</t>
  </si>
  <si>
    <t>IRN</t>
  </si>
  <si>
    <t>สาธารณรัฐอิหร่าน</t>
  </si>
  <si>
    <t>THE ISLAMIC REPUBLIC OF IRAN</t>
  </si>
  <si>
    <t>IRQ</t>
  </si>
  <si>
    <t>สาธารณรัฐอิรัก</t>
  </si>
  <si>
    <t>THE REPUBLIC OF IRAQ</t>
  </si>
  <si>
    <t>IRL</t>
  </si>
  <si>
    <t>ไอร์แลนด์</t>
  </si>
  <si>
    <t>IRELAND</t>
  </si>
  <si>
    <t>ISR</t>
  </si>
  <si>
    <t>รัฐอิสราเอล</t>
  </si>
  <si>
    <t>THE STATE OF ISRAEL</t>
  </si>
  <si>
    <t>ITA</t>
  </si>
  <si>
    <t>สาธารณรัฐอิตาลี</t>
  </si>
  <si>
    <t>THE ITALIAN REPUBLIC</t>
  </si>
  <si>
    <t>CIV</t>
  </si>
  <si>
    <t>สาธารณรัฐโกตดิวัวร์</t>
  </si>
  <si>
    <t>Republic of Cote d’Ivoire</t>
  </si>
  <si>
    <t>IOT</t>
  </si>
  <si>
    <t>บริติชอินเดียนโอเชียนเทร์ริทอรี</t>
  </si>
  <si>
    <t>BRITISH INDIAN OCEAN TERR.</t>
  </si>
  <si>
    <t>JAM</t>
  </si>
  <si>
    <t>จาเมกา</t>
  </si>
  <si>
    <t>JAMAICA</t>
  </si>
  <si>
    <t>JPN</t>
  </si>
  <si>
    <t>ญี่ปุ่น</t>
  </si>
  <si>
    <t>JAPAN</t>
  </si>
  <si>
    <t>JOR</t>
  </si>
  <si>
    <t>ราชอาณาจักรฮัชไมต์จอร์แดน</t>
  </si>
  <si>
    <t>THE HASHEMITE KINGDOM OF JORDAN</t>
  </si>
  <si>
    <t>KEN</t>
  </si>
  <si>
    <t>สาธารณรัฐเคนยา</t>
  </si>
  <si>
    <t>REPUBLIC OF KENYA</t>
  </si>
  <si>
    <t>KOR</t>
  </si>
  <si>
    <t>สาธารณรัฐเกาหลี</t>
  </si>
  <si>
    <t>THE REPUBLIC OF KOREA</t>
  </si>
  <si>
    <t>KWT</t>
  </si>
  <si>
    <t>รัฐคูเวต</t>
  </si>
  <si>
    <t>THE STATE OF KUWAIT</t>
  </si>
  <si>
    <t>KIR</t>
  </si>
  <si>
    <t>สาธารณรัฐคิริบาส</t>
  </si>
  <si>
    <t>KIRIBATI</t>
  </si>
  <si>
    <t>PRK</t>
  </si>
  <si>
    <t>สาธารณรัฐประชาธิปไตยประชาชนเกาหลี</t>
  </si>
  <si>
    <t>THE DEMOCRALIC PEOPLE'S REPUBLIC OF KOREA</t>
  </si>
  <si>
    <t>KAZ</t>
  </si>
  <si>
    <t>สาธารณรัฐคาซัคสถาน</t>
  </si>
  <si>
    <t>THE REPUBLIC OF KAZAKHSTAN</t>
  </si>
  <si>
    <t>KGZ</t>
  </si>
  <si>
    <t>สาธารณรัฐคีร์กรีซ</t>
  </si>
  <si>
    <t>THE KYRGYS REPUBLIC OF</t>
  </si>
  <si>
    <t>RKS</t>
  </si>
  <si>
    <t>คอซอวอ</t>
  </si>
  <si>
    <t>REPUBLIC OF KOSOVO</t>
  </si>
  <si>
    <t>LAO</t>
  </si>
  <si>
    <t>สาธารณรัฐประชาธิปไตยประชาชนลาว</t>
  </si>
  <si>
    <t>THE LAO PEOPLE'S DEMOCRATIC REPUBLIC</t>
  </si>
  <si>
    <t>LBN</t>
  </si>
  <si>
    <t>สาธารณรัฐเลบานอน</t>
  </si>
  <si>
    <t>THE LEBANON REPUBLIC</t>
  </si>
  <si>
    <t>LSO</t>
  </si>
  <si>
    <t>ราชอาณาจักรเลโซโท</t>
  </si>
  <si>
    <t>THE KINGDOM OF LESOTHO</t>
  </si>
  <si>
    <t>LBR</t>
  </si>
  <si>
    <t>สาธารณรัฐไลบีเรีย</t>
  </si>
  <si>
    <t>REPUBLIC OF LIBERIA</t>
  </si>
  <si>
    <t>LBY</t>
  </si>
  <si>
    <t>สาธารณรัฐสังคมนิยมประชาชนอาหรับลิเบีย</t>
  </si>
  <si>
    <t>THE SOCIALIST PEOPLE'S LIBYAN ARAB JAMAHIRIYA</t>
  </si>
  <si>
    <t>LIE</t>
  </si>
  <si>
    <t>ราชรัฐลิกเตนสไตน์</t>
  </si>
  <si>
    <t>THE PRINCIPALITY OF LIECHTENSTEIN</t>
  </si>
  <si>
    <t>LUX</t>
  </si>
  <si>
    <t>ราชรัฐลักเซมเบิร์ก</t>
  </si>
  <si>
    <t>THE GRAND DUCHY OF LUXEMBURG</t>
  </si>
  <si>
    <t>LVA</t>
  </si>
  <si>
    <t>สาธารณรัฐลัตเวีย</t>
  </si>
  <si>
    <t>THE REPUBLIC OF LATVIA</t>
  </si>
  <si>
    <t>LTU</t>
  </si>
  <si>
    <t>สาธารณรัฐลิทัวเนีย</t>
  </si>
  <si>
    <t>THE REPUBLIC OF LITHUANIA</t>
  </si>
  <si>
    <t>MWI</t>
  </si>
  <si>
    <t>สาธารณรัฐมาลาวี</t>
  </si>
  <si>
    <t>THE REPUBLIC OF MALAWI</t>
  </si>
  <si>
    <t>MYS</t>
  </si>
  <si>
    <t>มาเลเซีย</t>
  </si>
  <si>
    <t>MALAYSIA</t>
  </si>
  <si>
    <t>MLI</t>
  </si>
  <si>
    <t>สาธารณรัฐมาลี</t>
  </si>
  <si>
    <t>REPUBLIC OF MALI</t>
  </si>
  <si>
    <t>MLT</t>
  </si>
  <si>
    <t>สาธารณรัฐมอลตา</t>
  </si>
  <si>
    <t>THE REPUBLIC OF MALTA</t>
  </si>
  <si>
    <t>MTQ</t>
  </si>
  <si>
    <t>มาร์ตินีก</t>
  </si>
  <si>
    <t>MARTINIQUE</t>
  </si>
  <si>
    <t>MRT</t>
  </si>
  <si>
    <t>สาธารณรัฐอิสลามมอริเตเนีย</t>
  </si>
  <si>
    <t>THE ISLAMIC REPUBLIC OF MAURITANIA</t>
  </si>
  <si>
    <t>MEX</t>
  </si>
  <si>
    <t>สหรัฐเม็กซิโก</t>
  </si>
  <si>
    <t>THE UNITED MEXICAN STATES</t>
  </si>
  <si>
    <t>MCO</t>
  </si>
  <si>
    <t>ราชรัฐโมนาโก</t>
  </si>
  <si>
    <t>THE PRINCIPALITY OF MONACO</t>
  </si>
  <si>
    <t>MNG</t>
  </si>
  <si>
    <t>มองโกเลีย</t>
  </si>
  <si>
    <t>MONGOLIA</t>
  </si>
  <si>
    <t>MAR</t>
  </si>
  <si>
    <t>ราชอาณาจักรโมร็อกโก</t>
  </si>
  <si>
    <t>THE KINGDOM OF MOROCCO</t>
  </si>
  <si>
    <t>MOZ</t>
  </si>
  <si>
    <t>สาธารณรัฐโมซัมบิก</t>
  </si>
  <si>
    <t>THE REPUBLIC OF MOZAMBIQUE</t>
  </si>
  <si>
    <t>FSM</t>
  </si>
  <si>
    <t>สหพันธรัฐไมโครนีเซีย</t>
  </si>
  <si>
    <t>THE FEDERATED STATES OF MICRONESIA</t>
  </si>
  <si>
    <t>MDV</t>
  </si>
  <si>
    <t>สาธารณรัฐมัลดีฟส์</t>
  </si>
  <si>
    <t>THE REPUBLIC OF MALDIVES</t>
  </si>
  <si>
    <t>MUS</t>
  </si>
  <si>
    <t>มอริเซียส</t>
  </si>
  <si>
    <t>THE REPUBLIC OF MAURITIUS</t>
  </si>
  <si>
    <t>MNP</t>
  </si>
  <si>
    <t>มาเรียนา</t>
  </si>
  <si>
    <t>MARIANA</t>
  </si>
  <si>
    <t>MDG</t>
  </si>
  <si>
    <t>สาธารณรัฐมาดากัสการ์</t>
  </si>
  <si>
    <t>THE REPUBLIC OF MADAGASCAR</t>
  </si>
  <si>
    <t>MKD</t>
  </si>
  <si>
    <t>สาธารณรัฐมาซิโดเนีย</t>
  </si>
  <si>
    <t>THE FORMER YUGOSLAV REPUBLIC OF MACEDONIA</t>
  </si>
  <si>
    <t>MDA</t>
  </si>
  <si>
    <t>สาธารณรัฐมอลโดวา</t>
  </si>
  <si>
    <t>THE REPUBLIC OF MOLDOVA</t>
  </si>
  <si>
    <t>TKM</t>
  </si>
  <si>
    <t>เติร์กเมนิสถาน</t>
  </si>
  <si>
    <t>TURKMENISTAN</t>
  </si>
  <si>
    <t>MHL</t>
  </si>
  <si>
    <t>สาธารณรัฐหมู่เกาะมาแชลล์</t>
  </si>
  <si>
    <t>THE REPUBLIC OF THE MARSHALL ISLANDS</t>
  </si>
  <si>
    <t>MAC</t>
  </si>
  <si>
    <t>มาเก๊า</t>
  </si>
  <si>
    <t>MACAO</t>
  </si>
  <si>
    <t>MNE</t>
  </si>
  <si>
    <t>สาธารณรัฐมอนเตเนโกร</t>
  </si>
  <si>
    <t>CRNA GORA MONTENEGRO</t>
  </si>
  <si>
    <t>MSR</t>
  </si>
  <si>
    <t>มอนต์เซอร์รัต</t>
  </si>
  <si>
    <t>MONTSERRAT</t>
  </si>
  <si>
    <t>MYT</t>
  </si>
  <si>
    <t>มายอต</t>
  </si>
  <si>
    <t>MAYOTTE</t>
  </si>
  <si>
    <t>NPL</t>
  </si>
  <si>
    <t>สหพันธ์สาธารณรัฐประชาธิปไตยเนปาล</t>
  </si>
  <si>
    <t>FEDERAL DEMOCRATIC REPUBLIC OF NEPAL</t>
  </si>
  <si>
    <t>N02</t>
  </si>
  <si>
    <t>สาธารณรัฐกินี</t>
  </si>
  <si>
    <t>THE REPUBLIC OF GUINEA</t>
  </si>
  <si>
    <t>NZL</t>
  </si>
  <si>
    <t>นิวซีแลนด์</t>
  </si>
  <si>
    <t>NEW ZEALAND</t>
  </si>
  <si>
    <t>NIC</t>
  </si>
  <si>
    <t>สาธารณรัฐนิการากัว</t>
  </si>
  <si>
    <t>THE REPUBLIC OF NICARAGUA</t>
  </si>
  <si>
    <t>NER</t>
  </si>
  <si>
    <t>สาธารณรัฐไนเจอร์</t>
  </si>
  <si>
    <t>REPUBLIC OF NIGER</t>
  </si>
  <si>
    <t>NGA</t>
  </si>
  <si>
    <t>สหพันธ์สาธารณรัฐไนจีเรีย</t>
  </si>
  <si>
    <t>FEDERAL REPUBLIC OF NIGERIA</t>
  </si>
  <si>
    <t>NOR</t>
  </si>
  <si>
    <t>ราชอาณาจักรนอร์เวย์</t>
  </si>
  <si>
    <t>THE KINGDOM OF NORWAY</t>
  </si>
  <si>
    <t>NRU</t>
  </si>
  <si>
    <t>สาธารณรัฐนาอูรู</t>
  </si>
  <si>
    <t>THE REPUBLIC OF NAURU</t>
  </si>
  <si>
    <t>NAM</t>
  </si>
  <si>
    <t>สาธารณรัฐนามิเบีย</t>
  </si>
  <si>
    <t>THE REPUBLIC OF NAMIBIA</t>
  </si>
  <si>
    <t>NCL</t>
  </si>
  <si>
    <t>หมู่เกาะนิวคาลิโตเนีย</t>
  </si>
  <si>
    <t>NEWCALEDONIA</t>
  </si>
  <si>
    <t>NFK</t>
  </si>
  <si>
    <t>เกาะนอร์ฟอล์ก</t>
  </si>
  <si>
    <t>NORFOLK ISLAND</t>
  </si>
  <si>
    <t>NIU</t>
  </si>
  <si>
    <t>นีอูเอ</t>
  </si>
  <si>
    <t>NIUE</t>
  </si>
  <si>
    <t>OMN</t>
  </si>
  <si>
    <t>รัฐสุลต่านโอมาน</t>
  </si>
  <si>
    <t>THE SULTANATE OF OMAN</t>
  </si>
  <si>
    <t>PAK</t>
  </si>
  <si>
    <t>สาธารณรัฐอิสลามปากีสถาน</t>
  </si>
  <si>
    <t>THE ISLAMIC REPUBLIC OF PAKISTAN</t>
  </si>
  <si>
    <t>PLT</t>
  </si>
  <si>
    <t>ปาเลสไตน์</t>
  </si>
  <si>
    <t>PALESTINE</t>
  </si>
  <si>
    <t>PAN</t>
  </si>
  <si>
    <t>สาธารณรัฐปานามา</t>
  </si>
  <si>
    <t>REPUBLIC OF PANAMA</t>
  </si>
  <si>
    <t>PNG</t>
  </si>
  <si>
    <t>ปาปัวนิวกินี</t>
  </si>
  <si>
    <t>PAPUA NEW GUINEA</t>
  </si>
  <si>
    <t>PRY</t>
  </si>
  <si>
    <t>สาธารณรัฐปารากวัย</t>
  </si>
  <si>
    <t>REPUBLIC OF PARAGUAY</t>
  </si>
  <si>
    <t>PER</t>
  </si>
  <si>
    <t>สาธารณรัฐเปรู</t>
  </si>
  <si>
    <t>REPUBLIC OF PERU</t>
  </si>
  <si>
    <t>PHL</t>
  </si>
  <si>
    <t>สาธารณรัฐฟิลิปปินส์</t>
  </si>
  <si>
    <t>THE REPUBLIC OF THE PHILIPPINES</t>
  </si>
  <si>
    <t>POL</t>
  </si>
  <si>
    <t>สาธารณรัฐโปแลนด์</t>
  </si>
  <si>
    <t>THE REPUBLIC OF POLAND</t>
  </si>
  <si>
    <t>PRT</t>
  </si>
  <si>
    <t>สาธารณรัฐโปรตุเกส</t>
  </si>
  <si>
    <t>THE PORTUGAL REPUBLIC</t>
  </si>
  <si>
    <t>P10</t>
  </si>
  <si>
    <t>ปรินซีเบิล</t>
  </si>
  <si>
    <t>PRINCEBLE</t>
  </si>
  <si>
    <t>PRI</t>
  </si>
  <si>
    <t>เปอร์โตริโก</t>
  </si>
  <si>
    <t>PUERTO RICA</t>
  </si>
  <si>
    <t>PLW</t>
  </si>
  <si>
    <t>สาธารณรัฐปาเลา</t>
  </si>
  <si>
    <t>THE REPUBLIC OF PALAU</t>
  </si>
  <si>
    <t>PCN</t>
  </si>
  <si>
    <t>พิตแคร์น</t>
  </si>
  <si>
    <t>PITCAIRN</t>
  </si>
  <si>
    <t>PYF</t>
  </si>
  <si>
    <t>เฟรนช์โปลินีเซีย</t>
  </si>
  <si>
    <t>FRENCH POLYNESIA</t>
  </si>
  <si>
    <t>QAT</t>
  </si>
  <si>
    <t>รัฐกาตาร์</t>
  </si>
  <si>
    <t>THE STATE OF QATAR</t>
  </si>
  <si>
    <t>REU</t>
  </si>
  <si>
    <t>เรอุนยอง</t>
  </si>
  <si>
    <t>REUNION ISLAND</t>
  </si>
  <si>
    <t>ROU</t>
  </si>
  <si>
    <t>โรมาเนีย</t>
  </si>
  <si>
    <t>ROMANIA</t>
  </si>
  <si>
    <t>RUS</t>
  </si>
  <si>
    <t>สหพันธรัฐรัสเซีย</t>
  </si>
  <si>
    <t>THE RUSSIAN FEDERATION</t>
  </si>
  <si>
    <t>RWA</t>
  </si>
  <si>
    <t>สาธารณรัฐรวันดา</t>
  </si>
  <si>
    <t>THE RWANDESE REPUBLIC</t>
  </si>
  <si>
    <t>SLB</t>
  </si>
  <si>
    <t>หมู่เกาะโซโลมอน</t>
  </si>
  <si>
    <t>SOLOMON ISLANDS</t>
  </si>
  <si>
    <t>SAU</t>
  </si>
  <si>
    <t>ราชอาณาจักรซาอุดีอาระเบีย</t>
  </si>
  <si>
    <t>THE KINGDOM OF SAUDI ARABIA</t>
  </si>
  <si>
    <t>STP</t>
  </si>
  <si>
    <t>สาธารณรัฐประชาธิประไตยเซาโตเมและปรินซิเป</t>
  </si>
  <si>
    <t>THE DEMOCRATIC  REPUBLIC OF SAO TOME AND PRINCIPE</t>
  </si>
  <si>
    <t>SCT</t>
  </si>
  <si>
    <t>สก็อตแลนด์</t>
  </si>
  <si>
    <t>SCOTLAND</t>
  </si>
  <si>
    <t>SEN</t>
  </si>
  <si>
    <t>สาธารณรัฐเซเนกัล</t>
  </si>
  <si>
    <t>REPUBLIC OF SENEGAL</t>
  </si>
  <si>
    <t>SLE</t>
  </si>
  <si>
    <t>สาธารณรัฐเชียร์ราลีโอน</t>
  </si>
  <si>
    <t>REPUBLIC OF SIERRA LEONE</t>
  </si>
  <si>
    <t>SGP</t>
  </si>
  <si>
    <t>สาธารณรัฐสิงคโปร์</t>
  </si>
  <si>
    <t>THE REPUBLIC OF SGP</t>
  </si>
  <si>
    <t>SOM</t>
  </si>
  <si>
    <t>สาธารณรัฐประชาธิปไตยโซมาลี</t>
  </si>
  <si>
    <t>THE SOMALI DEMOCRATIC  REPUBLIC</t>
  </si>
  <si>
    <t>ZAF</t>
  </si>
  <si>
    <t>สาธารณรัฐแอฟริกาใต้</t>
  </si>
  <si>
    <t>THE REPUBLIC OF SOUTH AFRICA</t>
  </si>
  <si>
    <t>ESP</t>
  </si>
  <si>
    <t>ราชอาณาจักรสเปน</t>
  </si>
  <si>
    <t>THE KINGDOM OF SPAIN</t>
  </si>
  <si>
    <t>S14</t>
  </si>
  <si>
    <t>สเปนิชซาฮารา</t>
  </si>
  <si>
    <t>SPANISH SAHARA</t>
  </si>
  <si>
    <t>SDN</t>
  </si>
  <si>
    <t>สาธารณรัฐซูดาน</t>
  </si>
  <si>
    <t>REPUBLIC OF THE SUDAN</t>
  </si>
  <si>
    <t>SUR</t>
  </si>
  <si>
    <t>สาธารณรัฐซูรินาเม</t>
  </si>
  <si>
    <t>REPUBLIC OF SURINAME</t>
  </si>
  <si>
    <t>SWZ</t>
  </si>
  <si>
    <t>ราชอาณาจักรสวาซิแลนด์</t>
  </si>
  <si>
    <t>THE KINGDOM OF SWAZILAND</t>
  </si>
  <si>
    <t>SWE</t>
  </si>
  <si>
    <t>ราชอาณาจักรสวีเดน</t>
  </si>
  <si>
    <t>THE KINGDOM OF SWEDEN</t>
  </si>
  <si>
    <t>CHE</t>
  </si>
  <si>
    <t>สมาพันธรัฐสวิส</t>
  </si>
  <si>
    <t>THE SWISS CONFEDERATION</t>
  </si>
  <si>
    <t>SYR</t>
  </si>
  <si>
    <t>สาธารณรัฐอาหรับซีเรีย</t>
  </si>
  <si>
    <t>THE SYRIAN ARAB REPUBLIC</t>
  </si>
  <si>
    <t>XXA</t>
  </si>
  <si>
    <t>ไม่มีสัญชาติ</t>
  </si>
  <si>
    <t>STATELESS</t>
  </si>
  <si>
    <t>WSM</t>
  </si>
  <si>
    <t>รัฐเอกราชซามัว</t>
  </si>
  <si>
    <t>THE REPUBLIC OF SAMOA</t>
  </si>
  <si>
    <t>SYC</t>
  </si>
  <si>
    <t>สาธารณรัฐเซเชลส์</t>
  </si>
  <si>
    <t>THE REPUBLIC OF SEYCHELLES</t>
  </si>
  <si>
    <t>SMR</t>
  </si>
  <si>
    <t>สาธารณรัฐซานมารีโน</t>
  </si>
  <si>
    <t>THE REPUBLIC OF SAN MARINO</t>
  </si>
  <si>
    <t>LCA</t>
  </si>
  <si>
    <t>เซนต์ลูเซีย</t>
  </si>
  <si>
    <t>SAINT LUCIA</t>
  </si>
  <si>
    <t>KNA</t>
  </si>
  <si>
    <t>เกาะเซนต์คริสโตเฟอร์</t>
  </si>
  <si>
    <t>ST.CHRISTOPHER/NEVIS</t>
  </si>
  <si>
    <t>VCT</t>
  </si>
  <si>
    <t>เซนต์วินเซนต์และเกรนาดีนส์</t>
  </si>
  <si>
    <t>SAINT VINCENT AND THE GRENADINES</t>
  </si>
  <si>
    <t>SVN</t>
  </si>
  <si>
    <t>สาธารณรัฐสโลเวเนีย</t>
  </si>
  <si>
    <t>THE REPUBLIC OF SLOVENIA</t>
  </si>
  <si>
    <t>SVK</t>
  </si>
  <si>
    <t>สาธารณรัฐสโลวัก</t>
  </si>
  <si>
    <t>THE SLOVAK REPUBLIC</t>
  </si>
  <si>
    <t>SGS</t>
  </si>
  <si>
    <t>เกาะเซาท์จอร์เจียและหมู่เกาะเซาท์แซนด์วิช</t>
  </si>
  <si>
    <t>SOUTH GEORGIA AND THE SOUTH SANDWICH ISLANDS</t>
  </si>
  <si>
    <t>SHN</t>
  </si>
  <si>
    <t>เซนต์เฮเลนา</t>
  </si>
  <si>
    <t>ST. HELENA</t>
  </si>
  <si>
    <t>SJM</t>
  </si>
  <si>
    <t>สฟาลบาร์และหมู่เกาะยานไมเอน</t>
  </si>
  <si>
    <t>SVALBARD AND JAN MAYEN ISLANDS</t>
  </si>
  <si>
    <t>SPM</t>
  </si>
  <si>
    <t>เซนต์ปิแอร์และมิคิวลอน</t>
  </si>
  <si>
    <t>ST. PEIRRE AND MIQUELON</t>
  </si>
  <si>
    <t>SRB</t>
  </si>
  <si>
    <t>เซอร์เบีย</t>
  </si>
  <si>
    <t>SERBIA</t>
  </si>
  <si>
    <t>SSD</t>
  </si>
  <si>
    <t>สาธารณรัฐเซาท์ซูดาน</t>
  </si>
  <si>
    <t>REPUBLIC OF SOUTH SUDAN</t>
  </si>
  <si>
    <t>TWN</t>
  </si>
  <si>
    <t>ไต้หวัน</t>
  </si>
  <si>
    <t>TAIWAN</t>
  </si>
  <si>
    <t>TZA</t>
  </si>
  <si>
    <t>สหสาธารณรัฐแทนซาเนีย</t>
  </si>
  <si>
    <t>THE UNITED REPUBLIC OF TANZANIA</t>
  </si>
  <si>
    <t>THA</t>
  </si>
  <si>
    <t>ราชอาณาจักรไทย</t>
  </si>
  <si>
    <t>THE KINGDOM OF THAILAND</t>
  </si>
  <si>
    <t>TGO</t>
  </si>
  <si>
    <t>สาธารณรัฐโตโก</t>
  </si>
  <si>
    <t>REPUBLIC OF TOGO</t>
  </si>
  <si>
    <t>TTO</t>
  </si>
  <si>
    <t>สาธารณรัฐตรินิแดดและโตเบโก</t>
  </si>
  <si>
    <t>REPUBLIC OF TRINIDAD AND TOBAGO</t>
  </si>
  <si>
    <t>TUN</t>
  </si>
  <si>
    <t>สาธารณรัฐตูนีเซีย</t>
  </si>
  <si>
    <t>THE REPUBLIC OF TUNISIA</t>
  </si>
  <si>
    <t>TUR</t>
  </si>
  <si>
    <t>สาธารณรัฐตุรกี</t>
  </si>
  <si>
    <t>THE REPUBLIC OF TURKEY</t>
  </si>
  <si>
    <t>TON</t>
  </si>
  <si>
    <t>ราขอาณาจักรตองกา</t>
  </si>
  <si>
    <t>THE KINGDOM OF TONGA</t>
  </si>
  <si>
    <t>T10</t>
  </si>
  <si>
    <t>ทรัสต์แปซิฟิค</t>
  </si>
  <si>
    <t>TRUST PACIFIC</t>
  </si>
  <si>
    <t>TUV</t>
  </si>
  <si>
    <t>ตูวาลู</t>
  </si>
  <si>
    <t>TUVALU</t>
  </si>
  <si>
    <t>TJK</t>
  </si>
  <si>
    <t>สาธารณรัฐทาจิกิสถาน</t>
  </si>
  <si>
    <t>THE REPUBLIC OF TAJIKISTAN</t>
  </si>
  <si>
    <t>TCA</t>
  </si>
  <si>
    <t>หมู่เกาะเติกส์และหมู่เกาะเคคอส</t>
  </si>
  <si>
    <t>TURKS AND CAICOS ISLANDS</t>
  </si>
  <si>
    <t>TKL</t>
  </si>
  <si>
    <t>โตเกเลา</t>
  </si>
  <si>
    <t>TOKELAU</t>
  </si>
  <si>
    <t>TLS</t>
  </si>
  <si>
    <t>ติมอร์ เลสเต้</t>
  </si>
  <si>
    <t>TIMOR-LESTE</t>
  </si>
  <si>
    <t>UGA</t>
  </si>
  <si>
    <t>สาธารณรัฐยูกันดา</t>
  </si>
  <si>
    <t>REPUBLIC OF UGANDA</t>
  </si>
  <si>
    <t>URY</t>
  </si>
  <si>
    <t>อุรุกวัย</t>
  </si>
  <si>
    <t>THE EASTERN REPUBLIC OF URUGUAY</t>
  </si>
  <si>
    <t>ARE</t>
  </si>
  <si>
    <t>สหรัฐอาหรับเอมิเรตส์</t>
  </si>
  <si>
    <t>THE UNITED ARAB EMIRATES</t>
  </si>
  <si>
    <t>XXX</t>
  </si>
  <si>
    <t>ไม่ทราบ</t>
  </si>
  <si>
    <t>UNKNOWN</t>
  </si>
  <si>
    <t>UKR</t>
  </si>
  <si>
    <t>ยูเครน</t>
  </si>
  <si>
    <t>sri</t>
  </si>
  <si>
    <t>UZB</t>
  </si>
  <si>
    <t>สาธารณรัฐอุซเบกิสถาน</t>
  </si>
  <si>
    <t>THE REPUBLIC OF UZBEKISTANS</t>
  </si>
  <si>
    <t>UNO</t>
  </si>
  <si>
    <t>องค์การสหประชาชาติ</t>
  </si>
  <si>
    <t>UNITED NATION</t>
  </si>
  <si>
    <t>UMI</t>
  </si>
  <si>
    <t>ยูเอส ไมเนอร์ เอ๊าไลน์นิ่ง ไอร์แลนด์</t>
  </si>
  <si>
    <t>UNITED STATES MINOR OUTLYING ISLANDS</t>
  </si>
  <si>
    <t>UNA</t>
  </si>
  <si>
    <t>ยูเอ็น</t>
  </si>
  <si>
    <t>SPECIALIZED AGENCY OF UNITED NATIONS</t>
  </si>
  <si>
    <t>UTO</t>
  </si>
  <si>
    <t>ยูโทเปีย</t>
  </si>
  <si>
    <t>UTOPIA</t>
  </si>
  <si>
    <t>VAT</t>
  </si>
  <si>
    <t>นครรัฐวาติกัน</t>
  </si>
  <si>
    <t>VATICAN CITY STATE THE HOLY SEE</t>
  </si>
  <si>
    <t>VEN</t>
  </si>
  <si>
    <t>สาธารณรัฐโบลีวาร์แห่งเวเนซุเอลา</t>
  </si>
  <si>
    <t>BOLIVARIAN REPUBLIC OF VENEZUELA</t>
  </si>
  <si>
    <t>VNM</t>
  </si>
  <si>
    <t>สาธารณรัฐสังคมนิยมเวียดนาม</t>
  </si>
  <si>
    <t>THE SOCIALIST REPUBLIC OF VIETNAM</t>
  </si>
  <si>
    <t>VUT</t>
  </si>
  <si>
    <t>สาธารณรัฐวานูอาทู</t>
  </si>
  <si>
    <t>THE REPUBLIC OF VANUATU</t>
  </si>
  <si>
    <t>VIS</t>
  </si>
  <si>
    <t>หมู่เกาะเวอร์จิน</t>
  </si>
  <si>
    <t>VIRGIN ISLANDS</t>
  </si>
  <si>
    <t>WLF</t>
  </si>
  <si>
    <t>หมู่เกาะวาลลิสและหมู่เกาะฟุตูนา</t>
  </si>
  <si>
    <t>WALLIS AND FUTUNA ISLANDS</t>
  </si>
  <si>
    <t>XXB</t>
  </si>
  <si>
    <t>ผู้อพยพ (1951 CONVENTION)</t>
  </si>
  <si>
    <t>REFUGEE (1951 CONVENTION)</t>
  </si>
  <si>
    <t>XXC</t>
  </si>
  <si>
    <t>ผู้อพยพ (อื่นๆ)</t>
  </si>
  <si>
    <t>REFUGEE (OTHER)</t>
  </si>
  <si>
    <t>YEM</t>
  </si>
  <si>
    <t>สาธารณรัฐเยเมน</t>
  </si>
  <si>
    <t>THE REPUBLIC OF YEMEN</t>
  </si>
  <si>
    <t>YUG</t>
  </si>
  <si>
    <t>สหพันธ์สาธารณรัฐยูโกสลาเวีย</t>
  </si>
  <si>
    <t>THE FEDERAL REPUBLIC OF YOGOSLAVIA</t>
  </si>
  <si>
    <t>Y03</t>
  </si>
  <si>
    <t>เยเมนเหนือ</t>
  </si>
  <si>
    <t>YEMEN REP.</t>
  </si>
  <si>
    <t>ZMB</t>
  </si>
  <si>
    <t>สาธารณรัฐแซมเบีย</t>
  </si>
  <si>
    <t>THE REPUBLIC OF ZAMBIA</t>
  </si>
  <si>
    <t>ZAR</t>
  </si>
  <si>
    <t>ซาอีร์</t>
  </si>
  <si>
    <t>ZAIRE</t>
  </si>
  <si>
    <t>ZIM</t>
  </si>
  <si>
    <t>สาธารณรัฐซิมบับเว</t>
  </si>
  <si>
    <t>THE REPUBLIC OF ZIMBABWE</t>
  </si>
  <si>
    <t>ZWE</t>
  </si>
  <si>
    <t>สาธารณรัฐซิมบับเว (ZWE)</t>
  </si>
  <si>
    <t>THE REPUBLIC OF ZIMBABWE (ZWE)</t>
  </si>
  <si>
    <r>
      <t xml:space="preserve">ชื่อ
First Name </t>
    </r>
    <r>
      <rPr>
        <b/>
        <sz val="10"/>
        <color indexed="10"/>
        <rFont val="Arial"/>
        <family val="2"/>
      </rPr>
      <t>*</t>
    </r>
  </si>
  <si>
    <t>ชื่อกลาง
Middle Name</t>
  </si>
  <si>
    <t>นามสกุล
Last Name</t>
  </si>
  <si>
    <r>
      <t xml:space="preserve">เพศ
Gender </t>
    </r>
    <r>
      <rPr>
        <b/>
        <sz val="10"/>
        <color indexed="10"/>
        <rFont val="Arial"/>
        <family val="2"/>
      </rPr>
      <t>*</t>
    </r>
  </si>
  <si>
    <r>
      <t xml:space="preserve">เลขหนังสือเดินทาง
Passport No. </t>
    </r>
    <r>
      <rPr>
        <b/>
        <sz val="10"/>
        <color indexed="10"/>
        <rFont val="Arial"/>
        <family val="2"/>
      </rPr>
      <t>*</t>
    </r>
  </si>
  <si>
    <r>
      <t xml:space="preserve">สัญชาติ
Nationality </t>
    </r>
    <r>
      <rPr>
        <b/>
        <sz val="10"/>
        <color indexed="10"/>
        <rFont val="Arial"/>
        <family val="2"/>
      </rPr>
      <t>*</t>
    </r>
  </si>
  <si>
    <r>
      <t>วัน เดือน ปี เกิด
Birth Date</t>
    </r>
    <r>
      <rPr>
        <b/>
        <sz val="10"/>
        <color indexed="10"/>
        <rFont val="Arial"/>
        <family val="2"/>
      </rPr>
      <t xml:space="preserve"> *
DD/MM/YYYY(ค.ศ. / A.D.) </t>
    </r>
    <r>
      <rPr>
        <b/>
        <sz val="10"/>
        <rFont val="Arial"/>
        <family val="2"/>
      </rPr>
      <t xml:space="preserve">
</t>
    </r>
    <r>
      <rPr>
        <b/>
        <sz val="10"/>
        <color indexed="10"/>
        <rFont val="Arial"/>
        <family val="2"/>
      </rPr>
      <t>เช่น 17/06/1985 หรือ 10/00/1985 หรือ 00/00/1985</t>
    </r>
  </si>
  <si>
    <r>
      <t>วันที่แจ้งออกจากที่พัก
Check-out Date</t>
    </r>
    <r>
      <rPr>
        <b/>
        <sz val="10"/>
        <color indexed="10"/>
        <rFont val="Arial"/>
        <family val="2"/>
      </rPr>
      <t xml:space="preserve"> *</t>
    </r>
    <r>
      <rPr>
        <b/>
        <sz val="10"/>
        <rFont val="Arial"/>
        <family val="2"/>
      </rPr>
      <t xml:space="preserve">
</t>
    </r>
    <r>
      <rPr>
        <b/>
        <sz val="10"/>
        <color indexed="10"/>
        <rFont val="Arial"/>
        <family val="2"/>
      </rPr>
      <t>DD/MM/YYYY(ค.ศ. / A.D.) 
เช่น 14/06/2023</t>
    </r>
  </si>
  <si>
    <t>เบอร์โทรศัพท์
Phone No.</t>
  </si>
  <si>
    <t>ALEX</t>
  </si>
  <si>
    <t>JEAN</t>
  </si>
  <si>
    <t>M</t>
  </si>
  <si>
    <t>L39939000</t>
  </si>
  <si>
    <t>00/00/1985</t>
  </si>
  <si>
    <t>14/06/2023</t>
  </si>
  <si>
    <t>ANNA</t>
  </si>
  <si>
    <t>LEE</t>
  </si>
  <si>
    <t>F</t>
  </si>
  <si>
    <t>L39828919</t>
  </si>
  <si>
    <t>10/30/1975</t>
  </si>
  <si>
    <t>SIJI</t>
  </si>
  <si>
    <t>LIU</t>
  </si>
  <si>
    <t>G59422550</t>
  </si>
  <si>
    <t>MEI</t>
  </si>
  <si>
    <t>ZHANG</t>
  </si>
  <si>
    <t>G36963328</t>
  </si>
  <si>
    <t>02/00/1975</t>
  </si>
  <si>
    <t>LINLIN</t>
  </si>
  <si>
    <t>G39636381</t>
  </si>
  <si>
    <t>07/21/1975</t>
  </si>
  <si>
    <t>****รูปแบบข้อมูลวันที่ (ช่อง G และ H) กรุณากรอกเป็น วัน/เดือน/ปี ค.ศ. เช่น 14/06/2023 คือ วันที่ 14 มิถุนายน พ.ศ.2566</t>
  </si>
  <si>
    <t>****column ที่ต้องมีข้อมูลได้แก่ ชื่อ, เพศ,  เลขหนังสือเดินทาง , สัญชาติ , วัน เดือน ปี เกิด, วันที่แจ้งออกจากที่พัก</t>
  </si>
  <si>
    <t>** ข้อมูลที่ต้องการนำเข้าต้องอยู่ที่ sheet แรกสุดเท่านั้น</t>
  </si>
  <si>
    <t>** การแสดงเอกสาร หรือ ข้อความอันเป็นเท็จเพื่อให้ได้มาซึ่งสิทธิ เป็นความผิดตามประมวลกฎหมายอาญา</t>
  </si>
  <si>
    <r>
      <t>** มีข้อมูลได้ไม่เกิน</t>
    </r>
    <r>
      <rPr>
        <sz val="11"/>
        <color indexed="10"/>
        <rFont val="Calibri"/>
        <family val="2"/>
      </rPr>
      <t xml:space="preserve">  1,000 </t>
    </r>
    <r>
      <rPr>
        <sz val="11"/>
        <color indexed="10"/>
        <rFont val="Calibri"/>
        <family val="2"/>
        <charset val="222"/>
      </rPr>
      <t>รายการ ต่อ 1 ไฟล์</t>
    </r>
  </si>
  <si>
    <t>****Date data format (Column G and H), please fill in as DD/MM/YYYY(A.D.), for example, 14/06/2023 is 14 June 2023.</t>
  </si>
  <si>
    <t>****Columns that must contain information are: First Name, Gender, Passport No., Nationality, Birth date, Check-out Date.</t>
  </si>
  <si>
    <t>** The data that needs to be imported must be on the first sheet only.</t>
  </si>
  <si>
    <t>** Creating or providing false documents or information is a crime</t>
  </si>
  <si>
    <t>** There are no more than 1,000 items per file.</t>
  </si>
  <si>
    <t>GENDER CODE
รหัสเพศ</t>
  </si>
  <si>
    <t>SEX
เพศ</t>
  </si>
  <si>
    <t>ชาย</t>
  </si>
  <si>
    <t>หญิง</t>
  </si>
  <si>
    <t>Ms</t>
  </si>
  <si>
    <t>รหัสสัญชาติ</t>
  </si>
  <si>
    <t>Nationality</t>
  </si>
  <si>
    <t>TM Code</t>
  </si>
  <si>
    <t>Short</t>
  </si>
  <si>
    <t>Full</t>
  </si>
  <si>
    <t>Use</t>
  </si>
  <si>
    <t>Mr</t>
  </si>
  <si>
    <t>A01</t>
  </si>
  <si>
    <t>อัฟกัน</t>
  </si>
  <si>
    <t>AFGHAN</t>
  </si>
  <si>
    <t>AF</t>
  </si>
  <si>
    <t>Afghanistan</t>
  </si>
  <si>
    <t>A02</t>
  </si>
  <si>
    <t>Australia</t>
  </si>
  <si>
    <t>Mrs</t>
  </si>
  <si>
    <t>แอฟริกัน</t>
  </si>
  <si>
    <t>AFRICAN</t>
  </si>
  <si>
    <t>AL</t>
  </si>
  <si>
    <t>Albania</t>
  </si>
  <si>
    <t>A03</t>
  </si>
  <si>
    <t>Austria</t>
  </si>
  <si>
    <t>แอลบาเนีย</t>
  </si>
  <si>
    <t>ALBANIAN</t>
  </si>
  <si>
    <t>DZ</t>
  </si>
  <si>
    <t>Algeria</t>
  </si>
  <si>
    <t>A04</t>
  </si>
  <si>
    <t>Bangladesh</t>
  </si>
  <si>
    <t>แอลจิเรีย</t>
  </si>
  <si>
    <t>ALGERIAN</t>
  </si>
  <si>
    <t>AS</t>
  </si>
  <si>
    <t>American Samoa</t>
  </si>
  <si>
    <t>A21</t>
  </si>
  <si>
    <t>Belarus</t>
  </si>
  <si>
    <t>A05</t>
  </si>
  <si>
    <t>อเมริกัน</t>
  </si>
  <si>
    <t>AMERICAN</t>
  </si>
  <si>
    <t>AD</t>
  </si>
  <si>
    <t>Andorra</t>
  </si>
  <si>
    <t>A10</t>
  </si>
  <si>
    <t>Belgium</t>
  </si>
  <si>
    <t>A06</t>
  </si>
  <si>
    <t>แองโกลา</t>
  </si>
  <si>
    <t>ANGOLAN</t>
  </si>
  <si>
    <t>AO</t>
  </si>
  <si>
    <t>Angola</t>
  </si>
  <si>
    <t>Cambodia</t>
  </si>
  <si>
    <t>A07</t>
  </si>
  <si>
    <t>อาร์เจนตินา</t>
  </si>
  <si>
    <t>ARGENTINE</t>
  </si>
  <si>
    <t>AI</t>
  </si>
  <si>
    <t>Anguilla/St Kitts</t>
  </si>
  <si>
    <t>A16</t>
  </si>
  <si>
    <t>Canada</t>
  </si>
  <si>
    <t>A08</t>
  </si>
  <si>
    <t>AUSTRALIAN</t>
  </si>
  <si>
    <t>AQ</t>
  </si>
  <si>
    <t>Antarctica</t>
  </si>
  <si>
    <t>A18</t>
  </si>
  <si>
    <t>Chile</t>
  </si>
  <si>
    <t>A09</t>
  </si>
  <si>
    <t>ออสเตรีย</t>
  </si>
  <si>
    <t>AUSTRIAN</t>
  </si>
  <si>
    <t>AG</t>
  </si>
  <si>
    <t>Antigua and Barbuda</t>
  </si>
  <si>
    <t>A13</t>
  </si>
  <si>
    <t>China</t>
  </si>
  <si>
    <t>อันดอร์รา</t>
  </si>
  <si>
    <t>ANDORAIN</t>
  </si>
  <si>
    <t>AR</t>
  </si>
  <si>
    <t>Argentina</t>
  </si>
  <si>
    <t>Colombia</t>
  </si>
  <si>
    <t>A12</t>
  </si>
  <si>
    <t>AM</t>
  </si>
  <si>
    <t>Armenia</t>
  </si>
  <si>
    <t>A14</t>
  </si>
  <si>
    <t>Croatia</t>
  </si>
  <si>
    <t>แอนติกาและบาร์ดา</t>
  </si>
  <si>
    <t>ANTIGUAN AND BARBUDA</t>
  </si>
  <si>
    <t>AW</t>
  </si>
  <si>
    <t>Aruba</t>
  </si>
  <si>
    <t>Czech Republic</t>
  </si>
  <si>
    <t>อาร์เมเนีย</t>
  </si>
  <si>
    <t>ARMENIAN</t>
  </si>
  <si>
    <t>AU</t>
  </si>
  <si>
    <t>Denmark</t>
  </si>
  <si>
    <t>A15</t>
  </si>
  <si>
    <t>อาเซอร์ไบจาน</t>
  </si>
  <si>
    <t>AZERBAIJANI</t>
  </si>
  <si>
    <t>AT</t>
  </si>
  <si>
    <t>Ethiopia</t>
  </si>
  <si>
    <t>AZ</t>
  </si>
  <si>
    <t>Azerbaijan</t>
  </si>
  <si>
    <t>Finland</t>
  </si>
  <si>
    <t>A17</t>
  </si>
  <si>
    <t>BS</t>
  </si>
  <si>
    <t>Bahamas</t>
  </si>
  <si>
    <t>B01</t>
  </si>
  <si>
    <t>France Republic</t>
  </si>
  <si>
    <t>แอนทาร์ติก้า</t>
  </si>
  <si>
    <t>ANTARCTICA</t>
  </si>
  <si>
    <t>BH</t>
  </si>
  <si>
    <t>Bahrain</t>
  </si>
  <si>
    <t>B02</t>
  </si>
  <si>
    <t>Germany</t>
  </si>
  <si>
    <t>A19</t>
  </si>
  <si>
    <t>BD</t>
  </si>
  <si>
    <t>B03</t>
  </si>
  <si>
    <t>Great Britain</t>
  </si>
  <si>
    <t>A20</t>
  </si>
  <si>
    <t>BB</t>
  </si>
  <si>
    <t>Barbados</t>
  </si>
  <si>
    <t>B04</t>
  </si>
  <si>
    <t>Greece</t>
  </si>
  <si>
    <t>BY</t>
  </si>
  <si>
    <t>B24</t>
  </si>
  <si>
    <t>Hong Kong</t>
  </si>
  <si>
    <t>บาฮามาส</t>
  </si>
  <si>
    <t>BAHAMIAN</t>
  </si>
  <si>
    <t>BE</t>
  </si>
  <si>
    <t>B07</t>
  </si>
  <si>
    <t>Hungary</t>
  </si>
  <si>
    <t>บาห์เรน</t>
  </si>
  <si>
    <t>BAHRAINI</t>
  </si>
  <si>
    <t>BZ</t>
  </si>
  <si>
    <t>Belize</t>
  </si>
  <si>
    <t>Iceland</t>
  </si>
  <si>
    <t>บังกลาเทศ</t>
  </si>
  <si>
    <t>BANGLADESH</t>
  </si>
  <si>
    <t>BJ</t>
  </si>
  <si>
    <t>Benin</t>
  </si>
  <si>
    <t>B18</t>
  </si>
  <si>
    <t>India</t>
  </si>
  <si>
    <t>BARBADIAN</t>
  </si>
  <si>
    <t>BM</t>
  </si>
  <si>
    <t>Bermuda</t>
  </si>
  <si>
    <t>B08</t>
  </si>
  <si>
    <t>Indonesia</t>
  </si>
  <si>
    <t>เบลเยียม</t>
  </si>
  <si>
    <t>Emirates</t>
  </si>
  <si>
    <t>BT</t>
  </si>
  <si>
    <t>Bhutan</t>
  </si>
  <si>
    <t>Iran</t>
  </si>
  <si>
    <t>เบอร์มูดาน</t>
  </si>
  <si>
    <t>BO</t>
  </si>
  <si>
    <t>Bolivia</t>
  </si>
  <si>
    <t>B09</t>
  </si>
  <si>
    <t>Ireland</t>
  </si>
  <si>
    <t>โบลิเวีย</t>
  </si>
  <si>
    <t>BOLIVIAN</t>
  </si>
  <si>
    <t>BQ</t>
  </si>
  <si>
    <t>Bonaire,Saba,St Eustatius</t>
  </si>
  <si>
    <t>Israel</t>
  </si>
  <si>
    <t>B10</t>
  </si>
  <si>
    <t>บอตสวานา</t>
  </si>
  <si>
    <t>BOTSWANA</t>
  </si>
  <si>
    <t>BA</t>
  </si>
  <si>
    <t>Bosnia Herzegovina</t>
  </si>
  <si>
    <t>B23</t>
  </si>
  <si>
    <t>Italy</t>
  </si>
  <si>
    <t>B11</t>
  </si>
  <si>
    <t>บราซิล</t>
  </si>
  <si>
    <t>BRAZILIAN</t>
  </si>
  <si>
    <t>BW</t>
  </si>
  <si>
    <t>Botswana</t>
  </si>
  <si>
    <t>Japan</t>
  </si>
  <si>
    <t>B12</t>
  </si>
  <si>
    <t>บริติช</t>
  </si>
  <si>
    <t>BRITISH</t>
  </si>
  <si>
    <t>BV</t>
  </si>
  <si>
    <t>Bouvet Island</t>
  </si>
  <si>
    <t>B25</t>
  </si>
  <si>
    <t>Jordan</t>
  </si>
  <si>
    <t>BR</t>
  </si>
  <si>
    <t>Brazil</t>
  </si>
  <si>
    <t>Kazakhstan</t>
  </si>
  <si>
    <t>B14</t>
  </si>
  <si>
    <t>บรูไน</t>
  </si>
  <si>
    <t>OF BRUNEI DARUSSALAM</t>
  </si>
  <si>
    <t>IO</t>
  </si>
  <si>
    <t>British Indian Ocean Territory</t>
  </si>
  <si>
    <t>Latvia</t>
  </si>
  <si>
    <t>B15</t>
  </si>
  <si>
    <t>บัลแกเรีย</t>
  </si>
  <si>
    <t>BULGARIAN</t>
  </si>
  <si>
    <t>BN</t>
  </si>
  <si>
    <t>Brunei Darussalam</t>
  </si>
  <si>
    <t>Korea, Republic</t>
  </si>
  <si>
    <t>B16</t>
  </si>
  <si>
    <t>พม่า</t>
  </si>
  <si>
    <t>OF MYANMAR</t>
  </si>
  <si>
    <t>BG</t>
  </si>
  <si>
    <t>Bulgaria</t>
  </si>
  <si>
    <t>Lithuania</t>
  </si>
  <si>
    <t>BRITISH COLONIST</t>
  </si>
  <si>
    <t>BF</t>
  </si>
  <si>
    <t>Burkina Fasa</t>
  </si>
  <si>
    <t>B22</t>
  </si>
  <si>
    <t>Luxembourg</t>
  </si>
  <si>
    <t>เบนิน</t>
  </si>
  <si>
    <t>BENINESE</t>
  </si>
  <si>
    <t>BI</t>
  </si>
  <si>
    <t>Burundi</t>
  </si>
  <si>
    <t>B19</t>
  </si>
  <si>
    <t>Malaysia</t>
  </si>
  <si>
    <t>บุรุนดี</t>
  </si>
  <si>
    <t>kingdom of saudi</t>
  </si>
  <si>
    <t>KH</t>
  </si>
  <si>
    <t>C01</t>
  </si>
  <si>
    <t>Mauritania</t>
  </si>
  <si>
    <t>B20</t>
  </si>
  <si>
    <t>ภูฎาน</t>
  </si>
  <si>
    <t>BHUTANESE</t>
  </si>
  <si>
    <t>CM</t>
  </si>
  <si>
    <t>Cameroon</t>
  </si>
  <si>
    <t>C02</t>
  </si>
  <si>
    <t>Mongolia</t>
  </si>
  <si>
    <t>B21</t>
  </si>
  <si>
    <t>BELIZEAN</t>
  </si>
  <si>
    <t>CA</t>
  </si>
  <si>
    <t>C03</t>
  </si>
  <si>
    <t>Marocco</t>
  </si>
  <si>
    <t>OF BURKINA FASO</t>
  </si>
  <si>
    <t>CV</t>
  </si>
  <si>
    <t>Cape Verde</t>
  </si>
  <si>
    <t>C18</t>
  </si>
  <si>
    <t>Myanmar</t>
  </si>
  <si>
    <t>บอสเนีย-เฮอร์เซโกวินา</t>
  </si>
  <si>
    <t>OF BOSNIA AND HERZEGOVINA</t>
  </si>
  <si>
    <t>KY</t>
  </si>
  <si>
    <t>Cayman Islands</t>
  </si>
  <si>
    <t>C05</t>
  </si>
  <si>
    <t>Netherlands</t>
  </si>
  <si>
    <t>เบลารุส</t>
  </si>
  <si>
    <t>BELARUSIAN</t>
  </si>
  <si>
    <t>CF</t>
  </si>
  <si>
    <t>Central African Republic</t>
  </si>
  <si>
    <t>C06</t>
  </si>
  <si>
    <t>New Zealand</t>
  </si>
  <si>
    <t>TD</t>
  </si>
  <si>
    <t>Chad</t>
  </si>
  <si>
    <t>C08</t>
  </si>
  <si>
    <t>Norway</t>
  </si>
  <si>
    <t>กัมพูชา</t>
  </si>
  <si>
    <t>CAMBODIAN</t>
  </si>
  <si>
    <t>CL</t>
  </si>
  <si>
    <t>C09</t>
  </si>
  <si>
    <t>Philippines</t>
  </si>
  <si>
    <t>แคเมอรูน</t>
  </si>
  <si>
    <t>CAMEROONIAN</t>
  </si>
  <si>
    <t>CN</t>
  </si>
  <si>
    <t>C10</t>
  </si>
  <si>
    <t>Poland</t>
  </si>
  <si>
    <t>แคนาเดียน</t>
  </si>
  <si>
    <t>CANADIAN</t>
  </si>
  <si>
    <t>CX</t>
  </si>
  <si>
    <t>Christmas Island</t>
  </si>
  <si>
    <t>C26</t>
  </si>
  <si>
    <t>Portugal</t>
  </si>
  <si>
    <t>คาโรไลน์</t>
  </si>
  <si>
    <t>CAROLINE ISLANDER</t>
  </si>
  <si>
    <t>CC</t>
  </si>
  <si>
    <t>Cocos (Keeling) Islands</t>
  </si>
  <si>
    <t>C25</t>
  </si>
  <si>
    <t>Romania</t>
  </si>
  <si>
    <t>เคย์แมน</t>
  </si>
  <si>
    <t>CAYMAN ISLANDER</t>
  </si>
  <si>
    <t>CO</t>
  </si>
  <si>
    <t>C11</t>
  </si>
  <si>
    <t>Serbia</t>
  </si>
  <si>
    <t>แอฟริกันกลาง</t>
  </si>
  <si>
    <t>CENTRAL AFRICAN</t>
  </si>
  <si>
    <t>KM</t>
  </si>
  <si>
    <t>Comoros</t>
  </si>
  <si>
    <t>C20</t>
  </si>
  <si>
    <t>Russia</t>
  </si>
  <si>
    <t>C07</t>
  </si>
  <si>
    <t>ศรีลังกา</t>
  </si>
  <si>
    <t>OF SRI LANKAN</t>
  </si>
  <si>
    <t>CG</t>
  </si>
  <si>
    <t>Congo</t>
  </si>
  <si>
    <t>C12</t>
  </si>
  <si>
    <t>Saudi Arabia</t>
  </si>
  <si>
    <t>ชาด</t>
  </si>
  <si>
    <t>CHADIAN</t>
  </si>
  <si>
    <t>Congo, The Democratic Republic of the</t>
  </si>
  <si>
    <t>Singapore</t>
  </si>
  <si>
    <t>ชิลี</t>
  </si>
  <si>
    <t>CHILEAN</t>
  </si>
  <si>
    <t>CK</t>
  </si>
  <si>
    <t>Cook Island</t>
  </si>
  <si>
    <t>C22</t>
  </si>
  <si>
    <t>South Africa</t>
  </si>
  <si>
    <t>จีน</t>
  </si>
  <si>
    <t>CHINESE</t>
  </si>
  <si>
    <t>CR</t>
  </si>
  <si>
    <t>Costa Rica</t>
  </si>
  <si>
    <t>C13</t>
  </si>
  <si>
    <t>Spain</t>
  </si>
  <si>
    <t>โคลัมเบีย</t>
  </si>
  <si>
    <t>COLOMBIAN</t>
  </si>
  <si>
    <t>CI</t>
  </si>
  <si>
    <t>Cote D'Ivoire</t>
  </si>
  <si>
    <t>Sri Lanka</t>
  </si>
  <si>
    <t>คองโก</t>
  </si>
  <si>
    <t>CONGOLESE</t>
  </si>
  <si>
    <t>HR</t>
  </si>
  <si>
    <t>C23</t>
  </si>
  <si>
    <t>Sweden</t>
  </si>
  <si>
    <t>คอสตาริกา</t>
  </si>
  <si>
    <t>COSTA RICA</t>
  </si>
  <si>
    <t>CU</t>
  </si>
  <si>
    <t>Cuba</t>
  </si>
  <si>
    <t>C14</t>
  </si>
  <si>
    <t>Switzerland</t>
  </si>
  <si>
    <t>คิวบา</t>
  </si>
  <si>
    <t>CUBAN</t>
  </si>
  <si>
    <t>CW</t>
  </si>
  <si>
    <t>Curacao</t>
  </si>
  <si>
    <t>Syrian Arab Republic</t>
  </si>
  <si>
    <t>คูราเชาอัน</t>
  </si>
  <si>
    <t>CURACAOAN</t>
  </si>
  <si>
    <t>CY</t>
  </si>
  <si>
    <t>Cyprus</t>
  </si>
  <si>
    <t>C16</t>
  </si>
  <si>
    <t>Taiwan</t>
  </si>
  <si>
    <t>ไซปรัส</t>
  </si>
  <si>
    <t>CYPRIOT</t>
  </si>
  <si>
    <t>CZ</t>
  </si>
  <si>
    <t>C17</t>
  </si>
  <si>
    <t>Thailand</t>
  </si>
  <si>
    <t>เช็ก</t>
  </si>
  <si>
    <t>CZECH</t>
  </si>
  <si>
    <t>DK</t>
  </si>
  <si>
    <t>D03</t>
  </si>
  <si>
    <t>Turkey</t>
  </si>
  <si>
    <t>เคปเวิร์ด</t>
  </si>
  <si>
    <t>CAPE VERDEAN</t>
  </si>
  <si>
    <t>DJ</t>
  </si>
  <si>
    <t>Djibouti</t>
  </si>
  <si>
    <t>D08</t>
  </si>
  <si>
    <t>คอโมโรส</t>
  </si>
  <si>
    <t>COMOROS</t>
  </si>
  <si>
    <t>DM</t>
  </si>
  <si>
    <t>Dominica</t>
  </si>
  <si>
    <t>D09</t>
  </si>
  <si>
    <t>Ukraine</t>
  </si>
  <si>
    <t>COOK ISLANDER</t>
  </si>
  <si>
    <t>DO</t>
  </si>
  <si>
    <t>Dominican Republic</t>
  </si>
  <si>
    <t>D04</t>
  </si>
  <si>
    <t>Uzbekistan</t>
  </si>
  <si>
    <t>โครเอเชีย</t>
  </si>
  <si>
    <t>CROATIA</t>
  </si>
  <si>
    <t>EC</t>
  </si>
  <si>
    <t>Ecuador</t>
  </si>
  <si>
    <t>E02</t>
  </si>
  <si>
    <t>Vietnam</t>
  </si>
  <si>
    <t>EG</t>
  </si>
  <si>
    <t>Egypt</t>
  </si>
  <si>
    <t>E03</t>
  </si>
  <si>
    <t>SV</t>
  </si>
  <si>
    <t>El Salvador</t>
  </si>
  <si>
    <t>E06</t>
  </si>
  <si>
    <t>Estonia</t>
  </si>
  <si>
    <t>GQ</t>
  </si>
  <si>
    <t>Equatorial Guinea</t>
  </si>
  <si>
    <t>E07</t>
  </si>
  <si>
    <t>Irak</t>
  </si>
  <si>
    <t>เดนมาร์ก</t>
  </si>
  <si>
    <t>DANISH</t>
  </si>
  <si>
    <t>ER</t>
  </si>
  <si>
    <t>Eritrea</t>
  </si>
  <si>
    <t>E09</t>
  </si>
  <si>
    <t>Nauru</t>
  </si>
  <si>
    <t>โดมินิกัน</t>
  </si>
  <si>
    <t>DOMINICAN</t>
  </si>
  <si>
    <t>EE</t>
  </si>
  <si>
    <t>E04</t>
  </si>
  <si>
    <t>D05</t>
  </si>
  <si>
    <t>ดัช</t>
  </si>
  <si>
    <t>NETHERLANDS</t>
  </si>
  <si>
    <t>ET</t>
  </si>
  <si>
    <t>E05</t>
  </si>
  <si>
    <t>Kenya</t>
  </si>
  <si>
    <t>D06</t>
  </si>
  <si>
    <t>FK</t>
  </si>
  <si>
    <t>Falkland Islands</t>
  </si>
  <si>
    <t>F05</t>
  </si>
  <si>
    <t>Kuwait</t>
  </si>
  <si>
    <t>FO</t>
  </si>
  <si>
    <t>Faroe Islands</t>
  </si>
  <si>
    <t>F01</t>
  </si>
  <si>
    <t>Pakistan</t>
  </si>
  <si>
    <t>จีบูเตียน</t>
  </si>
  <si>
    <t>OF DJIBOUTI</t>
  </si>
  <si>
    <t>FJ</t>
  </si>
  <si>
    <t>Fiji</t>
  </si>
  <si>
    <t>F02</t>
  </si>
  <si>
    <t>Moldova</t>
  </si>
  <si>
    <t>โดมินิกา</t>
  </si>
  <si>
    <t>DOMINICA</t>
  </si>
  <si>
    <t>FI</t>
  </si>
  <si>
    <t>F03</t>
  </si>
  <si>
    <t>Monserrat</t>
  </si>
  <si>
    <t>FR</t>
  </si>
  <si>
    <t>France</t>
  </si>
  <si>
    <t>F04</t>
  </si>
  <si>
    <t>Puerto Rico</t>
  </si>
  <si>
    <t>เอกวาดอร์</t>
  </si>
  <si>
    <t>ECUADORIAN</t>
  </si>
  <si>
    <t>FX</t>
  </si>
  <si>
    <t>Panama</t>
  </si>
  <si>
    <t>อียิปต์</t>
  </si>
  <si>
    <t>EGYPTIAN</t>
  </si>
  <si>
    <t>GF</t>
  </si>
  <si>
    <t>French Guiana</t>
  </si>
  <si>
    <t>G16</t>
  </si>
  <si>
    <t>Slovakia</t>
  </si>
  <si>
    <t>เอสโตเนียน</t>
  </si>
  <si>
    <t>ESTONIAN</t>
  </si>
  <si>
    <t>PF</t>
  </si>
  <si>
    <t>French Polynesia</t>
  </si>
  <si>
    <t>P14</t>
  </si>
  <si>
    <t>Slovenia</t>
  </si>
  <si>
    <t>เอธิโอเปีย</t>
  </si>
  <si>
    <t>ETHIOPIAN</t>
  </si>
  <si>
    <t>TF</t>
  </si>
  <si>
    <t>French Souther Territories</t>
  </si>
  <si>
    <t>Tanzania</t>
  </si>
  <si>
    <t>เอลซัลวาดอร์</t>
  </si>
  <si>
    <t>SALVADORAN</t>
  </si>
  <si>
    <t>GA</t>
  </si>
  <si>
    <t>Gabon</t>
  </si>
  <si>
    <t>G01</t>
  </si>
  <si>
    <t>Zambia</t>
  </si>
  <si>
    <t>อิเควทอเรียลกินี</t>
  </si>
  <si>
    <t>EQUATORIAL GUINEAN</t>
  </si>
  <si>
    <t>GM</t>
  </si>
  <si>
    <t>Gambia</t>
  </si>
  <si>
    <t>G02</t>
  </si>
  <si>
    <t>Monaco</t>
  </si>
  <si>
    <t>E08</t>
  </si>
  <si>
    <t>GE</t>
  </si>
  <si>
    <t>Georgia</t>
  </si>
  <si>
    <t>G14</t>
  </si>
  <si>
    <t>United States</t>
  </si>
  <si>
    <t>ERITREAN</t>
  </si>
  <si>
    <t>DE</t>
  </si>
  <si>
    <t>G03</t>
  </si>
  <si>
    <t>E10</t>
  </si>
  <si>
    <t>ติมอร์ตะวันออก</t>
  </si>
  <si>
    <t>EAST TIMOR</t>
  </si>
  <si>
    <t>GH</t>
  </si>
  <si>
    <t>Ghana</t>
  </si>
  <si>
    <t>G04</t>
  </si>
  <si>
    <t>แฟโรส์</t>
  </si>
  <si>
    <t>FAEROES ISLANDER</t>
  </si>
  <si>
    <t>GI</t>
  </si>
  <si>
    <t>Gibraltar</t>
  </si>
  <si>
    <t>G15</t>
  </si>
  <si>
    <t>ฟิจิ</t>
  </si>
  <si>
    <t>OF FIJI</t>
  </si>
  <si>
    <t>GB</t>
  </si>
  <si>
    <t>United Kingdom</t>
  </si>
  <si>
    <t>ฟินแลนด์</t>
  </si>
  <si>
    <t>FINNISH</t>
  </si>
  <si>
    <t>GR</t>
  </si>
  <si>
    <t>G05</t>
  </si>
  <si>
    <t>ฝรั่งเศส</t>
  </si>
  <si>
    <t>FRENCH</t>
  </si>
  <si>
    <t>GL</t>
  </si>
  <si>
    <t>Greenland</t>
  </si>
  <si>
    <t>G06</t>
  </si>
  <si>
    <t>Suriname</t>
  </si>
  <si>
    <t>GD</t>
  </si>
  <si>
    <t>Grenada</t>
  </si>
  <si>
    <t>South Korea</t>
  </si>
  <si>
    <t>F06</t>
  </si>
  <si>
    <t>GP</t>
  </si>
  <si>
    <t>Guadeloupe/St Martin</t>
  </si>
  <si>
    <t>G07</t>
  </si>
  <si>
    <t>กาโบนีช</t>
  </si>
  <si>
    <t>GABONESE</t>
  </si>
  <si>
    <t>GU</t>
  </si>
  <si>
    <t>Guam</t>
  </si>
  <si>
    <t>G11</t>
  </si>
  <si>
    <t>แกมเบีย</t>
  </si>
  <si>
    <t>GAMBIAN</t>
  </si>
  <si>
    <t>GT</t>
  </si>
  <si>
    <t>Guatemala</t>
  </si>
  <si>
    <t>G08</t>
  </si>
  <si>
    <t>Trinidad and Tobago</t>
  </si>
  <si>
    <t>เยอรมัน</t>
  </si>
  <si>
    <t>GERMAN</t>
  </si>
  <si>
    <t>GN</t>
  </si>
  <si>
    <t>Guinea</t>
  </si>
  <si>
    <t>G09</t>
  </si>
  <si>
    <t>กานา</t>
  </si>
  <si>
    <t>GHANAIAN</t>
  </si>
  <si>
    <t>GW</t>
  </si>
  <si>
    <t>Guinea Bissau</t>
  </si>
  <si>
    <t>G13</t>
  </si>
  <si>
    <t>Taiwan (Chinese Taipei)</t>
  </si>
  <si>
    <t>กรีก</t>
  </si>
  <si>
    <t>GREEK</t>
  </si>
  <si>
    <t>GY</t>
  </si>
  <si>
    <t>Guyana</t>
  </si>
  <si>
    <t>G10</t>
  </si>
  <si>
    <t>กรีนแลนเดอร์</t>
  </si>
  <si>
    <t>GREENLANDER</t>
  </si>
  <si>
    <t>HT</t>
  </si>
  <si>
    <t>Haiti</t>
  </si>
  <si>
    <t>H01</t>
  </si>
  <si>
    <t>กัวเดอลูเปียน</t>
  </si>
  <si>
    <t>GUADELOUPEAN</t>
  </si>
  <si>
    <t>HM</t>
  </si>
  <si>
    <t>Heard and McDonald Islands</t>
  </si>
  <si>
    <t>H05</t>
  </si>
  <si>
    <t>กัวเตมาลา</t>
  </si>
  <si>
    <t>GUATEMALAN</t>
  </si>
  <si>
    <t>HN</t>
  </si>
  <si>
    <t>Honduras</t>
  </si>
  <si>
    <t>H02</t>
  </si>
  <si>
    <t>Czechia</t>
  </si>
  <si>
    <t>กิเนียน</t>
  </si>
  <si>
    <t>GUINEAN</t>
  </si>
  <si>
    <t>HK</t>
  </si>
  <si>
    <t>H04</t>
  </si>
  <si>
    <t>กายอานา</t>
  </si>
  <si>
    <t>GUYANESE</t>
  </si>
  <si>
    <t>HU</t>
  </si>
  <si>
    <t>H03</t>
  </si>
  <si>
    <t>กัวมาเนียน</t>
  </si>
  <si>
    <t>GUAMANIAN</t>
  </si>
  <si>
    <t>IS</t>
  </si>
  <si>
    <t>I01</t>
  </si>
  <si>
    <t>G12</t>
  </si>
  <si>
    <t>GRENADIAN</t>
  </si>
  <si>
    <t>IN</t>
  </si>
  <si>
    <t>I02</t>
  </si>
  <si>
    <t>Montenegro</t>
  </si>
  <si>
    <t>กีนีบิสเชา</t>
  </si>
  <si>
    <t>GUINEA-BISSAUAN</t>
  </si>
  <si>
    <t>ID</t>
  </si>
  <si>
    <t>I03</t>
  </si>
  <si>
    <t>Morocco</t>
  </si>
  <si>
    <t>จอร์เจียน</t>
  </si>
  <si>
    <t>GEORGIAN</t>
  </si>
  <si>
    <t>IR</t>
  </si>
  <si>
    <t>I04</t>
  </si>
  <si>
    <t>IQ</t>
  </si>
  <si>
    <t>Iraq</t>
  </si>
  <si>
    <t>I05</t>
  </si>
  <si>
    <t>Lebanon</t>
  </si>
  <si>
    <t>IE</t>
  </si>
  <si>
    <t>I06</t>
  </si>
  <si>
    <t>เฮติ</t>
  </si>
  <si>
    <t>HAITIAN</t>
  </si>
  <si>
    <t>IM</t>
  </si>
  <si>
    <t>Isle Of Man</t>
  </si>
  <si>
    <t>Bosnia and Herzegovina</t>
  </si>
  <si>
    <t>ฮอนดูรัส</t>
  </si>
  <si>
    <t>HONDURAN</t>
  </si>
  <si>
    <t>IL</t>
  </si>
  <si>
    <t>I07</t>
  </si>
  <si>
    <t>Tokelau</t>
  </si>
  <si>
    <t>ฮังการี</t>
  </si>
  <si>
    <t>HUNGARIAN</t>
  </si>
  <si>
    <t>IT</t>
  </si>
  <si>
    <t>I08</t>
  </si>
  <si>
    <t>JM</t>
  </si>
  <si>
    <t>Jamaica</t>
  </si>
  <si>
    <t>J01</t>
  </si>
  <si>
    <t>JP</t>
  </si>
  <si>
    <t>J02</t>
  </si>
  <si>
    <t>Malawi</t>
  </si>
  <si>
    <t>ไอซ์แลนด์</t>
  </si>
  <si>
    <t>ICELANDIC</t>
  </si>
  <si>
    <t>JO</t>
  </si>
  <si>
    <t>J03</t>
  </si>
  <si>
    <t>อินเดีย</t>
  </si>
  <si>
    <t>INDIAN</t>
  </si>
  <si>
    <t>KZ</t>
  </si>
  <si>
    <t>K06</t>
  </si>
  <si>
    <t>Venezuela</t>
  </si>
  <si>
    <t>อินโดนีเซีย</t>
  </si>
  <si>
    <t>INDONESIAN</t>
  </si>
  <si>
    <t>KE</t>
  </si>
  <si>
    <t>K01</t>
  </si>
  <si>
    <t>Mexico</t>
  </si>
  <si>
    <t>อิหร่าน</t>
  </si>
  <si>
    <t>IRANTAN</t>
  </si>
  <si>
    <t>KI</t>
  </si>
  <si>
    <t>Kiribati</t>
  </si>
  <si>
    <t>K04</t>
  </si>
  <si>
    <t>อิรัก</t>
  </si>
  <si>
    <t>IRAQI</t>
  </si>
  <si>
    <t>KR</t>
  </si>
  <si>
    <t>Korea, Republic Of</t>
  </si>
  <si>
    <t>K02</t>
  </si>
  <si>
    <t>Kyrgyzstan</t>
  </si>
  <si>
    <t>ไอริช</t>
  </si>
  <si>
    <t>IRISH</t>
  </si>
  <si>
    <t>KP</t>
  </si>
  <si>
    <t>Korea,Democratic People's Republic of</t>
  </si>
  <si>
    <t>K05</t>
  </si>
  <si>
    <t>Tunisia</t>
  </si>
  <si>
    <t>อิสราเอล</t>
  </si>
  <si>
    <t>sa</t>
  </si>
  <si>
    <t>XK</t>
  </si>
  <si>
    <t>Kosovo</t>
  </si>
  <si>
    <t>K08</t>
  </si>
  <si>
    <t>United Arab Emirates</t>
  </si>
  <si>
    <t>อิตาลี</t>
  </si>
  <si>
    <t>ITALIAN</t>
  </si>
  <si>
    <t>KW</t>
  </si>
  <si>
    <t>K03</t>
  </si>
  <si>
    <t>Laos</t>
  </si>
  <si>
    <t>I09</t>
  </si>
  <si>
    <t>ไอวอรีโคสต์</t>
  </si>
  <si>
    <t>IVORY COAST</t>
  </si>
  <si>
    <t>KG</t>
  </si>
  <si>
    <t>Kyrgzstan</t>
  </si>
  <si>
    <t>K07</t>
  </si>
  <si>
    <t>Peru</t>
  </si>
  <si>
    <t>I10</t>
  </si>
  <si>
    <t>LA</t>
  </si>
  <si>
    <t>L01</t>
  </si>
  <si>
    <t>JAMAICAN</t>
  </si>
  <si>
    <t>LV</t>
  </si>
  <si>
    <t>L08</t>
  </si>
  <si>
    <t>Yemen</t>
  </si>
  <si>
    <t>JAPANESE</t>
  </si>
  <si>
    <t>LB</t>
  </si>
  <si>
    <t>L02</t>
  </si>
  <si>
    <t>จอร์แดน</t>
  </si>
  <si>
    <t>JORDANIAN</t>
  </si>
  <si>
    <t>LS</t>
  </si>
  <si>
    <t>Lesotho</t>
  </si>
  <si>
    <t>L03</t>
  </si>
  <si>
    <t>เคนยา</t>
  </si>
  <si>
    <t>KENYAN</t>
  </si>
  <si>
    <t>LR</t>
  </si>
  <si>
    <t>Liberia</t>
  </si>
  <si>
    <t>L04</t>
  </si>
  <si>
    <t>เกาหลีใต้</t>
  </si>
  <si>
    <t>LY</t>
  </si>
  <si>
    <t>Libyan Arab Jamahiriya</t>
  </si>
  <si>
    <t>L05</t>
  </si>
  <si>
    <t>sau</t>
  </si>
  <si>
    <t>KUWAITI</t>
  </si>
  <si>
    <t>LI</t>
  </si>
  <si>
    <t>Liechtenstein</t>
  </si>
  <si>
    <t>L06</t>
  </si>
  <si>
    <t>คิริบาส</t>
  </si>
  <si>
    <t>OF KIRIBATIAN</t>
  </si>
  <si>
    <t>LT</t>
  </si>
  <si>
    <t>L09</t>
  </si>
  <si>
    <t>เกาหลีเหนือ</t>
  </si>
  <si>
    <t>LU</t>
  </si>
  <si>
    <t>L07</t>
  </si>
  <si>
    <t>คาซัค</t>
  </si>
  <si>
    <t>KAZAKH</t>
  </si>
  <si>
    <t>MO</t>
  </si>
  <si>
    <t>Macau</t>
  </si>
  <si>
    <t>M24</t>
  </si>
  <si>
    <t>คีร์กีซ</t>
  </si>
  <si>
    <t>KYRGYZ</t>
  </si>
  <si>
    <t>MK</t>
  </si>
  <si>
    <t>Macedonia</t>
  </si>
  <si>
    <t>MG</t>
  </si>
  <si>
    <t>Madagascar</t>
  </si>
  <si>
    <t>ลาว</t>
  </si>
  <si>
    <t>MW</t>
  </si>
  <si>
    <t>M02</t>
  </si>
  <si>
    <t>เลบานอน</t>
  </si>
  <si>
    <t>LEBANESE</t>
  </si>
  <si>
    <t>MY</t>
  </si>
  <si>
    <t>M03</t>
  </si>
  <si>
    <t>เลโซโท</t>
  </si>
  <si>
    <t>OF LESOTHON</t>
  </si>
  <si>
    <t>MV</t>
  </si>
  <si>
    <t>Maldives</t>
  </si>
  <si>
    <t>M16</t>
  </si>
  <si>
    <t>ไลบีเรีย</t>
  </si>
  <si>
    <t>LIBERIAN</t>
  </si>
  <si>
    <t>ML</t>
  </si>
  <si>
    <t>Mali</t>
  </si>
  <si>
    <t>M04</t>
  </si>
  <si>
    <t>ลิเบีย</t>
  </si>
  <si>
    <t>LIBYAN</t>
  </si>
  <si>
    <t>MT</t>
  </si>
  <si>
    <t>Malta</t>
  </si>
  <si>
    <t>M05</t>
  </si>
  <si>
    <t>ลิกเตนสไตน์</t>
  </si>
  <si>
    <t>LIECHTENSTEIN</t>
  </si>
  <si>
    <t>MH</t>
  </si>
  <si>
    <t>Marshall Islands</t>
  </si>
  <si>
    <t>M23</t>
  </si>
  <si>
    <t>ลักเซมเบิร์ก</t>
  </si>
  <si>
    <t>LUXEMBURGERG</t>
  </si>
  <si>
    <t>MQ</t>
  </si>
  <si>
    <t>Martinique</t>
  </si>
  <si>
    <t>M06</t>
  </si>
  <si>
    <t>ลัตเวีย</t>
  </si>
  <si>
    <t>LATVIAN</t>
  </si>
  <si>
    <t>MR</t>
  </si>
  <si>
    <t>M07</t>
  </si>
  <si>
    <t>ลิทัวเนีย</t>
  </si>
  <si>
    <t>LITHUANIAN</t>
  </si>
  <si>
    <t>MU</t>
  </si>
  <si>
    <t>Mauritius</t>
  </si>
  <si>
    <t>M17</t>
  </si>
  <si>
    <t>มาลาวี</t>
  </si>
  <si>
    <t>MALAWIAN</t>
  </si>
  <si>
    <t>YT</t>
  </si>
  <si>
    <t>Mayotte</t>
  </si>
  <si>
    <t>M27</t>
  </si>
  <si>
    <t>bri</t>
  </si>
  <si>
    <t>MX</t>
  </si>
  <si>
    <t>M08</t>
  </si>
  <si>
    <t>มาลี</t>
  </si>
  <si>
    <t>eng</t>
  </si>
  <si>
    <t>FM</t>
  </si>
  <si>
    <t>Micronesia, Federated States of</t>
  </si>
  <si>
    <t>M15</t>
  </si>
  <si>
    <t>มอลตา</t>
  </si>
  <si>
    <t>MALTESE</t>
  </si>
  <si>
    <t>MI</t>
  </si>
  <si>
    <t>Midway Islands</t>
  </si>
  <si>
    <t>มาร์ตินิก</t>
  </si>
  <si>
    <t>MD</t>
  </si>
  <si>
    <t>M21</t>
  </si>
  <si>
    <t>มอริเตเนีย</t>
  </si>
  <si>
    <t>MAURITANIAN</t>
  </si>
  <si>
    <t>MC</t>
  </si>
  <si>
    <t>M10</t>
  </si>
  <si>
    <t>เม็กซิโก</t>
  </si>
  <si>
    <t>MAXICAN</t>
  </si>
  <si>
    <t>MN</t>
  </si>
  <si>
    <t>M11</t>
  </si>
  <si>
    <t>โมนาโก</t>
  </si>
  <si>
    <t>MONEGASQUE</t>
  </si>
  <si>
    <t>ME</t>
  </si>
  <si>
    <t>M25</t>
  </si>
  <si>
    <t>MS</t>
  </si>
  <si>
    <t>Montserrat</t>
  </si>
  <si>
    <t>M26</t>
  </si>
  <si>
    <t>M12</t>
  </si>
  <si>
    <t>โมร็อกโก</t>
  </si>
  <si>
    <t>MOROCCAN</t>
  </si>
  <si>
    <t>MA</t>
  </si>
  <si>
    <t>M13</t>
  </si>
  <si>
    <t>โมซัมบิก</t>
  </si>
  <si>
    <t>MOZAMBICAN</t>
  </si>
  <si>
    <t>MZ</t>
  </si>
  <si>
    <t>Mozambique</t>
  </si>
  <si>
    <t>ไมโครนีเซีย</t>
  </si>
  <si>
    <t>OF THE FEDERATED STATES OF MICRONESIA</t>
  </si>
  <si>
    <t>MM</t>
  </si>
  <si>
    <t>มัลดีฟ</t>
  </si>
  <si>
    <t>MALDIVIAN</t>
  </si>
  <si>
    <t>NA</t>
  </si>
  <si>
    <t>Namibia</t>
  </si>
  <si>
    <t>N09</t>
  </si>
  <si>
    <t>MAURITIAN</t>
  </si>
  <si>
    <t>NR</t>
  </si>
  <si>
    <t>N08</t>
  </si>
  <si>
    <t>M18</t>
  </si>
  <si>
    <t>มาเรียนัน</t>
  </si>
  <si>
    <t>MARIANAN</t>
  </si>
  <si>
    <t>NP</t>
  </si>
  <si>
    <t>Nepal</t>
  </si>
  <si>
    <t>N01</t>
  </si>
  <si>
    <t>M19</t>
  </si>
  <si>
    <t>มาลากาซี</t>
  </si>
  <si>
    <t>MALAGASY</t>
  </si>
  <si>
    <t>NL</t>
  </si>
  <si>
    <t>M20</t>
  </si>
  <si>
    <t>มาซิโดเนีย</t>
  </si>
  <si>
    <t>OF THE FORMER YUGOSLAV REPUBLIC OF MACEDONIA</t>
  </si>
  <si>
    <t>AN</t>
  </si>
  <si>
    <t>Netherlands Antilles</t>
  </si>
  <si>
    <t>มอลโดวา</t>
  </si>
  <si>
    <t>MOLDOVAN</t>
  </si>
  <si>
    <t>NC</t>
  </si>
  <si>
    <t>New Caledonia</t>
  </si>
  <si>
    <t>N10</t>
  </si>
  <si>
    <t>M22</t>
  </si>
  <si>
    <t>เติร์กเมน</t>
  </si>
  <si>
    <t>TURKMEN</t>
  </si>
  <si>
    <t>NZ</t>
  </si>
  <si>
    <t>N03</t>
  </si>
  <si>
    <t>หมู่เกาะมาร์แชลล์</t>
  </si>
  <si>
    <t>MARSHALL ISLANDS</t>
  </si>
  <si>
    <t>NI</t>
  </si>
  <si>
    <t>Nicaragua</t>
  </si>
  <si>
    <t>N04</t>
  </si>
  <si>
    <t>NE</t>
  </si>
  <si>
    <t>Niger</t>
  </si>
  <si>
    <t>N05</t>
  </si>
  <si>
    <t>NG</t>
  </si>
  <si>
    <t>Nigeria</t>
  </si>
  <si>
    <t>N06</t>
  </si>
  <si>
    <t>NU</t>
  </si>
  <si>
    <t>Niue</t>
  </si>
  <si>
    <t>N12</t>
  </si>
  <si>
    <t>NF</t>
  </si>
  <si>
    <t>Norfolk Island</t>
  </si>
  <si>
    <t>N11</t>
  </si>
  <si>
    <t>เนปาล</t>
  </si>
  <si>
    <t>NEPALESE</t>
  </si>
  <si>
    <t>MP</t>
  </si>
  <si>
    <t>Northern Mariana Islands</t>
  </si>
  <si>
    <t>NO</t>
  </si>
  <si>
    <t>N07</t>
  </si>
  <si>
    <t>นิวซีแลนเดอร์</t>
  </si>
  <si>
    <t>OF NEW ZEALANDER</t>
  </si>
  <si>
    <t>OM</t>
  </si>
  <si>
    <t>Oman</t>
  </si>
  <si>
    <t>O01</t>
  </si>
  <si>
    <t>นิการากัว</t>
  </si>
  <si>
    <t>NICARAGUAN</t>
  </si>
  <si>
    <t>PK</t>
  </si>
  <si>
    <t>P01</t>
  </si>
  <si>
    <t>ไนเจอร์</t>
  </si>
  <si>
    <t>OF THE NIGER</t>
  </si>
  <si>
    <t>PW</t>
  </si>
  <si>
    <t>Palau</t>
  </si>
  <si>
    <t>P12</t>
  </si>
  <si>
    <t>ไนจีเรียน</t>
  </si>
  <si>
    <t>NIGERIAN</t>
  </si>
  <si>
    <t>PS</t>
  </si>
  <si>
    <t>Palestine</t>
  </si>
  <si>
    <t>P02</t>
  </si>
  <si>
    <t>นอร์เวย์</t>
  </si>
  <si>
    <t>NORWEGIAN</t>
  </si>
  <si>
    <t>PA</t>
  </si>
  <si>
    <t>P03</t>
  </si>
  <si>
    <t>นาอูรู</t>
  </si>
  <si>
    <t>NAURUAN</t>
  </si>
  <si>
    <t>PG</t>
  </si>
  <si>
    <t>Papua New Guinea</t>
  </si>
  <si>
    <t>P04</t>
  </si>
  <si>
    <t>นามิเบีย</t>
  </si>
  <si>
    <t>NAMIBIAN</t>
  </si>
  <si>
    <t>PY</t>
  </si>
  <si>
    <t>Paraguay</t>
  </si>
  <si>
    <t>P05</t>
  </si>
  <si>
    <t>นิวคาลิโตเนียน</t>
  </si>
  <si>
    <t>NEWCALEDONIAN</t>
  </si>
  <si>
    <t>PE</t>
  </si>
  <si>
    <t>P06</t>
  </si>
  <si>
    <t>PH</t>
  </si>
  <si>
    <t>P07</t>
  </si>
  <si>
    <t>PN</t>
  </si>
  <si>
    <t>Pitcairn</t>
  </si>
  <si>
    <t>P13</t>
  </si>
  <si>
    <t>โอมาน</t>
  </si>
  <si>
    <t>OMANI</t>
  </si>
  <si>
    <t>PL</t>
  </si>
  <si>
    <t>P08</t>
  </si>
  <si>
    <t>ปากีสถาน</t>
  </si>
  <si>
    <t>OF PAKISTAN</t>
  </si>
  <si>
    <t>PT</t>
  </si>
  <si>
    <t>P09</t>
  </si>
  <si>
    <t>ปาเลสไตน์เนียน</t>
  </si>
  <si>
    <t>PALESTINIAN</t>
  </si>
  <si>
    <t>PR</t>
  </si>
  <si>
    <t>P11</t>
  </si>
  <si>
    <t>ปานามา</t>
  </si>
  <si>
    <t>PANAMANIAN</t>
  </si>
  <si>
    <t>QA</t>
  </si>
  <si>
    <t>Qatar</t>
  </si>
  <si>
    <t>Q01</t>
  </si>
  <si>
    <t>OF PAPUA NEW GUINEA</t>
  </si>
  <si>
    <t>RE</t>
  </si>
  <si>
    <t>Reunion</t>
  </si>
  <si>
    <t>R01</t>
  </si>
  <si>
    <t>ปารากวัย</t>
  </si>
  <si>
    <t>PARAGUAYAN</t>
  </si>
  <si>
    <t>RO</t>
  </si>
  <si>
    <t>R03</t>
  </si>
  <si>
    <t>เปรู</t>
  </si>
  <si>
    <t>PERUVIAN</t>
  </si>
  <si>
    <t>RU</t>
  </si>
  <si>
    <t>R04</t>
  </si>
  <si>
    <t>ฟิลิปปิน</t>
  </si>
  <si>
    <t>PHILIPPINE</t>
  </si>
  <si>
    <t>RW</t>
  </si>
  <si>
    <t>Rwanda</t>
  </si>
  <si>
    <t>R05</t>
  </si>
  <si>
    <t>โปแลนด์</t>
  </si>
  <si>
    <t>POLISH</t>
  </si>
  <si>
    <t>SH</t>
  </si>
  <si>
    <t>Saint Helena</t>
  </si>
  <si>
    <t>S32</t>
  </si>
  <si>
    <t>โปรตุเกส</t>
  </si>
  <si>
    <t>PORTUGUESE</t>
  </si>
  <si>
    <t>KN</t>
  </si>
  <si>
    <t>Saint Kitts and Nevis</t>
  </si>
  <si>
    <t>LC</t>
  </si>
  <si>
    <t>Saint Lucia</t>
  </si>
  <si>
    <t>S26</t>
  </si>
  <si>
    <t>เปอร์โตริกัน</t>
  </si>
  <si>
    <t>PUERTO RICAN</t>
  </si>
  <si>
    <t>PM</t>
  </si>
  <si>
    <t>Saint Pierre And Miquelon</t>
  </si>
  <si>
    <t>S34</t>
  </si>
  <si>
    <t>ปาเลา</t>
  </si>
  <si>
    <t>OF PALAU</t>
  </si>
  <si>
    <t>VC</t>
  </si>
  <si>
    <t>Saint Vincent And The Grenadines</t>
  </si>
  <si>
    <t>S28</t>
  </si>
  <si>
    <t>WS</t>
  </si>
  <si>
    <t>Samoa</t>
  </si>
  <si>
    <t>S22</t>
  </si>
  <si>
    <t>SM</t>
  </si>
  <si>
    <t>San Marino</t>
  </si>
  <si>
    <t>S24</t>
  </si>
  <si>
    <t>กาตาร์</t>
  </si>
  <si>
    <t>QATAR</t>
  </si>
  <si>
    <t>ST</t>
  </si>
  <si>
    <t>Sao Tome and Principe</t>
  </si>
  <si>
    <t>S05</t>
  </si>
  <si>
    <t>REUNION ISLANDER</t>
  </si>
  <si>
    <t>SA</t>
  </si>
  <si>
    <t>S04</t>
  </si>
  <si>
    <t>ROMANIAN</t>
  </si>
  <si>
    <t>SN</t>
  </si>
  <si>
    <t>Senegal</t>
  </si>
  <si>
    <t>S07</t>
  </si>
  <si>
    <t>รัสเซีย</t>
  </si>
  <si>
    <t>OF THE RUSSIAN FEDERATION</t>
  </si>
  <si>
    <t>RS</t>
  </si>
  <si>
    <t>รวันดา</t>
  </si>
  <si>
    <t>RWANDAN</t>
  </si>
  <si>
    <t>SC</t>
  </si>
  <si>
    <t>Seychelles</t>
  </si>
  <si>
    <t>S23</t>
  </si>
  <si>
    <t>S01</t>
  </si>
  <si>
    <t>SL</t>
  </si>
  <si>
    <t>Sierra Leone</t>
  </si>
  <si>
    <t>S09</t>
  </si>
  <si>
    <t>ซาอุดีอาระเบีย</t>
  </si>
  <si>
    <t>SAUDI ARABIAN</t>
  </si>
  <si>
    <t>SG</t>
  </si>
  <si>
    <t>S10</t>
  </si>
  <si>
    <t>เซาโตเมและปรินซิเป</t>
  </si>
  <si>
    <t>SAO TOME/PRINCIPE</t>
  </si>
  <si>
    <t>SX</t>
  </si>
  <si>
    <t>Sint Maarten</t>
  </si>
  <si>
    <t>S06</t>
  </si>
  <si>
    <t>สก็อตติช</t>
  </si>
  <si>
    <t>SCOTTISH</t>
  </si>
  <si>
    <t>SK</t>
  </si>
  <si>
    <t>S30</t>
  </si>
  <si>
    <t>เซเนกัล</t>
  </si>
  <si>
    <t>SENEGALESE</t>
  </si>
  <si>
    <t>SI</t>
  </si>
  <si>
    <t>S29</t>
  </si>
  <si>
    <t>เชียร์ราลีโอน</t>
  </si>
  <si>
    <t>SIERRA LEONEAN</t>
  </si>
  <si>
    <t>SB</t>
  </si>
  <si>
    <t>Solomon Islands</t>
  </si>
  <si>
    <t>สิงคโปร์</t>
  </si>
  <si>
    <t>SINGAPOREAN</t>
  </si>
  <si>
    <t>SO</t>
  </si>
  <si>
    <t>Somalia</t>
  </si>
  <si>
    <t>S11</t>
  </si>
  <si>
    <t>โซมาลี</t>
  </si>
  <si>
    <t>SOMALI</t>
  </si>
  <si>
    <t>ZA</t>
  </si>
  <si>
    <t>S12</t>
  </si>
  <si>
    <t>แอฟริกันใต้</t>
  </si>
  <si>
    <t>SOUTH AFRICAN</t>
  </si>
  <si>
    <t>GS</t>
  </si>
  <si>
    <t>South Georgia and the South Sandwich Islands</t>
  </si>
  <si>
    <t>S31</t>
  </si>
  <si>
    <t>S13</t>
  </si>
  <si>
    <t>สแปน</t>
  </si>
  <si>
    <t>SPANISH</t>
  </si>
  <si>
    <t>SS</t>
  </si>
  <si>
    <t>South Sudan</t>
  </si>
  <si>
    <t>ES</t>
  </si>
  <si>
    <t>S15</t>
  </si>
  <si>
    <t>ซูดาน</t>
  </si>
  <si>
    <t>SUDANESE</t>
  </si>
  <si>
    <t>LK</t>
  </si>
  <si>
    <t>S16</t>
  </si>
  <si>
    <t>สุรินัม</t>
  </si>
  <si>
    <t>SURINAM</t>
  </si>
  <si>
    <t>SD</t>
  </si>
  <si>
    <t>Sudan</t>
  </si>
  <si>
    <t>S17</t>
  </si>
  <si>
    <t>สวาซี</t>
  </si>
  <si>
    <t>SWAZI</t>
  </si>
  <si>
    <t>SR</t>
  </si>
  <si>
    <t>S18</t>
  </si>
  <si>
    <t>สวีเดน</t>
  </si>
  <si>
    <t>SWEDISH</t>
  </si>
  <si>
    <t>SJ</t>
  </si>
  <si>
    <t>Svalbard and Jan Mayen Islands</t>
  </si>
  <si>
    <t>S33</t>
  </si>
  <si>
    <t>S19</t>
  </si>
  <si>
    <t>สวิส</t>
  </si>
  <si>
    <t>SWISS</t>
  </si>
  <si>
    <t>SZ</t>
  </si>
  <si>
    <t>Swaziland</t>
  </si>
  <si>
    <t>S20</t>
  </si>
  <si>
    <t>ซีเรีย</t>
  </si>
  <si>
    <t>arab</t>
  </si>
  <si>
    <t>SE</t>
  </si>
  <si>
    <t>S21</t>
  </si>
  <si>
    <t>CH</t>
  </si>
  <si>
    <t>ซามวน</t>
  </si>
  <si>
    <t>SAMOAN</t>
  </si>
  <si>
    <t>SY</t>
  </si>
  <si>
    <t>Syria</t>
  </si>
  <si>
    <t>เซเชลส์</t>
  </si>
  <si>
    <t>OF SEYCHELLOIS</t>
  </si>
  <si>
    <t>TW</t>
  </si>
  <si>
    <t>T01</t>
  </si>
  <si>
    <t>ซานมารีนาน</t>
  </si>
  <si>
    <t>OF SAN MARINO</t>
  </si>
  <si>
    <t>TJ</t>
  </si>
  <si>
    <t>Tajikistan</t>
  </si>
  <si>
    <t>T12</t>
  </si>
  <si>
    <t>SAINT LUCIAN</t>
  </si>
  <si>
    <t>TZ</t>
  </si>
  <si>
    <t>T02</t>
  </si>
  <si>
    <t>S27</t>
  </si>
  <si>
    <t>เซนต์คริสโตเฟอรัน</t>
  </si>
  <si>
    <t>ST.CHRISTOPHERAN</t>
  </si>
  <si>
    <t>TH</t>
  </si>
  <si>
    <t>T03</t>
  </si>
  <si>
    <t>OF SAINT VINCENT AND THE GRENADINES</t>
  </si>
  <si>
    <t>TL</t>
  </si>
  <si>
    <t>Timor-Leste</t>
  </si>
  <si>
    <t>สโลวีน</t>
  </si>
  <si>
    <t>SLOVENE</t>
  </si>
  <si>
    <t>TG</t>
  </si>
  <si>
    <t>Togo</t>
  </si>
  <si>
    <t>T04</t>
  </si>
  <si>
    <t>สโลวัก</t>
  </si>
  <si>
    <t>SLOVAK</t>
  </si>
  <si>
    <t>TK</t>
  </si>
  <si>
    <t>T14</t>
  </si>
  <si>
    <t>TO</t>
  </si>
  <si>
    <t>Tonga</t>
  </si>
  <si>
    <t>T09</t>
  </si>
  <si>
    <t>TT</t>
  </si>
  <si>
    <t>Trinidad And Tobago</t>
  </si>
  <si>
    <t>T05</t>
  </si>
  <si>
    <t>TN</t>
  </si>
  <si>
    <t>T07</t>
  </si>
  <si>
    <t>TR</t>
  </si>
  <si>
    <t>T08</t>
  </si>
  <si>
    <t>S35</t>
  </si>
  <si>
    <t>TM</t>
  </si>
  <si>
    <t>Turkmenistan</t>
  </si>
  <si>
    <t>TAIWANESE</t>
  </si>
  <si>
    <t>TX</t>
  </si>
  <si>
    <t>Turks and Caicos Islands</t>
  </si>
  <si>
    <t>T13</t>
  </si>
  <si>
    <t>แทนซาเนีย</t>
  </si>
  <si>
    <t>TANZANIAN</t>
  </si>
  <si>
    <t>TV</t>
  </si>
  <si>
    <t>Tuvalu</t>
  </si>
  <si>
    <t>T11</t>
  </si>
  <si>
    <t>ไทย</t>
  </si>
  <si>
    <t>THAI</t>
  </si>
  <si>
    <t>UG</t>
  </si>
  <si>
    <t>Uganda</t>
  </si>
  <si>
    <t>U01</t>
  </si>
  <si>
    <t>โตโก</t>
  </si>
  <si>
    <t>TOGOLESE</t>
  </si>
  <si>
    <t>UA</t>
  </si>
  <si>
    <t>U06</t>
  </si>
  <si>
    <t>ตรินิแดดและโตเบโก</t>
  </si>
  <si>
    <t>OF TRINIDAD AND TOBAGO</t>
  </si>
  <si>
    <t>AE</t>
  </si>
  <si>
    <t>U04</t>
  </si>
  <si>
    <t>ตูนิเซีย</t>
  </si>
  <si>
    <t>TUNISIAN</t>
  </si>
  <si>
    <t>US</t>
  </si>
  <si>
    <t>ตุรกี</t>
  </si>
  <si>
    <t>TURKISH</t>
  </si>
  <si>
    <t>UM</t>
  </si>
  <si>
    <t>United States Minor Outlying Islands</t>
  </si>
  <si>
    <t>U09</t>
  </si>
  <si>
    <t>ตองกา</t>
  </si>
  <si>
    <t>TONGAN</t>
  </si>
  <si>
    <t>UY</t>
  </si>
  <si>
    <t>Uruguay</t>
  </si>
  <si>
    <t>U03</t>
  </si>
  <si>
    <t>ทรัสต์แปซิฟิก</t>
  </si>
  <si>
    <t>UZ</t>
  </si>
  <si>
    <t>U07</t>
  </si>
  <si>
    <t>ตูวาลูน</t>
  </si>
  <si>
    <t>TUVALUAN</t>
  </si>
  <si>
    <t>VU</t>
  </si>
  <si>
    <t>Vanuatu</t>
  </si>
  <si>
    <t>V04</t>
  </si>
  <si>
    <t>ทาจิก</t>
  </si>
  <si>
    <t>TAJIK</t>
  </si>
  <si>
    <t>VA</t>
  </si>
  <si>
    <t>Vatican City State</t>
  </si>
  <si>
    <t>V01</t>
  </si>
  <si>
    <t>VE</t>
  </si>
  <si>
    <t>V02</t>
  </si>
  <si>
    <t>VN</t>
  </si>
  <si>
    <t>V03</t>
  </si>
  <si>
    <t>ยูกันดา</t>
  </si>
  <si>
    <t>UGANDAN</t>
  </si>
  <si>
    <t>VG</t>
  </si>
  <si>
    <t>Virgin Islands, British</t>
  </si>
  <si>
    <t>V07</t>
  </si>
  <si>
    <t>URUGUAYAN</t>
  </si>
  <si>
    <t>VI</t>
  </si>
  <si>
    <t>Virgin Islands, US</t>
  </si>
  <si>
    <t>V06</t>
  </si>
  <si>
    <t>OF THE UNITED ARAB EMIRATES</t>
  </si>
  <si>
    <t>WF</t>
  </si>
  <si>
    <t>Wallis and Futuna Islands</t>
  </si>
  <si>
    <t>W01</t>
  </si>
  <si>
    <t>U05</t>
  </si>
  <si>
    <t>UNKOWN</t>
  </si>
  <si>
    <t>EH</t>
  </si>
  <si>
    <t>Western Sahara</t>
  </si>
  <si>
    <t>ยูเครนเนียน</t>
  </si>
  <si>
    <t>UKRANIAN</t>
  </si>
  <si>
    <t>YE</t>
  </si>
  <si>
    <t>Y01</t>
  </si>
  <si>
    <t>อุซเบก</t>
  </si>
  <si>
    <t>UZBEK</t>
  </si>
  <si>
    <t>RQ</t>
  </si>
  <si>
    <t>ZZ***DO NOT USE***</t>
  </si>
  <si>
    <t>U08</t>
  </si>
  <si>
    <t>ZR</t>
  </si>
  <si>
    <t>Zaire</t>
  </si>
  <si>
    <t>ZM</t>
  </si>
  <si>
    <t>Z01</t>
  </si>
  <si>
    <t>U10</t>
  </si>
  <si>
    <t>ZW</t>
  </si>
  <si>
    <t>Zimbabwe</t>
  </si>
  <si>
    <t>Z03</t>
  </si>
  <si>
    <t>U11</t>
  </si>
  <si>
    <t>วาติกัน</t>
  </si>
  <si>
    <t>OF THE HOLY SEE</t>
  </si>
  <si>
    <t>เวเนซุเอลา</t>
  </si>
  <si>
    <t>VENEZUELAN</t>
  </si>
  <si>
    <t>เวียดนาม</t>
  </si>
  <si>
    <t>VIETNAMCSE</t>
  </si>
  <si>
    <t>วานูอาทูน</t>
  </si>
  <si>
    <t>OF VANUATU</t>
  </si>
  <si>
    <t>เวอร์จิน</t>
  </si>
  <si>
    <t>VIRGIN ISLANDER</t>
  </si>
  <si>
    <t>VIRGIN ISLANDS (BRITISH)</t>
  </si>
  <si>
    <t>X01</t>
  </si>
  <si>
    <t>X02</t>
  </si>
  <si>
    <t>เยเมน</t>
  </si>
  <si>
    <t>YEMENI</t>
  </si>
  <si>
    <t>Y02</t>
  </si>
  <si>
    <t>ยูโกสลาฟ</t>
  </si>
  <si>
    <t>YOGOSLAV</t>
  </si>
  <si>
    <t>NORTH YEMENI</t>
  </si>
  <si>
    <t>แซมเบีย</t>
  </si>
  <si>
    <t>ZAMBIAN</t>
  </si>
  <si>
    <t>Z02</t>
  </si>
  <si>
    <t>ซิมบับเว</t>
  </si>
  <si>
    <t>ZIMBABWEAN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</si>
</sst>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809]mm/dd/yyyy;@"/>
    <numFmt numFmtId="165" formatCode="dd/mm/yyyy;@"/>
  </numFmts>
  <fonts count="13">
    <font>
      <sz val="11"/>
      <color theme="1"/>
      <name val="Aptos Narrow"/>
      <family val="2"/>
      <scheme val="minor"/>
    </font>
    <font>
      <sz val="14"/>
      <name val="Cordia New"/>
      <family val="2"/>
    </font>
    <font>
      <b/>
      <sz val="10"/>
      <name val="Arial"/>
      <family val="2"/>
    </font>
    <font>
      <sz val="11"/>
      <color theme="1"/>
      <name val="Aptos Narrow"/>
      <family val="2"/>
      <charset val="222"/>
      <scheme val="minor"/>
    </font>
    <font>
      <b/>
      <sz val="10"/>
      <color indexed="10"/>
      <name val="Arial"/>
      <family val="2"/>
    </font>
    <font>
      <u/>
      <sz val="11"/>
      <color rgb="FFFF000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sz val="11"/>
      <color indexed="10"/>
      <name val="Calibri"/>
      <family val="2"/>
    </font>
    <font>
      <sz val="11"/>
      <color indexed="10"/>
      <name val="Calibri"/>
      <family val="2"/>
      <charset val="222"/>
    </font>
    <font>
      <b/>
      <sz val="14"/>
      <name val="Cordia New"/>
      <family val="2"/>
    </font>
    <font>
      <b/>
      <i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2"/>
    <xf numFmtId="0" fontId="3" fillId="0" borderId="1" xfId="2" applyBorder="1"/>
    <xf numFmtId="49" fontId="3" fillId="0" borderId="0" xfId="2" applyNumberFormat="1" applyAlignment="1">
      <alignment horizontal="center"/>
    </xf>
    <xf numFmtId="49" fontId="2" fillId="2" borderId="1" xfId="1" quotePrefix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3" fillId="0" borderId="0" xfId="2" applyNumberFormat="1"/>
    <xf numFmtId="49" fontId="5" fillId="0" borderId="0" xfId="2" applyNumberFormat="1" applyFont="1"/>
    <xf numFmtId="49" fontId="6" fillId="0" borderId="0" xfId="2" applyNumberFormat="1" applyFont="1"/>
    <xf numFmtId="0" fontId="9" fillId="2" borderId="1" xfId="1" applyFont="1" applyFill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0" fillId="0" borderId="0" xfId="2" applyFont="1" applyAlignment="1">
      <alignment horizontal="left"/>
    </xf>
    <xf numFmtId="164" fontId="3" fillId="0" borderId="0" xfId="2" applyNumberFormat="1"/>
    <xf numFmtId="0" fontId="2" fillId="0" borderId="1" xfId="1" applyFont="1" applyBorder="1" applyAlignment="1">
      <alignment horizontal="center" vertical="center" wrapText="1"/>
    </xf>
    <xf numFmtId="0" fontId="11" fillId="0" borderId="1" xfId="2" applyFont="1" applyBorder="1"/>
    <xf numFmtId="165" fontId="3" fillId="0" borderId="0" xfId="2" applyNumberFormat="1"/>
    <xf numFmtId="0" fontId="3" fillId="0" borderId="1" xfId="2" applyBorder="1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/>
    <xf numFmtId="0" fontId="12" fillId="0" borderId="1" xfId="2" applyFont="1" applyBorder="1"/>
  </cellXfs>
  <cellStyles count="3">
    <cellStyle name="Normal" xfId="0" builtinId="0"/>
    <cellStyle name="Normal 2" xfId="2" xr:uid="{6A90959B-8BD2-4F6E-83B1-AF477A668BFD}"/>
    <cellStyle name="Normal 3" xfId="1" xr:uid="{79D3B20B-3063-40E9-973B-5476EEE52FC7}"/>
  </cellStyles>
  <dxfs count="20"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gt_VKHL\TM,%20RR4\DRAFT_TM.xlsm" TargetMode="External"/><Relationship Id="rId1" Type="http://schemas.openxmlformats.org/officeDocument/2006/relationships/externalLinkPath" Target="DRAFT_T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M"/>
      <sheetName val="D1"/>
      <sheetName val="COP"/>
      <sheetName val="Nationality"/>
      <sheetName val="Country"/>
      <sheetName val="ASSETs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C2" t="str">
            <v>Afghanistan</v>
          </cell>
          <cell r="E2" t="str">
            <v>AF</v>
          </cell>
        </row>
        <row r="3">
          <cell r="C3" t="str">
            <v>Albania</v>
          </cell>
          <cell r="E3" t="str">
            <v>AL</v>
          </cell>
        </row>
        <row r="4">
          <cell r="C4" t="str">
            <v>Algeria</v>
          </cell>
          <cell r="E4" t="str">
            <v>DZ</v>
          </cell>
        </row>
        <row r="5">
          <cell r="C5" t="str">
            <v>American Samoa</v>
          </cell>
          <cell r="E5" t="str">
            <v>AS</v>
          </cell>
        </row>
        <row r="6">
          <cell r="C6" t="str">
            <v>Andorra</v>
          </cell>
          <cell r="E6" t="str">
            <v>AD</v>
          </cell>
        </row>
        <row r="7">
          <cell r="C7" t="str">
            <v>Angola</v>
          </cell>
          <cell r="E7" t="str">
            <v>AO</v>
          </cell>
        </row>
        <row r="8">
          <cell r="C8" t="str">
            <v>Anguilla/St Kitts</v>
          </cell>
          <cell r="E8" t="str">
            <v>AI</v>
          </cell>
        </row>
        <row r="9">
          <cell r="C9" t="str">
            <v>Antarctica</v>
          </cell>
          <cell r="E9" t="str">
            <v>AQ</v>
          </cell>
        </row>
        <row r="10">
          <cell r="C10" t="str">
            <v>Antigua and Barbuda</v>
          </cell>
          <cell r="E10" t="str">
            <v>AG</v>
          </cell>
        </row>
        <row r="11">
          <cell r="C11" t="str">
            <v>Argentina</v>
          </cell>
          <cell r="E11" t="str">
            <v>AR</v>
          </cell>
        </row>
        <row r="12">
          <cell r="C12" t="str">
            <v>Armenia</v>
          </cell>
          <cell r="E12" t="str">
            <v>AM</v>
          </cell>
        </row>
        <row r="13">
          <cell r="C13" t="str">
            <v>Aruba</v>
          </cell>
          <cell r="E13" t="str">
            <v>AW</v>
          </cell>
        </row>
        <row r="14">
          <cell r="C14" t="str">
            <v>Australia</v>
          </cell>
          <cell r="E14" t="str">
            <v>AU</v>
          </cell>
        </row>
        <row r="15">
          <cell r="C15" t="str">
            <v>Austria</v>
          </cell>
          <cell r="E15" t="str">
            <v>AT</v>
          </cell>
        </row>
        <row r="16">
          <cell r="C16" t="str">
            <v>Azerbaijan</v>
          </cell>
          <cell r="E16" t="str">
            <v>AZ</v>
          </cell>
        </row>
        <row r="17">
          <cell r="C17" t="str">
            <v>Bahamas</v>
          </cell>
          <cell r="E17" t="str">
            <v>BS</v>
          </cell>
        </row>
        <row r="18">
          <cell r="C18" t="str">
            <v>Bahrain</v>
          </cell>
          <cell r="E18" t="str">
            <v>BH</v>
          </cell>
        </row>
        <row r="19">
          <cell r="C19" t="str">
            <v>Bangladesh</v>
          </cell>
          <cell r="E19" t="str">
            <v>BD</v>
          </cell>
        </row>
        <row r="20">
          <cell r="C20" t="str">
            <v>Barbados</v>
          </cell>
          <cell r="E20" t="str">
            <v>BB</v>
          </cell>
        </row>
        <row r="21">
          <cell r="C21" t="str">
            <v>Belarus</v>
          </cell>
          <cell r="E21" t="str">
            <v>BY</v>
          </cell>
        </row>
        <row r="22">
          <cell r="C22" t="str">
            <v>Belgium</v>
          </cell>
          <cell r="E22" t="str">
            <v>BE</v>
          </cell>
        </row>
        <row r="23">
          <cell r="C23" t="str">
            <v>Belize</v>
          </cell>
          <cell r="E23" t="str">
            <v>BZ</v>
          </cell>
        </row>
        <row r="24">
          <cell r="C24" t="str">
            <v>Benin</v>
          </cell>
          <cell r="E24" t="str">
            <v>BJ</v>
          </cell>
        </row>
        <row r="25">
          <cell r="C25" t="str">
            <v>Bermuda</v>
          </cell>
          <cell r="E25" t="str">
            <v>BM</v>
          </cell>
        </row>
        <row r="26">
          <cell r="C26" t="str">
            <v>Bhutan</v>
          </cell>
          <cell r="E26" t="str">
            <v>BT</v>
          </cell>
        </row>
        <row r="27">
          <cell r="C27" t="str">
            <v>Bolivia</v>
          </cell>
          <cell r="E27" t="str">
            <v>BO</v>
          </cell>
        </row>
        <row r="28">
          <cell r="C28" t="str">
            <v>Bonaire, Saba, St Eustatius</v>
          </cell>
          <cell r="E28" t="str">
            <v>BQ</v>
          </cell>
        </row>
        <row r="29">
          <cell r="C29" t="str">
            <v>Bosnia Herzegovina</v>
          </cell>
          <cell r="E29" t="str">
            <v>BA</v>
          </cell>
        </row>
        <row r="30">
          <cell r="C30" t="str">
            <v>Botswana</v>
          </cell>
          <cell r="E30" t="str">
            <v>BW</v>
          </cell>
        </row>
        <row r="31">
          <cell r="C31" t="str">
            <v>Bouvet Island</v>
          </cell>
          <cell r="E31" t="str">
            <v>BV</v>
          </cell>
        </row>
        <row r="32">
          <cell r="C32" t="str">
            <v>Brazil</v>
          </cell>
          <cell r="E32" t="str">
            <v>BR</v>
          </cell>
        </row>
        <row r="33">
          <cell r="C33" t="str">
            <v>British Indian Ocean Territory</v>
          </cell>
          <cell r="E33" t="str">
            <v>IO</v>
          </cell>
        </row>
        <row r="34">
          <cell r="C34" t="str">
            <v>Brunei Darussalam</v>
          </cell>
          <cell r="E34" t="str">
            <v>BN</v>
          </cell>
        </row>
        <row r="35">
          <cell r="C35" t="str">
            <v>Bulgaria</v>
          </cell>
          <cell r="E35" t="str">
            <v>BG</v>
          </cell>
        </row>
        <row r="36">
          <cell r="C36" t="str">
            <v>Burkina Fasa</v>
          </cell>
          <cell r="E36" t="str">
            <v>BF</v>
          </cell>
        </row>
        <row r="37">
          <cell r="C37" t="str">
            <v>Burundi</v>
          </cell>
          <cell r="E37" t="str">
            <v>BI</v>
          </cell>
        </row>
        <row r="38">
          <cell r="C38" t="str">
            <v>Cambodia</v>
          </cell>
          <cell r="E38" t="str">
            <v>KH</v>
          </cell>
        </row>
        <row r="39">
          <cell r="C39" t="str">
            <v>Cameroon</v>
          </cell>
          <cell r="E39" t="str">
            <v>CM</v>
          </cell>
        </row>
        <row r="40">
          <cell r="C40" t="str">
            <v>Canada</v>
          </cell>
          <cell r="E40" t="str">
            <v>CA</v>
          </cell>
        </row>
        <row r="41">
          <cell r="C41" t="str">
            <v>Cape Verde</v>
          </cell>
          <cell r="E41" t="str">
            <v>CV</v>
          </cell>
        </row>
        <row r="42">
          <cell r="C42" t="str">
            <v>Cayman Islands</v>
          </cell>
          <cell r="E42" t="str">
            <v>KY</v>
          </cell>
        </row>
        <row r="43">
          <cell r="C43" t="str">
            <v>Central African Republic</v>
          </cell>
          <cell r="E43" t="str">
            <v>CF</v>
          </cell>
        </row>
        <row r="44">
          <cell r="C44" t="str">
            <v>Chad</v>
          </cell>
          <cell r="E44" t="str">
            <v>TD</v>
          </cell>
        </row>
        <row r="45">
          <cell r="C45" t="str">
            <v>Chile</v>
          </cell>
          <cell r="E45" t="str">
            <v>CL</v>
          </cell>
        </row>
        <row r="46">
          <cell r="C46" t="str">
            <v>China</v>
          </cell>
          <cell r="E46" t="str">
            <v>CN</v>
          </cell>
        </row>
        <row r="47">
          <cell r="C47" t="str">
            <v>Christmas Island</v>
          </cell>
          <cell r="E47" t="str">
            <v>CX</v>
          </cell>
        </row>
        <row r="48">
          <cell r="C48" t="str">
            <v>Cocos (Keeling) Islands</v>
          </cell>
          <cell r="E48" t="str">
            <v>CC</v>
          </cell>
        </row>
        <row r="49">
          <cell r="C49" t="str">
            <v>Colombia</v>
          </cell>
          <cell r="E49" t="str">
            <v>CO</v>
          </cell>
        </row>
        <row r="50">
          <cell r="C50" t="str">
            <v>Comoros</v>
          </cell>
          <cell r="E50" t="str">
            <v>KM</v>
          </cell>
        </row>
        <row r="51">
          <cell r="C51" t="str">
            <v>Congo</v>
          </cell>
          <cell r="E51" t="str">
            <v>CG</v>
          </cell>
        </row>
        <row r="52">
          <cell r="C52" t="str">
            <v>Congo, The Democratic Republic of the</v>
          </cell>
          <cell r="E52" t="str">
            <v>CD</v>
          </cell>
        </row>
        <row r="53">
          <cell r="C53" t="str">
            <v>Cook Island</v>
          </cell>
          <cell r="E53" t="str">
            <v>CK</v>
          </cell>
        </row>
        <row r="54">
          <cell r="C54" t="str">
            <v>Costa Rica</v>
          </cell>
          <cell r="E54" t="str">
            <v>CR</v>
          </cell>
        </row>
        <row r="55">
          <cell r="C55" t="str">
            <v>Cote D'Ivoire</v>
          </cell>
          <cell r="E55" t="str">
            <v>CI</v>
          </cell>
        </row>
        <row r="56">
          <cell r="C56" t="str">
            <v>Croatia</v>
          </cell>
          <cell r="E56" t="str">
            <v>HR</v>
          </cell>
        </row>
        <row r="57">
          <cell r="C57" t="str">
            <v>Cuba</v>
          </cell>
          <cell r="E57" t="str">
            <v>CU</v>
          </cell>
        </row>
        <row r="58">
          <cell r="C58" t="str">
            <v>Curacao</v>
          </cell>
          <cell r="E58" t="str">
            <v>CW</v>
          </cell>
        </row>
        <row r="59">
          <cell r="C59" t="str">
            <v>Cyprus</v>
          </cell>
          <cell r="E59" t="str">
            <v>CY</v>
          </cell>
        </row>
        <row r="60">
          <cell r="C60" t="str">
            <v>Czech Republic</v>
          </cell>
          <cell r="E60" t="str">
            <v>CZ</v>
          </cell>
        </row>
        <row r="61">
          <cell r="C61" t="str">
            <v>Denmark</v>
          </cell>
          <cell r="E61" t="str">
            <v>DK</v>
          </cell>
        </row>
        <row r="62">
          <cell r="C62" t="str">
            <v>Djibouti</v>
          </cell>
          <cell r="E62" t="str">
            <v>DJ</v>
          </cell>
        </row>
        <row r="63">
          <cell r="C63" t="str">
            <v>Dominica</v>
          </cell>
          <cell r="E63" t="str">
            <v>DM</v>
          </cell>
        </row>
        <row r="64">
          <cell r="C64" t="str">
            <v>Dominican Republic</v>
          </cell>
          <cell r="E64" t="str">
            <v>DO</v>
          </cell>
        </row>
        <row r="65">
          <cell r="C65" t="str">
            <v>East Timor</v>
          </cell>
          <cell r="E65" t="str">
            <v>TP</v>
          </cell>
        </row>
        <row r="66">
          <cell r="C66" t="str">
            <v>Ecuador</v>
          </cell>
          <cell r="E66" t="str">
            <v>EC</v>
          </cell>
        </row>
        <row r="67">
          <cell r="C67" t="str">
            <v>Egypt</v>
          </cell>
          <cell r="E67" t="str">
            <v>EG</v>
          </cell>
        </row>
        <row r="68">
          <cell r="C68" t="str">
            <v>El Salvador</v>
          </cell>
          <cell r="E68" t="str">
            <v>SV</v>
          </cell>
        </row>
        <row r="69">
          <cell r="C69" t="str">
            <v>Equatorial Guinea</v>
          </cell>
          <cell r="E69" t="str">
            <v>GQ</v>
          </cell>
        </row>
        <row r="70">
          <cell r="C70" t="str">
            <v>Eritrea</v>
          </cell>
          <cell r="E70" t="str">
            <v>ER</v>
          </cell>
        </row>
        <row r="71">
          <cell r="C71" t="str">
            <v>Estonia</v>
          </cell>
          <cell r="E71" t="str">
            <v>EE</v>
          </cell>
        </row>
        <row r="72">
          <cell r="C72" t="str">
            <v>Ethiopia</v>
          </cell>
          <cell r="E72" t="str">
            <v>ET</v>
          </cell>
        </row>
        <row r="73">
          <cell r="C73" t="str">
            <v>Falkland Islands</v>
          </cell>
          <cell r="E73" t="str">
            <v>FK</v>
          </cell>
        </row>
        <row r="74">
          <cell r="C74" t="str">
            <v>Faroe Islands</v>
          </cell>
          <cell r="E74" t="str">
            <v>FO</v>
          </cell>
        </row>
        <row r="75">
          <cell r="C75" t="str">
            <v>Fiji</v>
          </cell>
          <cell r="E75" t="str">
            <v>FJ</v>
          </cell>
        </row>
        <row r="76">
          <cell r="C76" t="str">
            <v>Finland</v>
          </cell>
          <cell r="E76" t="str">
            <v>FI</v>
          </cell>
        </row>
        <row r="77">
          <cell r="C77" t="str">
            <v>France</v>
          </cell>
          <cell r="E77" t="str">
            <v>FR</v>
          </cell>
        </row>
        <row r="78">
          <cell r="C78" t="str">
            <v>France</v>
          </cell>
          <cell r="E78" t="str">
            <v>FX</v>
          </cell>
        </row>
        <row r="79">
          <cell r="C79" t="str">
            <v>French Guiana</v>
          </cell>
          <cell r="E79" t="str">
            <v>GF</v>
          </cell>
        </row>
        <row r="80">
          <cell r="C80" t="str">
            <v>French Polynesia</v>
          </cell>
          <cell r="E80" t="str">
            <v>PF</v>
          </cell>
        </row>
        <row r="81">
          <cell r="C81" t="str">
            <v>French Southern Territories</v>
          </cell>
          <cell r="E81" t="str">
            <v>TF</v>
          </cell>
        </row>
        <row r="82">
          <cell r="C82" t="str">
            <v>Gabon</v>
          </cell>
          <cell r="E82" t="str">
            <v>GA</v>
          </cell>
        </row>
        <row r="83">
          <cell r="C83" t="str">
            <v>Gambia</v>
          </cell>
          <cell r="E83" t="str">
            <v>GM</v>
          </cell>
        </row>
        <row r="84">
          <cell r="C84" t="str">
            <v>Georgia</v>
          </cell>
          <cell r="E84" t="str">
            <v>GE</v>
          </cell>
        </row>
        <row r="85">
          <cell r="C85" t="str">
            <v>Germany</v>
          </cell>
          <cell r="E85" t="str">
            <v>DE</v>
          </cell>
        </row>
        <row r="86">
          <cell r="C86" t="str">
            <v>Ghana</v>
          </cell>
          <cell r="E86" t="str">
            <v>GH</v>
          </cell>
        </row>
        <row r="87">
          <cell r="C87" t="str">
            <v>Gibraltar</v>
          </cell>
          <cell r="E87" t="str">
            <v>GI</v>
          </cell>
        </row>
        <row r="88">
          <cell r="C88" t="str">
            <v>Great Britain</v>
          </cell>
          <cell r="E88" t="str">
            <v>GB</v>
          </cell>
        </row>
        <row r="89">
          <cell r="C89" t="str">
            <v>Greece</v>
          </cell>
          <cell r="E89" t="str">
            <v>GR</v>
          </cell>
        </row>
        <row r="90">
          <cell r="C90" t="str">
            <v>Greenland</v>
          </cell>
          <cell r="E90" t="str">
            <v>GL</v>
          </cell>
        </row>
        <row r="91">
          <cell r="C91" t="str">
            <v>Grenada</v>
          </cell>
          <cell r="E91" t="str">
            <v>GD</v>
          </cell>
        </row>
        <row r="92">
          <cell r="C92" t="str">
            <v>Guadeloupe/St Martin</v>
          </cell>
          <cell r="E92" t="str">
            <v>GP</v>
          </cell>
        </row>
        <row r="93">
          <cell r="C93" t="str">
            <v>Guam</v>
          </cell>
          <cell r="E93" t="str">
            <v>GU</v>
          </cell>
        </row>
        <row r="94">
          <cell r="C94" t="str">
            <v>Guatemala</v>
          </cell>
          <cell r="E94" t="str">
            <v>GT</v>
          </cell>
        </row>
        <row r="95">
          <cell r="C95" t="str">
            <v>Guinea</v>
          </cell>
          <cell r="E95" t="str">
            <v>GN</v>
          </cell>
        </row>
        <row r="96">
          <cell r="C96" t="str">
            <v>Guinea Bissau</v>
          </cell>
          <cell r="E96" t="str">
            <v>GW</v>
          </cell>
        </row>
        <row r="97">
          <cell r="C97" t="str">
            <v>Guyana</v>
          </cell>
          <cell r="E97" t="str">
            <v>GY</v>
          </cell>
        </row>
        <row r="98">
          <cell r="C98" t="str">
            <v>Haiti</v>
          </cell>
          <cell r="E98" t="str">
            <v>HT</v>
          </cell>
        </row>
        <row r="99">
          <cell r="C99" t="str">
            <v>Heard and McDonald Islands</v>
          </cell>
          <cell r="E99" t="str">
            <v>HM</v>
          </cell>
        </row>
        <row r="100">
          <cell r="C100" t="str">
            <v>Honduras</v>
          </cell>
          <cell r="E100" t="str">
            <v>HN</v>
          </cell>
        </row>
        <row r="101">
          <cell r="C101" t="str">
            <v>Hong Kong</v>
          </cell>
          <cell r="E101" t="str">
            <v>HK</v>
          </cell>
        </row>
        <row r="102">
          <cell r="C102" t="str">
            <v>Hungary</v>
          </cell>
          <cell r="E102" t="str">
            <v>HU</v>
          </cell>
        </row>
        <row r="103">
          <cell r="C103" t="str">
            <v>Iceland</v>
          </cell>
          <cell r="E103" t="str">
            <v>IS</v>
          </cell>
        </row>
        <row r="104">
          <cell r="C104" t="str">
            <v>India</v>
          </cell>
          <cell r="E104" t="str">
            <v>IN</v>
          </cell>
        </row>
        <row r="105">
          <cell r="C105" t="str">
            <v>Indonesia</v>
          </cell>
          <cell r="E105" t="str">
            <v>ID</v>
          </cell>
        </row>
        <row r="106">
          <cell r="C106" t="str">
            <v>Iran</v>
          </cell>
          <cell r="E106" t="str">
            <v>IR</v>
          </cell>
        </row>
        <row r="107">
          <cell r="C107" t="str">
            <v>Iraq</v>
          </cell>
          <cell r="E107" t="str">
            <v>IQ</v>
          </cell>
        </row>
        <row r="108">
          <cell r="C108" t="str">
            <v>Ireland</v>
          </cell>
          <cell r="E108" t="str">
            <v>IE</v>
          </cell>
        </row>
        <row r="109">
          <cell r="C109" t="str">
            <v>Isle Of Man</v>
          </cell>
          <cell r="E109" t="str">
            <v>IM</v>
          </cell>
        </row>
        <row r="110">
          <cell r="C110" t="str">
            <v>Israel</v>
          </cell>
          <cell r="E110" t="str">
            <v>IL</v>
          </cell>
        </row>
        <row r="111">
          <cell r="C111" t="str">
            <v>Italy</v>
          </cell>
          <cell r="E111" t="str">
            <v>IT</v>
          </cell>
        </row>
        <row r="112">
          <cell r="C112" t="str">
            <v>Jamaica</v>
          </cell>
          <cell r="E112" t="str">
            <v>JM</v>
          </cell>
        </row>
        <row r="113">
          <cell r="C113" t="str">
            <v>Japan</v>
          </cell>
          <cell r="E113" t="str">
            <v>JP</v>
          </cell>
        </row>
        <row r="114">
          <cell r="C114" t="str">
            <v>Jordan</v>
          </cell>
          <cell r="E114" t="str">
            <v>JO</v>
          </cell>
        </row>
        <row r="115">
          <cell r="C115" t="str">
            <v>Kazakhstan</v>
          </cell>
          <cell r="E115" t="str">
            <v>KZ</v>
          </cell>
        </row>
        <row r="116">
          <cell r="C116" t="str">
            <v>Kenya</v>
          </cell>
          <cell r="E116" t="str">
            <v>KE</v>
          </cell>
        </row>
        <row r="117">
          <cell r="C117" t="str">
            <v>Kiribati</v>
          </cell>
          <cell r="E117" t="str">
            <v>KI</v>
          </cell>
        </row>
        <row r="118">
          <cell r="C118" t="str">
            <v>Korea (North)</v>
          </cell>
          <cell r="E118" t="str">
            <v>KP</v>
          </cell>
        </row>
        <row r="119">
          <cell r="C119" t="str">
            <v>Korea (South)</v>
          </cell>
          <cell r="E119" t="str">
            <v>KR</v>
          </cell>
        </row>
        <row r="120">
          <cell r="C120" t="str">
            <v>Kosovo</v>
          </cell>
          <cell r="E120" t="str">
            <v>XK</v>
          </cell>
        </row>
        <row r="121">
          <cell r="C121" t="str">
            <v>Kuwait</v>
          </cell>
          <cell r="E121" t="str">
            <v>KW</v>
          </cell>
        </row>
        <row r="122">
          <cell r="C122" t="str">
            <v>Kyrgzstan</v>
          </cell>
          <cell r="E122" t="str">
            <v>KG</v>
          </cell>
        </row>
        <row r="123">
          <cell r="C123" t="str">
            <v>Laos</v>
          </cell>
          <cell r="E123" t="str">
            <v>LA</v>
          </cell>
        </row>
        <row r="124">
          <cell r="C124" t="str">
            <v>Latvia</v>
          </cell>
          <cell r="E124" t="str">
            <v>LV</v>
          </cell>
        </row>
        <row r="125">
          <cell r="C125" t="str">
            <v>Lebanon</v>
          </cell>
          <cell r="E125" t="str">
            <v>LB</v>
          </cell>
        </row>
        <row r="126">
          <cell r="C126" t="str">
            <v>Lesotho</v>
          </cell>
          <cell r="E126" t="str">
            <v>LS</v>
          </cell>
        </row>
        <row r="127">
          <cell r="C127" t="str">
            <v>Liberia</v>
          </cell>
          <cell r="E127" t="str">
            <v>LR</v>
          </cell>
        </row>
        <row r="128">
          <cell r="C128" t="str">
            <v>Libyan Arab Jamahiriya</v>
          </cell>
          <cell r="E128" t="str">
            <v>LY</v>
          </cell>
        </row>
        <row r="129">
          <cell r="C129" t="str">
            <v>Liechtenstein</v>
          </cell>
          <cell r="E129" t="str">
            <v>LI</v>
          </cell>
        </row>
        <row r="130">
          <cell r="C130" t="str">
            <v>Lithuania</v>
          </cell>
          <cell r="E130" t="str">
            <v>LT</v>
          </cell>
        </row>
        <row r="131">
          <cell r="C131" t="str">
            <v>Luxembourg</v>
          </cell>
          <cell r="E131" t="str">
            <v>LU</v>
          </cell>
        </row>
        <row r="132">
          <cell r="C132" t="str">
            <v>Macau</v>
          </cell>
          <cell r="E132" t="str">
            <v>MO</v>
          </cell>
        </row>
        <row r="133">
          <cell r="C133" t="str">
            <v>Macedonia</v>
          </cell>
          <cell r="E133" t="str">
            <v>MK</v>
          </cell>
        </row>
        <row r="134">
          <cell r="C134" t="str">
            <v>Madagascar</v>
          </cell>
          <cell r="E134" t="str">
            <v>MG</v>
          </cell>
        </row>
        <row r="135">
          <cell r="C135" t="str">
            <v>Malawi</v>
          </cell>
          <cell r="E135" t="str">
            <v>MW</v>
          </cell>
        </row>
        <row r="136">
          <cell r="C136" t="str">
            <v>Malaysia</v>
          </cell>
          <cell r="E136" t="str">
            <v>MY</v>
          </cell>
        </row>
        <row r="137">
          <cell r="C137" t="str">
            <v>Maldives</v>
          </cell>
          <cell r="E137" t="str">
            <v>MV</v>
          </cell>
        </row>
        <row r="138">
          <cell r="C138" t="str">
            <v>Mali</v>
          </cell>
          <cell r="E138" t="str">
            <v>ML</v>
          </cell>
        </row>
        <row r="139">
          <cell r="C139" t="str">
            <v>Malta</v>
          </cell>
          <cell r="E139" t="str">
            <v>MT</v>
          </cell>
        </row>
        <row r="140">
          <cell r="C140" t="str">
            <v>Marshall Islands</v>
          </cell>
          <cell r="E140" t="str">
            <v>MH</v>
          </cell>
        </row>
        <row r="141">
          <cell r="C141" t="str">
            <v>Martinique</v>
          </cell>
          <cell r="E141" t="str">
            <v>MQ</v>
          </cell>
        </row>
        <row r="142">
          <cell r="C142" t="str">
            <v>Mauritania</v>
          </cell>
          <cell r="E142" t="str">
            <v>MR</v>
          </cell>
        </row>
        <row r="143">
          <cell r="C143" t="str">
            <v>Mauritius</v>
          </cell>
          <cell r="E143" t="str">
            <v>MU</v>
          </cell>
        </row>
        <row r="144">
          <cell r="C144" t="str">
            <v>Mayotte</v>
          </cell>
          <cell r="E144" t="str">
            <v>YT</v>
          </cell>
        </row>
        <row r="145">
          <cell r="C145" t="str">
            <v>Mexico</v>
          </cell>
          <cell r="E145" t="str">
            <v>MX</v>
          </cell>
        </row>
        <row r="146">
          <cell r="C146" t="str">
            <v>Micronesia, Federated States of</v>
          </cell>
          <cell r="E146" t="str">
            <v>FM</v>
          </cell>
        </row>
        <row r="147">
          <cell r="C147" t="str">
            <v>Midway Islands</v>
          </cell>
          <cell r="E147" t="str">
            <v>MI</v>
          </cell>
        </row>
        <row r="148">
          <cell r="C148" t="str">
            <v>Moldova</v>
          </cell>
          <cell r="E148" t="str">
            <v>MD</v>
          </cell>
        </row>
        <row r="149">
          <cell r="C149" t="str">
            <v>Monaco</v>
          </cell>
          <cell r="E149" t="str">
            <v>MC</v>
          </cell>
        </row>
        <row r="150">
          <cell r="C150" t="str">
            <v>Mongolia</v>
          </cell>
          <cell r="E150" t="str">
            <v>MN</v>
          </cell>
        </row>
        <row r="151">
          <cell r="C151" t="str">
            <v>Montenegro</v>
          </cell>
          <cell r="E151" t="str">
            <v>ME</v>
          </cell>
        </row>
        <row r="152">
          <cell r="C152" t="str">
            <v>Montserrat</v>
          </cell>
          <cell r="E152" t="str">
            <v>MS</v>
          </cell>
        </row>
        <row r="153">
          <cell r="C153" t="str">
            <v>Morocco</v>
          </cell>
          <cell r="E153" t="str">
            <v>MA</v>
          </cell>
        </row>
        <row r="154">
          <cell r="C154" t="str">
            <v>Mozambique</v>
          </cell>
          <cell r="E154" t="str">
            <v>MZ</v>
          </cell>
        </row>
        <row r="155">
          <cell r="C155" t="str">
            <v>Myanmar</v>
          </cell>
          <cell r="E155" t="str">
            <v>MM</v>
          </cell>
        </row>
        <row r="156">
          <cell r="C156" t="str">
            <v>Namibia</v>
          </cell>
          <cell r="E156" t="str">
            <v>NA</v>
          </cell>
        </row>
        <row r="157">
          <cell r="C157" t="str">
            <v>Nauru</v>
          </cell>
          <cell r="E157" t="str">
            <v>NR</v>
          </cell>
        </row>
        <row r="158">
          <cell r="C158" t="str">
            <v>Nepal</v>
          </cell>
          <cell r="E158" t="str">
            <v>NP</v>
          </cell>
        </row>
        <row r="159">
          <cell r="C159" t="str">
            <v>Netherlands</v>
          </cell>
          <cell r="E159" t="str">
            <v>NL</v>
          </cell>
        </row>
        <row r="160">
          <cell r="C160" t="str">
            <v>Netherlands Antilles</v>
          </cell>
          <cell r="E160" t="str">
            <v>AN</v>
          </cell>
        </row>
        <row r="161">
          <cell r="C161" t="str">
            <v>New Caledonia</v>
          </cell>
          <cell r="E161" t="str">
            <v>NC</v>
          </cell>
        </row>
        <row r="162">
          <cell r="C162" t="str">
            <v>New Zealand</v>
          </cell>
          <cell r="E162" t="str">
            <v>NZ</v>
          </cell>
        </row>
        <row r="163">
          <cell r="C163" t="str">
            <v>Nicaragua</v>
          </cell>
          <cell r="E163" t="str">
            <v>NI</v>
          </cell>
        </row>
        <row r="164">
          <cell r="C164" t="str">
            <v>Niger</v>
          </cell>
          <cell r="E164" t="str">
            <v>NE</v>
          </cell>
        </row>
        <row r="165">
          <cell r="C165" t="str">
            <v>Nigeria</v>
          </cell>
          <cell r="E165" t="str">
            <v>NG</v>
          </cell>
        </row>
        <row r="166">
          <cell r="C166" t="str">
            <v>Niue</v>
          </cell>
          <cell r="E166" t="str">
            <v>NU</v>
          </cell>
        </row>
        <row r="167">
          <cell r="C167" t="str">
            <v>Norfolk Island</v>
          </cell>
          <cell r="E167" t="str">
            <v>NF</v>
          </cell>
        </row>
        <row r="168">
          <cell r="C168" t="str">
            <v>Northern Mariana Islands</v>
          </cell>
          <cell r="E168" t="str">
            <v>MP</v>
          </cell>
        </row>
        <row r="169">
          <cell r="C169" t="str">
            <v>Norway</v>
          </cell>
          <cell r="E169" t="str">
            <v>NO</v>
          </cell>
        </row>
        <row r="170">
          <cell r="C170" t="str">
            <v>Oman</v>
          </cell>
          <cell r="E170" t="str">
            <v>OM</v>
          </cell>
        </row>
        <row r="171">
          <cell r="C171" t="str">
            <v>Pakistan</v>
          </cell>
          <cell r="E171" t="str">
            <v>PK</v>
          </cell>
        </row>
        <row r="172">
          <cell r="C172" t="str">
            <v>Palau</v>
          </cell>
          <cell r="E172" t="str">
            <v>PW</v>
          </cell>
        </row>
        <row r="173">
          <cell r="C173" t="str">
            <v>Panama</v>
          </cell>
          <cell r="E173" t="str">
            <v>PA</v>
          </cell>
        </row>
        <row r="174">
          <cell r="C174" t="str">
            <v>Papua New Guinea</v>
          </cell>
          <cell r="E174" t="str">
            <v>PG</v>
          </cell>
        </row>
        <row r="175">
          <cell r="C175" t="str">
            <v>Paraguay</v>
          </cell>
          <cell r="E175" t="str">
            <v>PY</v>
          </cell>
        </row>
        <row r="176">
          <cell r="C176" t="str">
            <v>Peru</v>
          </cell>
          <cell r="E176" t="str">
            <v>PE</v>
          </cell>
        </row>
        <row r="177">
          <cell r="C177" t="str">
            <v>Philippines</v>
          </cell>
          <cell r="E177" t="str">
            <v>PH</v>
          </cell>
        </row>
        <row r="178">
          <cell r="C178" t="str">
            <v>Pitcairn</v>
          </cell>
          <cell r="E178" t="str">
            <v>PN</v>
          </cell>
        </row>
        <row r="179">
          <cell r="C179" t="str">
            <v>Poland</v>
          </cell>
          <cell r="E179" t="str">
            <v>PL</v>
          </cell>
        </row>
        <row r="180">
          <cell r="C180" t="str">
            <v>Portugal</v>
          </cell>
          <cell r="E180" t="str">
            <v>PT</v>
          </cell>
        </row>
        <row r="181">
          <cell r="C181" t="str">
            <v>Puerto Rico</v>
          </cell>
          <cell r="E181" t="str">
            <v>PR</v>
          </cell>
        </row>
        <row r="182">
          <cell r="C182" t="str">
            <v>Qatar</v>
          </cell>
          <cell r="E182" t="str">
            <v>QA</v>
          </cell>
        </row>
        <row r="183">
          <cell r="C183" t="str">
            <v>Reunion</v>
          </cell>
          <cell r="E183" t="str">
            <v>RE</v>
          </cell>
        </row>
        <row r="184">
          <cell r="C184" t="str">
            <v>Romania</v>
          </cell>
          <cell r="E184" t="str">
            <v>RO</v>
          </cell>
        </row>
        <row r="185">
          <cell r="C185" t="str">
            <v>Russia</v>
          </cell>
          <cell r="E185" t="str">
            <v>RU</v>
          </cell>
        </row>
        <row r="186">
          <cell r="C186" t="str">
            <v>Russian Federation</v>
          </cell>
          <cell r="E186" t="str">
            <v>RQ</v>
          </cell>
        </row>
        <row r="187">
          <cell r="C187" t="str">
            <v>Rwanda</v>
          </cell>
          <cell r="E187" t="str">
            <v>RW</v>
          </cell>
        </row>
        <row r="188">
          <cell r="C188" t="str">
            <v>Saint Helena</v>
          </cell>
          <cell r="E188" t="str">
            <v>SH</v>
          </cell>
        </row>
        <row r="189">
          <cell r="C189" t="str">
            <v>Saint Kitts and Nevis</v>
          </cell>
          <cell r="E189" t="str">
            <v>KN</v>
          </cell>
        </row>
        <row r="190">
          <cell r="C190" t="str">
            <v>Saint Lucia</v>
          </cell>
          <cell r="E190" t="str">
            <v>LC</v>
          </cell>
        </row>
        <row r="191">
          <cell r="C191" t="str">
            <v>Saint Pierre And Miquelon</v>
          </cell>
          <cell r="E191" t="str">
            <v>PM</v>
          </cell>
        </row>
        <row r="192">
          <cell r="C192" t="str">
            <v>Saint Vincent And The Grenadines</v>
          </cell>
          <cell r="E192" t="str">
            <v>VC</v>
          </cell>
        </row>
        <row r="193">
          <cell r="C193" t="str">
            <v>Samoa</v>
          </cell>
          <cell r="E193" t="str">
            <v>WS</v>
          </cell>
        </row>
        <row r="194">
          <cell r="C194" t="str">
            <v>San Marino</v>
          </cell>
          <cell r="E194" t="str">
            <v>SM</v>
          </cell>
        </row>
        <row r="195">
          <cell r="C195" t="str">
            <v>Sao Tome and Principe</v>
          </cell>
          <cell r="E195" t="str">
            <v>ST</v>
          </cell>
        </row>
        <row r="196">
          <cell r="C196" t="str">
            <v>Saudi Arabia</v>
          </cell>
          <cell r="E196" t="str">
            <v>SA</v>
          </cell>
        </row>
        <row r="197">
          <cell r="C197" t="str">
            <v>Senegal</v>
          </cell>
          <cell r="E197" t="str">
            <v>SN</v>
          </cell>
        </row>
        <row r="198">
          <cell r="C198" t="str">
            <v>Serbia</v>
          </cell>
          <cell r="E198" t="str">
            <v>RS</v>
          </cell>
        </row>
        <row r="199">
          <cell r="C199" t="str">
            <v>Seychelles</v>
          </cell>
          <cell r="E199" t="str">
            <v>SC</v>
          </cell>
        </row>
        <row r="200">
          <cell r="C200" t="str">
            <v>Sierra Leone</v>
          </cell>
          <cell r="E200" t="str">
            <v>SL</v>
          </cell>
        </row>
        <row r="201">
          <cell r="C201" t="str">
            <v>Singapore</v>
          </cell>
          <cell r="E201" t="str">
            <v>SG</v>
          </cell>
        </row>
        <row r="202">
          <cell r="C202" t="str">
            <v>Sint Maarten</v>
          </cell>
          <cell r="E202" t="str">
            <v>SX</v>
          </cell>
        </row>
        <row r="203">
          <cell r="C203" t="str">
            <v>Slovakia</v>
          </cell>
          <cell r="E203" t="str">
            <v>SK</v>
          </cell>
        </row>
        <row r="204">
          <cell r="C204" t="str">
            <v>Slovenia</v>
          </cell>
          <cell r="E204" t="str">
            <v>SI</v>
          </cell>
        </row>
        <row r="205">
          <cell r="C205" t="str">
            <v>Solomon Islands</v>
          </cell>
          <cell r="E205" t="str">
            <v>SB</v>
          </cell>
        </row>
        <row r="206">
          <cell r="C206" t="str">
            <v>Somalia</v>
          </cell>
          <cell r="E206" t="str">
            <v>SO</v>
          </cell>
        </row>
        <row r="207">
          <cell r="C207" t="str">
            <v>South Africa</v>
          </cell>
          <cell r="E207" t="str">
            <v>ZA</v>
          </cell>
        </row>
        <row r="208">
          <cell r="C208" t="str">
            <v>South Georgia and the South Sandwich Islands</v>
          </cell>
          <cell r="E208" t="str">
            <v>GS</v>
          </cell>
        </row>
        <row r="209">
          <cell r="C209" t="str">
            <v>South Sudan</v>
          </cell>
          <cell r="E209" t="str">
            <v>SS</v>
          </cell>
        </row>
        <row r="210">
          <cell r="C210" t="str">
            <v>Spain</v>
          </cell>
          <cell r="E210" t="str">
            <v>ES</v>
          </cell>
        </row>
        <row r="211">
          <cell r="C211" t="str">
            <v>Sri Lanka</v>
          </cell>
          <cell r="E211" t="str">
            <v>LK</v>
          </cell>
        </row>
        <row r="212">
          <cell r="C212" t="str">
            <v>Sudan</v>
          </cell>
          <cell r="E212" t="str">
            <v>SD</v>
          </cell>
        </row>
        <row r="213">
          <cell r="C213" t="str">
            <v>Suriname</v>
          </cell>
          <cell r="E213" t="str">
            <v>SR</v>
          </cell>
        </row>
        <row r="214">
          <cell r="C214" t="str">
            <v>Svalbard and Jan Mayen Islands</v>
          </cell>
          <cell r="E214" t="str">
            <v>SJ</v>
          </cell>
        </row>
        <row r="215">
          <cell r="C215" t="str">
            <v>Swaziland</v>
          </cell>
          <cell r="E215" t="str">
            <v>SZ</v>
          </cell>
        </row>
        <row r="216">
          <cell r="C216" t="str">
            <v>Sweden</v>
          </cell>
          <cell r="E216" t="str">
            <v>SE</v>
          </cell>
        </row>
        <row r="217">
          <cell r="C217" t="str">
            <v>Switzerland</v>
          </cell>
          <cell r="E217" t="str">
            <v>CH</v>
          </cell>
        </row>
        <row r="218">
          <cell r="C218" t="str">
            <v>Syria</v>
          </cell>
          <cell r="E218" t="str">
            <v>SY</v>
          </cell>
        </row>
        <row r="219">
          <cell r="C219" t="str">
            <v>Taiwan</v>
          </cell>
          <cell r="E219" t="str">
            <v>TW</v>
          </cell>
        </row>
        <row r="220">
          <cell r="C220" t="str">
            <v>Tajikistan</v>
          </cell>
          <cell r="E220" t="str">
            <v>TJ</v>
          </cell>
        </row>
        <row r="221">
          <cell r="C221" t="str">
            <v>Tanzania</v>
          </cell>
          <cell r="E221" t="str">
            <v>TZ</v>
          </cell>
        </row>
        <row r="222">
          <cell r="C222" t="str">
            <v>Thailand</v>
          </cell>
          <cell r="E222" t="str">
            <v>TH</v>
          </cell>
        </row>
        <row r="223">
          <cell r="C223" t="str">
            <v>To be Advised</v>
          </cell>
        </row>
        <row r="224">
          <cell r="C224" t="str">
            <v>Togo</v>
          </cell>
          <cell r="E224" t="str">
            <v>TG</v>
          </cell>
        </row>
        <row r="225">
          <cell r="C225" t="str">
            <v>Tokelau</v>
          </cell>
          <cell r="E225" t="str">
            <v>TK</v>
          </cell>
        </row>
        <row r="226">
          <cell r="C226" t="str">
            <v>Tonga</v>
          </cell>
          <cell r="E226" t="str">
            <v>TO</v>
          </cell>
        </row>
        <row r="227">
          <cell r="C227" t="str">
            <v>Trinidad And Tobago</v>
          </cell>
          <cell r="E227" t="str">
            <v>TT</v>
          </cell>
        </row>
        <row r="228">
          <cell r="C228" t="str">
            <v>Tunisia</v>
          </cell>
          <cell r="E228" t="str">
            <v>TN</v>
          </cell>
        </row>
        <row r="229">
          <cell r="C229" t="str">
            <v>Turkey</v>
          </cell>
          <cell r="E229" t="str">
            <v>TR</v>
          </cell>
        </row>
        <row r="230">
          <cell r="C230" t="str">
            <v>Turkmenistan</v>
          </cell>
          <cell r="E230" t="str">
            <v>TM</v>
          </cell>
        </row>
        <row r="231">
          <cell r="C231" t="str">
            <v>Turks and Caicos Islands</v>
          </cell>
          <cell r="E231" t="str">
            <v>TC</v>
          </cell>
        </row>
        <row r="232">
          <cell r="C232" t="str">
            <v>Tuvalu</v>
          </cell>
          <cell r="E232" t="str">
            <v>TV</v>
          </cell>
        </row>
        <row r="233">
          <cell r="C233" t="str">
            <v>Uganda</v>
          </cell>
          <cell r="E233" t="str">
            <v>UG</v>
          </cell>
        </row>
        <row r="234">
          <cell r="C234" t="str">
            <v>Ukraine</v>
          </cell>
          <cell r="E234" t="str">
            <v>UA</v>
          </cell>
        </row>
        <row r="235">
          <cell r="C235" t="str">
            <v>United Arab Emirates</v>
          </cell>
          <cell r="E235" t="str">
            <v>AE</v>
          </cell>
        </row>
        <row r="236">
          <cell r="C236" t="str">
            <v>United States</v>
          </cell>
          <cell r="E236" t="str">
            <v>US</v>
          </cell>
        </row>
        <row r="237">
          <cell r="C237" t="str">
            <v>United States Minor Outlying Islands</v>
          </cell>
          <cell r="E237" t="str">
            <v>UM</v>
          </cell>
        </row>
        <row r="238">
          <cell r="C238" t="str">
            <v>Uruguay</v>
          </cell>
          <cell r="E238" t="str">
            <v>UY</v>
          </cell>
        </row>
        <row r="239">
          <cell r="C239" t="str">
            <v>Uzbekistan</v>
          </cell>
          <cell r="E239" t="str">
            <v>UZ</v>
          </cell>
        </row>
        <row r="240">
          <cell r="C240" t="str">
            <v>Vanuatu</v>
          </cell>
          <cell r="E240" t="str">
            <v>VU</v>
          </cell>
        </row>
        <row r="241">
          <cell r="C241" t="str">
            <v>Vatican City State</v>
          </cell>
          <cell r="E241" t="str">
            <v>VA</v>
          </cell>
        </row>
        <row r="242">
          <cell r="C242" t="str">
            <v>Venezuela</v>
          </cell>
          <cell r="E242" t="str">
            <v>VE</v>
          </cell>
        </row>
        <row r="243">
          <cell r="C243" t="str">
            <v>Vietnam</v>
          </cell>
          <cell r="E243" t="str">
            <v>VN</v>
          </cell>
        </row>
        <row r="244">
          <cell r="C244" t="str">
            <v>Virgin Islands, British</v>
          </cell>
          <cell r="E244" t="str">
            <v>VG</v>
          </cell>
        </row>
        <row r="245">
          <cell r="C245" t="str">
            <v>Virgin Islands, US</v>
          </cell>
          <cell r="E245" t="str">
            <v>VI</v>
          </cell>
        </row>
        <row r="246">
          <cell r="C246" t="str">
            <v>Wallis and Futuna Islands</v>
          </cell>
          <cell r="E246" t="str">
            <v>WF</v>
          </cell>
        </row>
        <row r="247">
          <cell r="C247" t="str">
            <v>Western Sahara</v>
          </cell>
          <cell r="E247" t="str">
            <v>EH</v>
          </cell>
        </row>
        <row r="248">
          <cell r="C248" t="str">
            <v>Yemen</v>
          </cell>
          <cell r="E248" t="str">
            <v>YE</v>
          </cell>
        </row>
        <row r="249">
          <cell r="C249" t="str">
            <v>Zaire</v>
          </cell>
          <cell r="E249" t="str">
            <v>ZR</v>
          </cell>
        </row>
        <row r="250">
          <cell r="C250" t="str">
            <v>Zambia</v>
          </cell>
          <cell r="E250" t="str">
            <v>ZM</v>
          </cell>
        </row>
        <row r="251">
          <cell r="C251" t="str">
            <v>Zimbabwe</v>
          </cell>
          <cell r="E251" t="str">
            <v>ZW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33D72-5AA8-4226-A961-53A5B79CCF81}" name="Table8" displayName="Table8" ref="L3:N252" headerRowCount="0" totalsRowShown="0">
  <tableColumns count="3">
    <tableColumn id="1" xr3:uid="{E0A2862B-689F-4320-8791-DAB21219B858}" name="Column1"/>
    <tableColumn id="2" xr3:uid="{DD9AA37B-7C49-44E8-942E-DABD70ED1008}" name="Column2"/>
    <tableColumn id="3" xr3:uid="{23001A55-017F-4010-AA5E-48646E83D986}" name="Column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C02F-5E81-484C-AC56-0D8AF4017C81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8B63-67A5-4C72-BCCE-99C49A0817DF}">
  <dimension ref="A1:I19"/>
  <sheetViews>
    <sheetView zoomScale="130" zoomScaleNormal="130" workbookViewId="0"/>
  </sheetViews>
  <sheetFormatPr defaultColWidth="8.85546875" defaultRowHeight="16.5"/>
  <cols>
    <col min="1" max="2" width="13.28515625" style="7" customWidth="1"/>
    <col min="3" max="3" width="13.42578125" style="7" customWidth="1"/>
    <col min="4" max="4" width="8.85546875" style="7"/>
    <col min="5" max="5" width="18.28515625" style="7" customWidth="1"/>
    <col min="6" max="6" width="15.140625" style="7" customWidth="1"/>
    <col min="7" max="7" width="25.140625" style="7" customWidth="1"/>
    <col min="8" max="8" width="24.42578125" style="7" customWidth="1"/>
    <col min="9" max="9" width="13.5703125" style="7" customWidth="1"/>
    <col min="10" max="12" width="8.85546875" style="7"/>
    <col min="13" max="13" width="15.5703125" style="7" customWidth="1"/>
    <col min="14" max="256" width="8.85546875" style="7"/>
    <col min="257" max="258" width="13.28515625" style="7" customWidth="1"/>
    <col min="259" max="259" width="13.42578125" style="7" customWidth="1"/>
    <col min="260" max="260" width="8.85546875" style="7"/>
    <col min="261" max="261" width="18.28515625" style="7" customWidth="1"/>
    <col min="262" max="262" width="15.140625" style="7" customWidth="1"/>
    <col min="263" max="263" width="25.140625" style="7" customWidth="1"/>
    <col min="264" max="264" width="24.42578125" style="7" customWidth="1"/>
    <col min="265" max="265" width="13.5703125" style="7" customWidth="1"/>
    <col min="266" max="268" width="8.85546875" style="7"/>
    <col min="269" max="269" width="15.5703125" style="7" customWidth="1"/>
    <col min="270" max="512" width="8.85546875" style="7"/>
    <col min="513" max="514" width="13.28515625" style="7" customWidth="1"/>
    <col min="515" max="515" width="13.42578125" style="7" customWidth="1"/>
    <col min="516" max="516" width="8.85546875" style="7"/>
    <col min="517" max="517" width="18.28515625" style="7" customWidth="1"/>
    <col min="518" max="518" width="15.140625" style="7" customWidth="1"/>
    <col min="519" max="519" width="25.140625" style="7" customWidth="1"/>
    <col min="520" max="520" width="24.42578125" style="7" customWidth="1"/>
    <col min="521" max="521" width="13.5703125" style="7" customWidth="1"/>
    <col min="522" max="524" width="8.85546875" style="7"/>
    <col min="525" max="525" width="15.5703125" style="7" customWidth="1"/>
    <col min="526" max="768" width="8.85546875" style="7"/>
    <col min="769" max="770" width="13.28515625" style="7" customWidth="1"/>
    <col min="771" max="771" width="13.42578125" style="7" customWidth="1"/>
    <col min="772" max="772" width="8.85546875" style="7"/>
    <col min="773" max="773" width="18.28515625" style="7" customWidth="1"/>
    <col min="774" max="774" width="15.140625" style="7" customWidth="1"/>
    <col min="775" max="775" width="25.140625" style="7" customWidth="1"/>
    <col min="776" max="776" width="24.42578125" style="7" customWidth="1"/>
    <col min="777" max="777" width="13.5703125" style="7" customWidth="1"/>
    <col min="778" max="780" width="8.85546875" style="7"/>
    <col min="781" max="781" width="15.5703125" style="7" customWidth="1"/>
    <col min="782" max="1024" width="8.85546875" style="7"/>
    <col min="1025" max="1026" width="13.28515625" style="7" customWidth="1"/>
    <col min="1027" max="1027" width="13.42578125" style="7" customWidth="1"/>
    <col min="1028" max="1028" width="8.85546875" style="7"/>
    <col min="1029" max="1029" width="18.28515625" style="7" customWidth="1"/>
    <col min="1030" max="1030" width="15.140625" style="7" customWidth="1"/>
    <col min="1031" max="1031" width="25.140625" style="7" customWidth="1"/>
    <col min="1032" max="1032" width="24.42578125" style="7" customWidth="1"/>
    <col min="1033" max="1033" width="13.5703125" style="7" customWidth="1"/>
    <col min="1034" max="1036" width="8.85546875" style="7"/>
    <col min="1037" max="1037" width="15.5703125" style="7" customWidth="1"/>
    <col min="1038" max="1280" width="8.85546875" style="7"/>
    <col min="1281" max="1282" width="13.28515625" style="7" customWidth="1"/>
    <col min="1283" max="1283" width="13.42578125" style="7" customWidth="1"/>
    <col min="1284" max="1284" width="8.85546875" style="7"/>
    <col min="1285" max="1285" width="18.28515625" style="7" customWidth="1"/>
    <col min="1286" max="1286" width="15.140625" style="7" customWidth="1"/>
    <col min="1287" max="1287" width="25.140625" style="7" customWidth="1"/>
    <col min="1288" max="1288" width="24.42578125" style="7" customWidth="1"/>
    <col min="1289" max="1289" width="13.5703125" style="7" customWidth="1"/>
    <col min="1290" max="1292" width="8.85546875" style="7"/>
    <col min="1293" max="1293" width="15.5703125" style="7" customWidth="1"/>
    <col min="1294" max="1536" width="8.85546875" style="7"/>
    <col min="1537" max="1538" width="13.28515625" style="7" customWidth="1"/>
    <col min="1539" max="1539" width="13.42578125" style="7" customWidth="1"/>
    <col min="1540" max="1540" width="8.85546875" style="7"/>
    <col min="1541" max="1541" width="18.28515625" style="7" customWidth="1"/>
    <col min="1542" max="1542" width="15.140625" style="7" customWidth="1"/>
    <col min="1543" max="1543" width="25.140625" style="7" customWidth="1"/>
    <col min="1544" max="1544" width="24.42578125" style="7" customWidth="1"/>
    <col min="1545" max="1545" width="13.5703125" style="7" customWidth="1"/>
    <col min="1546" max="1548" width="8.85546875" style="7"/>
    <col min="1549" max="1549" width="15.5703125" style="7" customWidth="1"/>
    <col min="1550" max="1792" width="8.85546875" style="7"/>
    <col min="1793" max="1794" width="13.28515625" style="7" customWidth="1"/>
    <col min="1795" max="1795" width="13.42578125" style="7" customWidth="1"/>
    <col min="1796" max="1796" width="8.85546875" style="7"/>
    <col min="1797" max="1797" width="18.28515625" style="7" customWidth="1"/>
    <col min="1798" max="1798" width="15.140625" style="7" customWidth="1"/>
    <col min="1799" max="1799" width="25.140625" style="7" customWidth="1"/>
    <col min="1800" max="1800" width="24.42578125" style="7" customWidth="1"/>
    <col min="1801" max="1801" width="13.5703125" style="7" customWidth="1"/>
    <col min="1802" max="1804" width="8.85546875" style="7"/>
    <col min="1805" max="1805" width="15.5703125" style="7" customWidth="1"/>
    <col min="1806" max="2048" width="8.85546875" style="7"/>
    <col min="2049" max="2050" width="13.28515625" style="7" customWidth="1"/>
    <col min="2051" max="2051" width="13.42578125" style="7" customWidth="1"/>
    <col min="2052" max="2052" width="8.85546875" style="7"/>
    <col min="2053" max="2053" width="18.28515625" style="7" customWidth="1"/>
    <col min="2054" max="2054" width="15.140625" style="7" customWidth="1"/>
    <col min="2055" max="2055" width="25.140625" style="7" customWidth="1"/>
    <col min="2056" max="2056" width="24.42578125" style="7" customWidth="1"/>
    <col min="2057" max="2057" width="13.5703125" style="7" customWidth="1"/>
    <col min="2058" max="2060" width="8.85546875" style="7"/>
    <col min="2061" max="2061" width="15.5703125" style="7" customWidth="1"/>
    <col min="2062" max="2304" width="8.85546875" style="7"/>
    <col min="2305" max="2306" width="13.28515625" style="7" customWidth="1"/>
    <col min="2307" max="2307" width="13.42578125" style="7" customWidth="1"/>
    <col min="2308" max="2308" width="8.85546875" style="7"/>
    <col min="2309" max="2309" width="18.28515625" style="7" customWidth="1"/>
    <col min="2310" max="2310" width="15.140625" style="7" customWidth="1"/>
    <col min="2311" max="2311" width="25.140625" style="7" customWidth="1"/>
    <col min="2312" max="2312" width="24.42578125" style="7" customWidth="1"/>
    <col min="2313" max="2313" width="13.5703125" style="7" customWidth="1"/>
    <col min="2314" max="2316" width="8.85546875" style="7"/>
    <col min="2317" max="2317" width="15.5703125" style="7" customWidth="1"/>
    <col min="2318" max="2560" width="8.85546875" style="7"/>
    <col min="2561" max="2562" width="13.28515625" style="7" customWidth="1"/>
    <col min="2563" max="2563" width="13.42578125" style="7" customWidth="1"/>
    <col min="2564" max="2564" width="8.85546875" style="7"/>
    <col min="2565" max="2565" width="18.28515625" style="7" customWidth="1"/>
    <col min="2566" max="2566" width="15.140625" style="7" customWidth="1"/>
    <col min="2567" max="2567" width="25.140625" style="7" customWidth="1"/>
    <col min="2568" max="2568" width="24.42578125" style="7" customWidth="1"/>
    <col min="2569" max="2569" width="13.5703125" style="7" customWidth="1"/>
    <col min="2570" max="2572" width="8.85546875" style="7"/>
    <col min="2573" max="2573" width="15.5703125" style="7" customWidth="1"/>
    <col min="2574" max="2816" width="8.85546875" style="7"/>
    <col min="2817" max="2818" width="13.28515625" style="7" customWidth="1"/>
    <col min="2819" max="2819" width="13.42578125" style="7" customWidth="1"/>
    <col min="2820" max="2820" width="8.85546875" style="7"/>
    <col min="2821" max="2821" width="18.28515625" style="7" customWidth="1"/>
    <col min="2822" max="2822" width="15.140625" style="7" customWidth="1"/>
    <col min="2823" max="2823" width="25.140625" style="7" customWidth="1"/>
    <col min="2824" max="2824" width="24.42578125" style="7" customWidth="1"/>
    <col min="2825" max="2825" width="13.5703125" style="7" customWidth="1"/>
    <col min="2826" max="2828" width="8.85546875" style="7"/>
    <col min="2829" max="2829" width="15.5703125" style="7" customWidth="1"/>
    <col min="2830" max="3072" width="8.85546875" style="7"/>
    <col min="3073" max="3074" width="13.28515625" style="7" customWidth="1"/>
    <col min="3075" max="3075" width="13.42578125" style="7" customWidth="1"/>
    <col min="3076" max="3076" width="8.85546875" style="7"/>
    <col min="3077" max="3077" width="18.28515625" style="7" customWidth="1"/>
    <col min="3078" max="3078" width="15.140625" style="7" customWidth="1"/>
    <col min="3079" max="3079" width="25.140625" style="7" customWidth="1"/>
    <col min="3080" max="3080" width="24.42578125" style="7" customWidth="1"/>
    <col min="3081" max="3081" width="13.5703125" style="7" customWidth="1"/>
    <col min="3082" max="3084" width="8.85546875" style="7"/>
    <col min="3085" max="3085" width="15.5703125" style="7" customWidth="1"/>
    <col min="3086" max="3328" width="8.85546875" style="7"/>
    <col min="3329" max="3330" width="13.28515625" style="7" customWidth="1"/>
    <col min="3331" max="3331" width="13.42578125" style="7" customWidth="1"/>
    <col min="3332" max="3332" width="8.85546875" style="7"/>
    <col min="3333" max="3333" width="18.28515625" style="7" customWidth="1"/>
    <col min="3334" max="3334" width="15.140625" style="7" customWidth="1"/>
    <col min="3335" max="3335" width="25.140625" style="7" customWidth="1"/>
    <col min="3336" max="3336" width="24.42578125" style="7" customWidth="1"/>
    <col min="3337" max="3337" width="13.5703125" style="7" customWidth="1"/>
    <col min="3338" max="3340" width="8.85546875" style="7"/>
    <col min="3341" max="3341" width="15.5703125" style="7" customWidth="1"/>
    <col min="3342" max="3584" width="8.85546875" style="7"/>
    <col min="3585" max="3586" width="13.28515625" style="7" customWidth="1"/>
    <col min="3587" max="3587" width="13.42578125" style="7" customWidth="1"/>
    <col min="3588" max="3588" width="8.85546875" style="7"/>
    <col min="3589" max="3589" width="18.28515625" style="7" customWidth="1"/>
    <col min="3590" max="3590" width="15.140625" style="7" customWidth="1"/>
    <col min="3591" max="3591" width="25.140625" style="7" customWidth="1"/>
    <col min="3592" max="3592" width="24.42578125" style="7" customWidth="1"/>
    <col min="3593" max="3593" width="13.5703125" style="7" customWidth="1"/>
    <col min="3594" max="3596" width="8.85546875" style="7"/>
    <col min="3597" max="3597" width="15.5703125" style="7" customWidth="1"/>
    <col min="3598" max="3840" width="8.85546875" style="7"/>
    <col min="3841" max="3842" width="13.28515625" style="7" customWidth="1"/>
    <col min="3843" max="3843" width="13.42578125" style="7" customWidth="1"/>
    <col min="3844" max="3844" width="8.85546875" style="7"/>
    <col min="3845" max="3845" width="18.28515625" style="7" customWidth="1"/>
    <col min="3846" max="3846" width="15.140625" style="7" customWidth="1"/>
    <col min="3847" max="3847" width="25.140625" style="7" customWidth="1"/>
    <col min="3848" max="3848" width="24.42578125" style="7" customWidth="1"/>
    <col min="3849" max="3849" width="13.5703125" style="7" customWidth="1"/>
    <col min="3850" max="3852" width="8.85546875" style="7"/>
    <col min="3853" max="3853" width="15.5703125" style="7" customWidth="1"/>
    <col min="3854" max="4096" width="8.85546875" style="7"/>
    <col min="4097" max="4098" width="13.28515625" style="7" customWidth="1"/>
    <col min="4099" max="4099" width="13.42578125" style="7" customWidth="1"/>
    <col min="4100" max="4100" width="8.85546875" style="7"/>
    <col min="4101" max="4101" width="18.28515625" style="7" customWidth="1"/>
    <col min="4102" max="4102" width="15.140625" style="7" customWidth="1"/>
    <col min="4103" max="4103" width="25.140625" style="7" customWidth="1"/>
    <col min="4104" max="4104" width="24.42578125" style="7" customWidth="1"/>
    <col min="4105" max="4105" width="13.5703125" style="7" customWidth="1"/>
    <col min="4106" max="4108" width="8.85546875" style="7"/>
    <col min="4109" max="4109" width="15.5703125" style="7" customWidth="1"/>
    <col min="4110" max="4352" width="8.85546875" style="7"/>
    <col min="4353" max="4354" width="13.28515625" style="7" customWidth="1"/>
    <col min="4355" max="4355" width="13.42578125" style="7" customWidth="1"/>
    <col min="4356" max="4356" width="8.85546875" style="7"/>
    <col min="4357" max="4357" width="18.28515625" style="7" customWidth="1"/>
    <col min="4358" max="4358" width="15.140625" style="7" customWidth="1"/>
    <col min="4359" max="4359" width="25.140625" style="7" customWidth="1"/>
    <col min="4360" max="4360" width="24.42578125" style="7" customWidth="1"/>
    <col min="4361" max="4361" width="13.5703125" style="7" customWidth="1"/>
    <col min="4362" max="4364" width="8.85546875" style="7"/>
    <col min="4365" max="4365" width="15.5703125" style="7" customWidth="1"/>
    <col min="4366" max="4608" width="8.85546875" style="7"/>
    <col min="4609" max="4610" width="13.28515625" style="7" customWidth="1"/>
    <col min="4611" max="4611" width="13.42578125" style="7" customWidth="1"/>
    <col min="4612" max="4612" width="8.85546875" style="7"/>
    <col min="4613" max="4613" width="18.28515625" style="7" customWidth="1"/>
    <col min="4614" max="4614" width="15.140625" style="7" customWidth="1"/>
    <col min="4615" max="4615" width="25.140625" style="7" customWidth="1"/>
    <col min="4616" max="4616" width="24.42578125" style="7" customWidth="1"/>
    <col min="4617" max="4617" width="13.5703125" style="7" customWidth="1"/>
    <col min="4618" max="4620" width="8.85546875" style="7"/>
    <col min="4621" max="4621" width="15.5703125" style="7" customWidth="1"/>
    <col min="4622" max="4864" width="8.85546875" style="7"/>
    <col min="4865" max="4866" width="13.28515625" style="7" customWidth="1"/>
    <col min="4867" max="4867" width="13.42578125" style="7" customWidth="1"/>
    <col min="4868" max="4868" width="8.85546875" style="7"/>
    <col min="4869" max="4869" width="18.28515625" style="7" customWidth="1"/>
    <col min="4870" max="4870" width="15.140625" style="7" customWidth="1"/>
    <col min="4871" max="4871" width="25.140625" style="7" customWidth="1"/>
    <col min="4872" max="4872" width="24.42578125" style="7" customWidth="1"/>
    <col min="4873" max="4873" width="13.5703125" style="7" customWidth="1"/>
    <col min="4874" max="4876" width="8.85546875" style="7"/>
    <col min="4877" max="4877" width="15.5703125" style="7" customWidth="1"/>
    <col min="4878" max="5120" width="8.85546875" style="7"/>
    <col min="5121" max="5122" width="13.28515625" style="7" customWidth="1"/>
    <col min="5123" max="5123" width="13.42578125" style="7" customWidth="1"/>
    <col min="5124" max="5124" width="8.85546875" style="7"/>
    <col min="5125" max="5125" width="18.28515625" style="7" customWidth="1"/>
    <col min="5126" max="5126" width="15.140625" style="7" customWidth="1"/>
    <col min="5127" max="5127" width="25.140625" style="7" customWidth="1"/>
    <col min="5128" max="5128" width="24.42578125" style="7" customWidth="1"/>
    <col min="5129" max="5129" width="13.5703125" style="7" customWidth="1"/>
    <col min="5130" max="5132" width="8.85546875" style="7"/>
    <col min="5133" max="5133" width="15.5703125" style="7" customWidth="1"/>
    <col min="5134" max="5376" width="8.85546875" style="7"/>
    <col min="5377" max="5378" width="13.28515625" style="7" customWidth="1"/>
    <col min="5379" max="5379" width="13.42578125" style="7" customWidth="1"/>
    <col min="5380" max="5380" width="8.85546875" style="7"/>
    <col min="5381" max="5381" width="18.28515625" style="7" customWidth="1"/>
    <col min="5382" max="5382" width="15.140625" style="7" customWidth="1"/>
    <col min="5383" max="5383" width="25.140625" style="7" customWidth="1"/>
    <col min="5384" max="5384" width="24.42578125" style="7" customWidth="1"/>
    <col min="5385" max="5385" width="13.5703125" style="7" customWidth="1"/>
    <col min="5386" max="5388" width="8.85546875" style="7"/>
    <col min="5389" max="5389" width="15.5703125" style="7" customWidth="1"/>
    <col min="5390" max="5632" width="8.85546875" style="7"/>
    <col min="5633" max="5634" width="13.28515625" style="7" customWidth="1"/>
    <col min="5635" max="5635" width="13.42578125" style="7" customWidth="1"/>
    <col min="5636" max="5636" width="8.85546875" style="7"/>
    <col min="5637" max="5637" width="18.28515625" style="7" customWidth="1"/>
    <col min="5638" max="5638" width="15.140625" style="7" customWidth="1"/>
    <col min="5639" max="5639" width="25.140625" style="7" customWidth="1"/>
    <col min="5640" max="5640" width="24.42578125" style="7" customWidth="1"/>
    <col min="5641" max="5641" width="13.5703125" style="7" customWidth="1"/>
    <col min="5642" max="5644" width="8.85546875" style="7"/>
    <col min="5645" max="5645" width="15.5703125" style="7" customWidth="1"/>
    <col min="5646" max="5888" width="8.85546875" style="7"/>
    <col min="5889" max="5890" width="13.28515625" style="7" customWidth="1"/>
    <col min="5891" max="5891" width="13.42578125" style="7" customWidth="1"/>
    <col min="5892" max="5892" width="8.85546875" style="7"/>
    <col min="5893" max="5893" width="18.28515625" style="7" customWidth="1"/>
    <col min="5894" max="5894" width="15.140625" style="7" customWidth="1"/>
    <col min="5895" max="5895" width="25.140625" style="7" customWidth="1"/>
    <col min="5896" max="5896" width="24.42578125" style="7" customWidth="1"/>
    <col min="5897" max="5897" width="13.5703125" style="7" customWidth="1"/>
    <col min="5898" max="5900" width="8.85546875" style="7"/>
    <col min="5901" max="5901" width="15.5703125" style="7" customWidth="1"/>
    <col min="5902" max="6144" width="8.85546875" style="7"/>
    <col min="6145" max="6146" width="13.28515625" style="7" customWidth="1"/>
    <col min="6147" max="6147" width="13.42578125" style="7" customWidth="1"/>
    <col min="6148" max="6148" width="8.85546875" style="7"/>
    <col min="6149" max="6149" width="18.28515625" style="7" customWidth="1"/>
    <col min="6150" max="6150" width="15.140625" style="7" customWidth="1"/>
    <col min="6151" max="6151" width="25.140625" style="7" customWidth="1"/>
    <col min="6152" max="6152" width="24.42578125" style="7" customWidth="1"/>
    <col min="6153" max="6153" width="13.5703125" style="7" customWidth="1"/>
    <col min="6154" max="6156" width="8.85546875" style="7"/>
    <col min="6157" max="6157" width="15.5703125" style="7" customWidth="1"/>
    <col min="6158" max="6400" width="8.85546875" style="7"/>
    <col min="6401" max="6402" width="13.28515625" style="7" customWidth="1"/>
    <col min="6403" max="6403" width="13.42578125" style="7" customWidth="1"/>
    <col min="6404" max="6404" width="8.85546875" style="7"/>
    <col min="6405" max="6405" width="18.28515625" style="7" customWidth="1"/>
    <col min="6406" max="6406" width="15.140625" style="7" customWidth="1"/>
    <col min="6407" max="6407" width="25.140625" style="7" customWidth="1"/>
    <col min="6408" max="6408" width="24.42578125" style="7" customWidth="1"/>
    <col min="6409" max="6409" width="13.5703125" style="7" customWidth="1"/>
    <col min="6410" max="6412" width="8.85546875" style="7"/>
    <col min="6413" max="6413" width="15.5703125" style="7" customWidth="1"/>
    <col min="6414" max="6656" width="8.85546875" style="7"/>
    <col min="6657" max="6658" width="13.28515625" style="7" customWidth="1"/>
    <col min="6659" max="6659" width="13.42578125" style="7" customWidth="1"/>
    <col min="6660" max="6660" width="8.85546875" style="7"/>
    <col min="6661" max="6661" width="18.28515625" style="7" customWidth="1"/>
    <col min="6662" max="6662" width="15.140625" style="7" customWidth="1"/>
    <col min="6663" max="6663" width="25.140625" style="7" customWidth="1"/>
    <col min="6664" max="6664" width="24.42578125" style="7" customWidth="1"/>
    <col min="6665" max="6665" width="13.5703125" style="7" customWidth="1"/>
    <col min="6666" max="6668" width="8.85546875" style="7"/>
    <col min="6669" max="6669" width="15.5703125" style="7" customWidth="1"/>
    <col min="6670" max="6912" width="8.85546875" style="7"/>
    <col min="6913" max="6914" width="13.28515625" style="7" customWidth="1"/>
    <col min="6915" max="6915" width="13.42578125" style="7" customWidth="1"/>
    <col min="6916" max="6916" width="8.85546875" style="7"/>
    <col min="6917" max="6917" width="18.28515625" style="7" customWidth="1"/>
    <col min="6918" max="6918" width="15.140625" style="7" customWidth="1"/>
    <col min="6919" max="6919" width="25.140625" style="7" customWidth="1"/>
    <col min="6920" max="6920" width="24.42578125" style="7" customWidth="1"/>
    <col min="6921" max="6921" width="13.5703125" style="7" customWidth="1"/>
    <col min="6922" max="6924" width="8.85546875" style="7"/>
    <col min="6925" max="6925" width="15.5703125" style="7" customWidth="1"/>
    <col min="6926" max="7168" width="8.85546875" style="7"/>
    <col min="7169" max="7170" width="13.28515625" style="7" customWidth="1"/>
    <col min="7171" max="7171" width="13.42578125" style="7" customWidth="1"/>
    <col min="7172" max="7172" width="8.85546875" style="7"/>
    <col min="7173" max="7173" width="18.28515625" style="7" customWidth="1"/>
    <col min="7174" max="7174" width="15.140625" style="7" customWidth="1"/>
    <col min="7175" max="7175" width="25.140625" style="7" customWidth="1"/>
    <col min="7176" max="7176" width="24.42578125" style="7" customWidth="1"/>
    <col min="7177" max="7177" width="13.5703125" style="7" customWidth="1"/>
    <col min="7178" max="7180" width="8.85546875" style="7"/>
    <col min="7181" max="7181" width="15.5703125" style="7" customWidth="1"/>
    <col min="7182" max="7424" width="8.85546875" style="7"/>
    <col min="7425" max="7426" width="13.28515625" style="7" customWidth="1"/>
    <col min="7427" max="7427" width="13.42578125" style="7" customWidth="1"/>
    <col min="7428" max="7428" width="8.85546875" style="7"/>
    <col min="7429" max="7429" width="18.28515625" style="7" customWidth="1"/>
    <col min="7430" max="7430" width="15.140625" style="7" customWidth="1"/>
    <col min="7431" max="7431" width="25.140625" style="7" customWidth="1"/>
    <col min="7432" max="7432" width="24.42578125" style="7" customWidth="1"/>
    <col min="7433" max="7433" width="13.5703125" style="7" customWidth="1"/>
    <col min="7434" max="7436" width="8.85546875" style="7"/>
    <col min="7437" max="7437" width="15.5703125" style="7" customWidth="1"/>
    <col min="7438" max="7680" width="8.85546875" style="7"/>
    <col min="7681" max="7682" width="13.28515625" style="7" customWidth="1"/>
    <col min="7683" max="7683" width="13.42578125" style="7" customWidth="1"/>
    <col min="7684" max="7684" width="8.85546875" style="7"/>
    <col min="7685" max="7685" width="18.28515625" style="7" customWidth="1"/>
    <col min="7686" max="7686" width="15.140625" style="7" customWidth="1"/>
    <col min="7687" max="7687" width="25.140625" style="7" customWidth="1"/>
    <col min="7688" max="7688" width="24.42578125" style="7" customWidth="1"/>
    <col min="7689" max="7689" width="13.5703125" style="7" customWidth="1"/>
    <col min="7690" max="7692" width="8.85546875" style="7"/>
    <col min="7693" max="7693" width="15.5703125" style="7" customWidth="1"/>
    <col min="7694" max="7936" width="8.85546875" style="7"/>
    <col min="7937" max="7938" width="13.28515625" style="7" customWidth="1"/>
    <col min="7939" max="7939" width="13.42578125" style="7" customWidth="1"/>
    <col min="7940" max="7940" width="8.85546875" style="7"/>
    <col min="7941" max="7941" width="18.28515625" style="7" customWidth="1"/>
    <col min="7942" max="7942" width="15.140625" style="7" customWidth="1"/>
    <col min="7943" max="7943" width="25.140625" style="7" customWidth="1"/>
    <col min="7944" max="7944" width="24.42578125" style="7" customWidth="1"/>
    <col min="7945" max="7945" width="13.5703125" style="7" customWidth="1"/>
    <col min="7946" max="7948" width="8.85546875" style="7"/>
    <col min="7949" max="7949" width="15.5703125" style="7" customWidth="1"/>
    <col min="7950" max="8192" width="8.85546875" style="7"/>
    <col min="8193" max="8194" width="13.28515625" style="7" customWidth="1"/>
    <col min="8195" max="8195" width="13.42578125" style="7" customWidth="1"/>
    <col min="8196" max="8196" width="8.85546875" style="7"/>
    <col min="8197" max="8197" width="18.28515625" style="7" customWidth="1"/>
    <col min="8198" max="8198" width="15.140625" style="7" customWidth="1"/>
    <col min="8199" max="8199" width="25.140625" style="7" customWidth="1"/>
    <col min="8200" max="8200" width="24.42578125" style="7" customWidth="1"/>
    <col min="8201" max="8201" width="13.5703125" style="7" customWidth="1"/>
    <col min="8202" max="8204" width="8.85546875" style="7"/>
    <col min="8205" max="8205" width="15.5703125" style="7" customWidth="1"/>
    <col min="8206" max="8448" width="8.85546875" style="7"/>
    <col min="8449" max="8450" width="13.28515625" style="7" customWidth="1"/>
    <col min="8451" max="8451" width="13.42578125" style="7" customWidth="1"/>
    <col min="8452" max="8452" width="8.85546875" style="7"/>
    <col min="8453" max="8453" width="18.28515625" style="7" customWidth="1"/>
    <col min="8454" max="8454" width="15.140625" style="7" customWidth="1"/>
    <col min="8455" max="8455" width="25.140625" style="7" customWidth="1"/>
    <col min="8456" max="8456" width="24.42578125" style="7" customWidth="1"/>
    <col min="8457" max="8457" width="13.5703125" style="7" customWidth="1"/>
    <col min="8458" max="8460" width="8.85546875" style="7"/>
    <col min="8461" max="8461" width="15.5703125" style="7" customWidth="1"/>
    <col min="8462" max="8704" width="8.85546875" style="7"/>
    <col min="8705" max="8706" width="13.28515625" style="7" customWidth="1"/>
    <col min="8707" max="8707" width="13.42578125" style="7" customWidth="1"/>
    <col min="8708" max="8708" width="8.85546875" style="7"/>
    <col min="8709" max="8709" width="18.28515625" style="7" customWidth="1"/>
    <col min="8710" max="8710" width="15.140625" style="7" customWidth="1"/>
    <col min="8711" max="8711" width="25.140625" style="7" customWidth="1"/>
    <col min="8712" max="8712" width="24.42578125" style="7" customWidth="1"/>
    <col min="8713" max="8713" width="13.5703125" style="7" customWidth="1"/>
    <col min="8714" max="8716" width="8.85546875" style="7"/>
    <col min="8717" max="8717" width="15.5703125" style="7" customWidth="1"/>
    <col min="8718" max="8960" width="8.85546875" style="7"/>
    <col min="8961" max="8962" width="13.28515625" style="7" customWidth="1"/>
    <col min="8963" max="8963" width="13.42578125" style="7" customWidth="1"/>
    <col min="8964" max="8964" width="8.85546875" style="7"/>
    <col min="8965" max="8965" width="18.28515625" style="7" customWidth="1"/>
    <col min="8966" max="8966" width="15.140625" style="7" customWidth="1"/>
    <col min="8967" max="8967" width="25.140625" style="7" customWidth="1"/>
    <col min="8968" max="8968" width="24.42578125" style="7" customWidth="1"/>
    <col min="8969" max="8969" width="13.5703125" style="7" customWidth="1"/>
    <col min="8970" max="8972" width="8.85546875" style="7"/>
    <col min="8973" max="8973" width="15.5703125" style="7" customWidth="1"/>
    <col min="8974" max="9216" width="8.85546875" style="7"/>
    <col min="9217" max="9218" width="13.28515625" style="7" customWidth="1"/>
    <col min="9219" max="9219" width="13.42578125" style="7" customWidth="1"/>
    <col min="9220" max="9220" width="8.85546875" style="7"/>
    <col min="9221" max="9221" width="18.28515625" style="7" customWidth="1"/>
    <col min="9222" max="9222" width="15.140625" style="7" customWidth="1"/>
    <col min="9223" max="9223" width="25.140625" style="7" customWidth="1"/>
    <col min="9224" max="9224" width="24.42578125" style="7" customWidth="1"/>
    <col min="9225" max="9225" width="13.5703125" style="7" customWidth="1"/>
    <col min="9226" max="9228" width="8.85546875" style="7"/>
    <col min="9229" max="9229" width="15.5703125" style="7" customWidth="1"/>
    <col min="9230" max="9472" width="8.85546875" style="7"/>
    <col min="9473" max="9474" width="13.28515625" style="7" customWidth="1"/>
    <col min="9475" max="9475" width="13.42578125" style="7" customWidth="1"/>
    <col min="9476" max="9476" width="8.85546875" style="7"/>
    <col min="9477" max="9477" width="18.28515625" style="7" customWidth="1"/>
    <col min="9478" max="9478" width="15.140625" style="7" customWidth="1"/>
    <col min="9479" max="9479" width="25.140625" style="7" customWidth="1"/>
    <col min="9480" max="9480" width="24.42578125" style="7" customWidth="1"/>
    <col min="9481" max="9481" width="13.5703125" style="7" customWidth="1"/>
    <col min="9482" max="9484" width="8.85546875" style="7"/>
    <col min="9485" max="9485" width="15.5703125" style="7" customWidth="1"/>
    <col min="9486" max="9728" width="8.85546875" style="7"/>
    <col min="9729" max="9730" width="13.28515625" style="7" customWidth="1"/>
    <col min="9731" max="9731" width="13.42578125" style="7" customWidth="1"/>
    <col min="9732" max="9732" width="8.85546875" style="7"/>
    <col min="9733" max="9733" width="18.28515625" style="7" customWidth="1"/>
    <col min="9734" max="9734" width="15.140625" style="7" customWidth="1"/>
    <col min="9735" max="9735" width="25.140625" style="7" customWidth="1"/>
    <col min="9736" max="9736" width="24.42578125" style="7" customWidth="1"/>
    <col min="9737" max="9737" width="13.5703125" style="7" customWidth="1"/>
    <col min="9738" max="9740" width="8.85546875" style="7"/>
    <col min="9741" max="9741" width="15.5703125" style="7" customWidth="1"/>
    <col min="9742" max="9984" width="8.85546875" style="7"/>
    <col min="9985" max="9986" width="13.28515625" style="7" customWidth="1"/>
    <col min="9987" max="9987" width="13.42578125" style="7" customWidth="1"/>
    <col min="9988" max="9988" width="8.85546875" style="7"/>
    <col min="9989" max="9989" width="18.28515625" style="7" customWidth="1"/>
    <col min="9990" max="9990" width="15.140625" style="7" customWidth="1"/>
    <col min="9991" max="9991" width="25.140625" style="7" customWidth="1"/>
    <col min="9992" max="9992" width="24.42578125" style="7" customWidth="1"/>
    <col min="9993" max="9993" width="13.5703125" style="7" customWidth="1"/>
    <col min="9994" max="9996" width="8.85546875" style="7"/>
    <col min="9997" max="9997" width="15.5703125" style="7" customWidth="1"/>
    <col min="9998" max="10240" width="8.85546875" style="7"/>
    <col min="10241" max="10242" width="13.28515625" style="7" customWidth="1"/>
    <col min="10243" max="10243" width="13.42578125" style="7" customWidth="1"/>
    <col min="10244" max="10244" width="8.85546875" style="7"/>
    <col min="10245" max="10245" width="18.28515625" style="7" customWidth="1"/>
    <col min="10246" max="10246" width="15.140625" style="7" customWidth="1"/>
    <col min="10247" max="10247" width="25.140625" style="7" customWidth="1"/>
    <col min="10248" max="10248" width="24.42578125" style="7" customWidth="1"/>
    <col min="10249" max="10249" width="13.5703125" style="7" customWidth="1"/>
    <col min="10250" max="10252" width="8.85546875" style="7"/>
    <col min="10253" max="10253" width="15.5703125" style="7" customWidth="1"/>
    <col min="10254" max="10496" width="8.85546875" style="7"/>
    <col min="10497" max="10498" width="13.28515625" style="7" customWidth="1"/>
    <col min="10499" max="10499" width="13.42578125" style="7" customWidth="1"/>
    <col min="10500" max="10500" width="8.85546875" style="7"/>
    <col min="10501" max="10501" width="18.28515625" style="7" customWidth="1"/>
    <col min="10502" max="10502" width="15.140625" style="7" customWidth="1"/>
    <col min="10503" max="10503" width="25.140625" style="7" customWidth="1"/>
    <col min="10504" max="10504" width="24.42578125" style="7" customWidth="1"/>
    <col min="10505" max="10505" width="13.5703125" style="7" customWidth="1"/>
    <col min="10506" max="10508" width="8.85546875" style="7"/>
    <col min="10509" max="10509" width="15.5703125" style="7" customWidth="1"/>
    <col min="10510" max="10752" width="8.85546875" style="7"/>
    <col min="10753" max="10754" width="13.28515625" style="7" customWidth="1"/>
    <col min="10755" max="10755" width="13.42578125" style="7" customWidth="1"/>
    <col min="10756" max="10756" width="8.85546875" style="7"/>
    <col min="10757" max="10757" width="18.28515625" style="7" customWidth="1"/>
    <col min="10758" max="10758" width="15.140625" style="7" customWidth="1"/>
    <col min="10759" max="10759" width="25.140625" style="7" customWidth="1"/>
    <col min="10760" max="10760" width="24.42578125" style="7" customWidth="1"/>
    <col min="10761" max="10761" width="13.5703125" style="7" customWidth="1"/>
    <col min="10762" max="10764" width="8.85546875" style="7"/>
    <col min="10765" max="10765" width="15.5703125" style="7" customWidth="1"/>
    <col min="10766" max="11008" width="8.85546875" style="7"/>
    <col min="11009" max="11010" width="13.28515625" style="7" customWidth="1"/>
    <col min="11011" max="11011" width="13.42578125" style="7" customWidth="1"/>
    <col min="11012" max="11012" width="8.85546875" style="7"/>
    <col min="11013" max="11013" width="18.28515625" style="7" customWidth="1"/>
    <col min="11014" max="11014" width="15.140625" style="7" customWidth="1"/>
    <col min="11015" max="11015" width="25.140625" style="7" customWidth="1"/>
    <col min="11016" max="11016" width="24.42578125" style="7" customWidth="1"/>
    <col min="11017" max="11017" width="13.5703125" style="7" customWidth="1"/>
    <col min="11018" max="11020" width="8.85546875" style="7"/>
    <col min="11021" max="11021" width="15.5703125" style="7" customWidth="1"/>
    <col min="11022" max="11264" width="8.85546875" style="7"/>
    <col min="11265" max="11266" width="13.28515625" style="7" customWidth="1"/>
    <col min="11267" max="11267" width="13.42578125" style="7" customWidth="1"/>
    <col min="11268" max="11268" width="8.85546875" style="7"/>
    <col min="11269" max="11269" width="18.28515625" style="7" customWidth="1"/>
    <col min="11270" max="11270" width="15.140625" style="7" customWidth="1"/>
    <col min="11271" max="11271" width="25.140625" style="7" customWidth="1"/>
    <col min="11272" max="11272" width="24.42578125" style="7" customWidth="1"/>
    <col min="11273" max="11273" width="13.5703125" style="7" customWidth="1"/>
    <col min="11274" max="11276" width="8.85546875" style="7"/>
    <col min="11277" max="11277" width="15.5703125" style="7" customWidth="1"/>
    <col min="11278" max="11520" width="8.85546875" style="7"/>
    <col min="11521" max="11522" width="13.28515625" style="7" customWidth="1"/>
    <col min="11523" max="11523" width="13.42578125" style="7" customWidth="1"/>
    <col min="11524" max="11524" width="8.85546875" style="7"/>
    <col min="11525" max="11525" width="18.28515625" style="7" customWidth="1"/>
    <col min="11526" max="11526" width="15.140625" style="7" customWidth="1"/>
    <col min="11527" max="11527" width="25.140625" style="7" customWidth="1"/>
    <col min="11528" max="11528" width="24.42578125" style="7" customWidth="1"/>
    <col min="11529" max="11529" width="13.5703125" style="7" customWidth="1"/>
    <col min="11530" max="11532" width="8.85546875" style="7"/>
    <col min="11533" max="11533" width="15.5703125" style="7" customWidth="1"/>
    <col min="11534" max="11776" width="8.85546875" style="7"/>
    <col min="11777" max="11778" width="13.28515625" style="7" customWidth="1"/>
    <col min="11779" max="11779" width="13.42578125" style="7" customWidth="1"/>
    <col min="11780" max="11780" width="8.85546875" style="7"/>
    <col min="11781" max="11781" width="18.28515625" style="7" customWidth="1"/>
    <col min="11782" max="11782" width="15.140625" style="7" customWidth="1"/>
    <col min="11783" max="11783" width="25.140625" style="7" customWidth="1"/>
    <col min="11784" max="11784" width="24.42578125" style="7" customWidth="1"/>
    <col min="11785" max="11785" width="13.5703125" style="7" customWidth="1"/>
    <col min="11786" max="11788" width="8.85546875" style="7"/>
    <col min="11789" max="11789" width="15.5703125" style="7" customWidth="1"/>
    <col min="11790" max="12032" width="8.85546875" style="7"/>
    <col min="12033" max="12034" width="13.28515625" style="7" customWidth="1"/>
    <col min="12035" max="12035" width="13.42578125" style="7" customWidth="1"/>
    <col min="12036" max="12036" width="8.85546875" style="7"/>
    <col min="12037" max="12037" width="18.28515625" style="7" customWidth="1"/>
    <col min="12038" max="12038" width="15.140625" style="7" customWidth="1"/>
    <col min="12039" max="12039" width="25.140625" style="7" customWidth="1"/>
    <col min="12040" max="12040" width="24.42578125" style="7" customWidth="1"/>
    <col min="12041" max="12041" width="13.5703125" style="7" customWidth="1"/>
    <col min="12042" max="12044" width="8.85546875" style="7"/>
    <col min="12045" max="12045" width="15.5703125" style="7" customWidth="1"/>
    <col min="12046" max="12288" width="8.85546875" style="7"/>
    <col min="12289" max="12290" width="13.28515625" style="7" customWidth="1"/>
    <col min="12291" max="12291" width="13.42578125" style="7" customWidth="1"/>
    <col min="12292" max="12292" width="8.85546875" style="7"/>
    <col min="12293" max="12293" width="18.28515625" style="7" customWidth="1"/>
    <col min="12294" max="12294" width="15.140625" style="7" customWidth="1"/>
    <col min="12295" max="12295" width="25.140625" style="7" customWidth="1"/>
    <col min="12296" max="12296" width="24.42578125" style="7" customWidth="1"/>
    <col min="12297" max="12297" width="13.5703125" style="7" customWidth="1"/>
    <col min="12298" max="12300" width="8.85546875" style="7"/>
    <col min="12301" max="12301" width="15.5703125" style="7" customWidth="1"/>
    <col min="12302" max="12544" width="8.85546875" style="7"/>
    <col min="12545" max="12546" width="13.28515625" style="7" customWidth="1"/>
    <col min="12547" max="12547" width="13.42578125" style="7" customWidth="1"/>
    <col min="12548" max="12548" width="8.85546875" style="7"/>
    <col min="12549" max="12549" width="18.28515625" style="7" customWidth="1"/>
    <col min="12550" max="12550" width="15.140625" style="7" customWidth="1"/>
    <col min="12551" max="12551" width="25.140625" style="7" customWidth="1"/>
    <col min="12552" max="12552" width="24.42578125" style="7" customWidth="1"/>
    <col min="12553" max="12553" width="13.5703125" style="7" customWidth="1"/>
    <col min="12554" max="12556" width="8.85546875" style="7"/>
    <col min="12557" max="12557" width="15.5703125" style="7" customWidth="1"/>
    <col min="12558" max="12800" width="8.85546875" style="7"/>
    <col min="12801" max="12802" width="13.28515625" style="7" customWidth="1"/>
    <col min="12803" max="12803" width="13.42578125" style="7" customWidth="1"/>
    <col min="12804" max="12804" width="8.85546875" style="7"/>
    <col min="12805" max="12805" width="18.28515625" style="7" customWidth="1"/>
    <col min="12806" max="12806" width="15.140625" style="7" customWidth="1"/>
    <col min="12807" max="12807" width="25.140625" style="7" customWidth="1"/>
    <col min="12808" max="12808" width="24.42578125" style="7" customWidth="1"/>
    <col min="12809" max="12809" width="13.5703125" style="7" customWidth="1"/>
    <col min="12810" max="12812" width="8.85546875" style="7"/>
    <col min="12813" max="12813" width="15.5703125" style="7" customWidth="1"/>
    <col min="12814" max="13056" width="8.85546875" style="7"/>
    <col min="13057" max="13058" width="13.28515625" style="7" customWidth="1"/>
    <col min="13059" max="13059" width="13.42578125" style="7" customWidth="1"/>
    <col min="13060" max="13060" width="8.85546875" style="7"/>
    <col min="13061" max="13061" width="18.28515625" style="7" customWidth="1"/>
    <col min="13062" max="13062" width="15.140625" style="7" customWidth="1"/>
    <col min="13063" max="13063" width="25.140625" style="7" customWidth="1"/>
    <col min="13064" max="13064" width="24.42578125" style="7" customWidth="1"/>
    <col min="13065" max="13065" width="13.5703125" style="7" customWidth="1"/>
    <col min="13066" max="13068" width="8.85546875" style="7"/>
    <col min="13069" max="13069" width="15.5703125" style="7" customWidth="1"/>
    <col min="13070" max="13312" width="8.85546875" style="7"/>
    <col min="13313" max="13314" width="13.28515625" style="7" customWidth="1"/>
    <col min="13315" max="13315" width="13.42578125" style="7" customWidth="1"/>
    <col min="13316" max="13316" width="8.85546875" style="7"/>
    <col min="13317" max="13317" width="18.28515625" style="7" customWidth="1"/>
    <col min="13318" max="13318" width="15.140625" style="7" customWidth="1"/>
    <col min="13319" max="13319" width="25.140625" style="7" customWidth="1"/>
    <col min="13320" max="13320" width="24.42578125" style="7" customWidth="1"/>
    <col min="13321" max="13321" width="13.5703125" style="7" customWidth="1"/>
    <col min="13322" max="13324" width="8.85546875" style="7"/>
    <col min="13325" max="13325" width="15.5703125" style="7" customWidth="1"/>
    <col min="13326" max="13568" width="8.85546875" style="7"/>
    <col min="13569" max="13570" width="13.28515625" style="7" customWidth="1"/>
    <col min="13571" max="13571" width="13.42578125" style="7" customWidth="1"/>
    <col min="13572" max="13572" width="8.85546875" style="7"/>
    <col min="13573" max="13573" width="18.28515625" style="7" customWidth="1"/>
    <col min="13574" max="13574" width="15.140625" style="7" customWidth="1"/>
    <col min="13575" max="13575" width="25.140625" style="7" customWidth="1"/>
    <col min="13576" max="13576" width="24.42578125" style="7" customWidth="1"/>
    <col min="13577" max="13577" width="13.5703125" style="7" customWidth="1"/>
    <col min="13578" max="13580" width="8.85546875" style="7"/>
    <col min="13581" max="13581" width="15.5703125" style="7" customWidth="1"/>
    <col min="13582" max="13824" width="8.85546875" style="7"/>
    <col min="13825" max="13826" width="13.28515625" style="7" customWidth="1"/>
    <col min="13827" max="13827" width="13.42578125" style="7" customWidth="1"/>
    <col min="13828" max="13828" width="8.85546875" style="7"/>
    <col min="13829" max="13829" width="18.28515625" style="7" customWidth="1"/>
    <col min="13830" max="13830" width="15.140625" style="7" customWidth="1"/>
    <col min="13831" max="13831" width="25.140625" style="7" customWidth="1"/>
    <col min="13832" max="13832" width="24.42578125" style="7" customWidth="1"/>
    <col min="13833" max="13833" width="13.5703125" style="7" customWidth="1"/>
    <col min="13834" max="13836" width="8.85546875" style="7"/>
    <col min="13837" max="13837" width="15.5703125" style="7" customWidth="1"/>
    <col min="13838" max="14080" width="8.85546875" style="7"/>
    <col min="14081" max="14082" width="13.28515625" style="7" customWidth="1"/>
    <col min="14083" max="14083" width="13.42578125" style="7" customWidth="1"/>
    <col min="14084" max="14084" width="8.85546875" style="7"/>
    <col min="14085" max="14085" width="18.28515625" style="7" customWidth="1"/>
    <col min="14086" max="14086" width="15.140625" style="7" customWidth="1"/>
    <col min="14087" max="14087" width="25.140625" style="7" customWidth="1"/>
    <col min="14088" max="14088" width="24.42578125" style="7" customWidth="1"/>
    <col min="14089" max="14089" width="13.5703125" style="7" customWidth="1"/>
    <col min="14090" max="14092" width="8.85546875" style="7"/>
    <col min="14093" max="14093" width="15.5703125" style="7" customWidth="1"/>
    <col min="14094" max="14336" width="8.85546875" style="7"/>
    <col min="14337" max="14338" width="13.28515625" style="7" customWidth="1"/>
    <col min="14339" max="14339" width="13.42578125" style="7" customWidth="1"/>
    <col min="14340" max="14340" width="8.85546875" style="7"/>
    <col min="14341" max="14341" width="18.28515625" style="7" customWidth="1"/>
    <col min="14342" max="14342" width="15.140625" style="7" customWidth="1"/>
    <col min="14343" max="14343" width="25.140625" style="7" customWidth="1"/>
    <col min="14344" max="14344" width="24.42578125" style="7" customWidth="1"/>
    <col min="14345" max="14345" width="13.5703125" style="7" customWidth="1"/>
    <col min="14346" max="14348" width="8.85546875" style="7"/>
    <col min="14349" max="14349" width="15.5703125" style="7" customWidth="1"/>
    <col min="14350" max="14592" width="8.85546875" style="7"/>
    <col min="14593" max="14594" width="13.28515625" style="7" customWidth="1"/>
    <col min="14595" max="14595" width="13.42578125" style="7" customWidth="1"/>
    <col min="14596" max="14596" width="8.85546875" style="7"/>
    <col min="14597" max="14597" width="18.28515625" style="7" customWidth="1"/>
    <col min="14598" max="14598" width="15.140625" style="7" customWidth="1"/>
    <col min="14599" max="14599" width="25.140625" style="7" customWidth="1"/>
    <col min="14600" max="14600" width="24.42578125" style="7" customWidth="1"/>
    <col min="14601" max="14601" width="13.5703125" style="7" customWidth="1"/>
    <col min="14602" max="14604" width="8.85546875" style="7"/>
    <col min="14605" max="14605" width="15.5703125" style="7" customWidth="1"/>
    <col min="14606" max="14848" width="8.85546875" style="7"/>
    <col min="14849" max="14850" width="13.28515625" style="7" customWidth="1"/>
    <col min="14851" max="14851" width="13.42578125" style="7" customWidth="1"/>
    <col min="14852" max="14852" width="8.85546875" style="7"/>
    <col min="14853" max="14853" width="18.28515625" style="7" customWidth="1"/>
    <col min="14854" max="14854" width="15.140625" style="7" customWidth="1"/>
    <col min="14855" max="14855" width="25.140625" style="7" customWidth="1"/>
    <col min="14856" max="14856" width="24.42578125" style="7" customWidth="1"/>
    <col min="14857" max="14857" width="13.5703125" style="7" customWidth="1"/>
    <col min="14858" max="14860" width="8.85546875" style="7"/>
    <col min="14861" max="14861" width="15.5703125" style="7" customWidth="1"/>
    <col min="14862" max="15104" width="8.85546875" style="7"/>
    <col min="15105" max="15106" width="13.28515625" style="7" customWidth="1"/>
    <col min="15107" max="15107" width="13.42578125" style="7" customWidth="1"/>
    <col min="15108" max="15108" width="8.85546875" style="7"/>
    <col min="15109" max="15109" width="18.28515625" style="7" customWidth="1"/>
    <col min="15110" max="15110" width="15.140625" style="7" customWidth="1"/>
    <col min="15111" max="15111" width="25.140625" style="7" customWidth="1"/>
    <col min="15112" max="15112" width="24.42578125" style="7" customWidth="1"/>
    <col min="15113" max="15113" width="13.5703125" style="7" customWidth="1"/>
    <col min="15114" max="15116" width="8.85546875" style="7"/>
    <col min="15117" max="15117" width="15.5703125" style="7" customWidth="1"/>
    <col min="15118" max="15360" width="8.85546875" style="7"/>
    <col min="15361" max="15362" width="13.28515625" style="7" customWidth="1"/>
    <col min="15363" max="15363" width="13.42578125" style="7" customWidth="1"/>
    <col min="15364" max="15364" width="8.85546875" style="7"/>
    <col min="15365" max="15365" width="18.28515625" style="7" customWidth="1"/>
    <col min="15366" max="15366" width="15.140625" style="7" customWidth="1"/>
    <col min="15367" max="15367" width="25.140625" style="7" customWidth="1"/>
    <col min="15368" max="15368" width="24.42578125" style="7" customWidth="1"/>
    <col min="15369" max="15369" width="13.5703125" style="7" customWidth="1"/>
    <col min="15370" max="15372" width="8.85546875" style="7"/>
    <col min="15373" max="15373" width="15.5703125" style="7" customWidth="1"/>
    <col min="15374" max="15616" width="8.85546875" style="7"/>
    <col min="15617" max="15618" width="13.28515625" style="7" customWidth="1"/>
    <col min="15619" max="15619" width="13.42578125" style="7" customWidth="1"/>
    <col min="15620" max="15620" width="8.85546875" style="7"/>
    <col min="15621" max="15621" width="18.28515625" style="7" customWidth="1"/>
    <col min="15622" max="15622" width="15.140625" style="7" customWidth="1"/>
    <col min="15623" max="15623" width="25.140625" style="7" customWidth="1"/>
    <col min="15624" max="15624" width="24.42578125" style="7" customWidth="1"/>
    <col min="15625" max="15625" width="13.5703125" style="7" customWidth="1"/>
    <col min="15626" max="15628" width="8.85546875" style="7"/>
    <col min="15629" max="15629" width="15.5703125" style="7" customWidth="1"/>
    <col min="15630" max="15872" width="8.85546875" style="7"/>
    <col min="15873" max="15874" width="13.28515625" style="7" customWidth="1"/>
    <col min="15875" max="15875" width="13.42578125" style="7" customWidth="1"/>
    <col min="15876" max="15876" width="8.85546875" style="7"/>
    <col min="15877" max="15877" width="18.28515625" style="7" customWidth="1"/>
    <col min="15878" max="15878" width="15.140625" style="7" customWidth="1"/>
    <col min="15879" max="15879" width="25.140625" style="7" customWidth="1"/>
    <col min="15880" max="15880" width="24.42578125" style="7" customWidth="1"/>
    <col min="15881" max="15881" width="13.5703125" style="7" customWidth="1"/>
    <col min="15882" max="15884" width="8.85546875" style="7"/>
    <col min="15885" max="15885" width="15.5703125" style="7" customWidth="1"/>
    <col min="15886" max="16128" width="8.85546875" style="7"/>
    <col min="16129" max="16130" width="13.28515625" style="7" customWidth="1"/>
    <col min="16131" max="16131" width="13.42578125" style="7" customWidth="1"/>
    <col min="16132" max="16132" width="8.85546875" style="7"/>
    <col min="16133" max="16133" width="18.28515625" style="7" customWidth="1"/>
    <col min="16134" max="16134" width="15.140625" style="7" customWidth="1"/>
    <col min="16135" max="16135" width="25.140625" style="7" customWidth="1"/>
    <col min="16136" max="16136" width="24.42578125" style="7" customWidth="1"/>
    <col min="16137" max="16137" width="13.5703125" style="7" customWidth="1"/>
    <col min="16138" max="16140" width="8.85546875" style="7"/>
    <col min="16141" max="16141" width="15.5703125" style="7" customWidth="1"/>
    <col min="16142" max="16384" width="8.85546875" style="7"/>
  </cols>
  <sheetData>
    <row r="1" spans="1:9" ht="63.75">
      <c r="A1" s="5" t="s">
        <v>804</v>
      </c>
      <c r="B1" s="5" t="s">
        <v>805</v>
      </c>
      <c r="C1" s="5" t="s">
        <v>806</v>
      </c>
      <c r="D1" s="5" t="s">
        <v>807</v>
      </c>
      <c r="E1" s="5" t="s">
        <v>808</v>
      </c>
      <c r="F1" s="5" t="s">
        <v>809</v>
      </c>
      <c r="G1" s="6" t="s">
        <v>810</v>
      </c>
      <c r="H1" s="6" t="s">
        <v>811</v>
      </c>
      <c r="I1" s="5" t="s">
        <v>812</v>
      </c>
    </row>
    <row r="2" spans="1:9">
      <c r="A2" s="7" t="s">
        <v>813</v>
      </c>
      <c r="C2" s="7" t="s">
        <v>814</v>
      </c>
      <c r="D2" s="7" t="s">
        <v>815</v>
      </c>
      <c r="E2" s="7" t="s">
        <v>816</v>
      </c>
      <c r="F2" s="7" t="s">
        <v>3</v>
      </c>
      <c r="G2" s="4" t="s">
        <v>817</v>
      </c>
      <c r="H2" s="4" t="s">
        <v>818</v>
      </c>
    </row>
    <row r="3" spans="1:9">
      <c r="A3" s="7" t="s">
        <v>819</v>
      </c>
      <c r="C3" s="7" t="s">
        <v>820</v>
      </c>
      <c r="D3" s="7" t="s">
        <v>821</v>
      </c>
      <c r="E3" s="7" t="s">
        <v>822</v>
      </c>
      <c r="F3" s="7" t="s">
        <v>12</v>
      </c>
      <c r="G3" s="4" t="s">
        <v>823</v>
      </c>
      <c r="H3" s="4" t="s">
        <v>818</v>
      </c>
    </row>
    <row r="4" spans="1:9">
      <c r="A4" s="7" t="s">
        <v>824</v>
      </c>
      <c r="C4" s="7" t="s">
        <v>825</v>
      </c>
      <c r="D4" s="7" t="s">
        <v>821</v>
      </c>
      <c r="E4" s="7" t="s">
        <v>826</v>
      </c>
      <c r="F4" s="7" t="s">
        <v>156</v>
      </c>
      <c r="G4" s="4" t="s">
        <v>823</v>
      </c>
      <c r="H4" s="4" t="s">
        <v>818</v>
      </c>
    </row>
    <row r="5" spans="1:9">
      <c r="A5" s="7" t="s">
        <v>827</v>
      </c>
      <c r="C5" s="7" t="s">
        <v>828</v>
      </c>
      <c r="D5" s="7" t="s">
        <v>821</v>
      </c>
      <c r="E5" s="7" t="s">
        <v>829</v>
      </c>
      <c r="F5" s="7" t="s">
        <v>156</v>
      </c>
      <c r="G5" s="4" t="s">
        <v>830</v>
      </c>
      <c r="H5" s="4" t="s">
        <v>818</v>
      </c>
    </row>
    <row r="6" spans="1:9">
      <c r="A6" s="7" t="s">
        <v>831</v>
      </c>
      <c r="C6" s="7" t="s">
        <v>540</v>
      </c>
      <c r="D6" s="7" t="s">
        <v>815</v>
      </c>
      <c r="E6" s="7" t="s">
        <v>832</v>
      </c>
      <c r="F6" s="7" t="s">
        <v>156</v>
      </c>
      <c r="G6" s="4" t="s">
        <v>833</v>
      </c>
      <c r="H6" s="4" t="s">
        <v>818</v>
      </c>
    </row>
    <row r="9" spans="1:9">
      <c r="A9" s="8" t="s">
        <v>834</v>
      </c>
      <c r="B9" s="8"/>
    </row>
    <row r="10" spans="1:9">
      <c r="A10" s="9" t="s">
        <v>835</v>
      </c>
      <c r="B10" s="9"/>
    </row>
    <row r="11" spans="1:9">
      <c r="A11" s="9" t="s">
        <v>836</v>
      </c>
      <c r="B11" s="9"/>
    </row>
    <row r="12" spans="1:9">
      <c r="A12" s="9" t="s">
        <v>837</v>
      </c>
      <c r="B12" s="9"/>
    </row>
    <row r="13" spans="1:9">
      <c r="A13" s="9" t="s">
        <v>838</v>
      </c>
      <c r="B13" s="9"/>
    </row>
    <row r="14" spans="1:9">
      <c r="A14" s="9"/>
      <c r="B14" s="9"/>
    </row>
    <row r="15" spans="1:9">
      <c r="A15" s="9" t="s">
        <v>839</v>
      </c>
      <c r="B15" s="9"/>
    </row>
    <row r="16" spans="1:9">
      <c r="A16" s="9" t="s">
        <v>840</v>
      </c>
      <c r="B16" s="9"/>
    </row>
    <row r="17" spans="1:2">
      <c r="A17" s="9" t="s">
        <v>841</v>
      </c>
      <c r="B17" s="9"/>
    </row>
    <row r="18" spans="1:2">
      <c r="A18" s="9" t="s">
        <v>842</v>
      </c>
      <c r="B18" s="9"/>
    </row>
    <row r="19" spans="1:2">
      <c r="A19" s="9" t="s">
        <v>843</v>
      </c>
      <c r="B19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4440-FBCC-4E4E-981E-B8A3E0DD7A25}">
  <sheetPr codeName="Sheet4"/>
  <dimension ref="B1:F268"/>
  <sheetViews>
    <sheetView zoomScaleNormal="100" workbookViewId="0"/>
  </sheetViews>
  <sheetFormatPr defaultRowHeight="16.5"/>
  <cols>
    <col min="1" max="1" width="9.140625" style="2"/>
    <col min="2" max="2" width="9.5703125" style="2" customWidth="1"/>
    <col min="3" max="3" width="49.5703125" style="2" bestFit="1" customWidth="1"/>
    <col min="4" max="4" width="57.5703125" style="2" bestFit="1" customWidth="1"/>
    <col min="5" max="257" width="9.140625" style="2"/>
    <col min="258" max="258" width="9.5703125" style="2" customWidth="1"/>
    <col min="259" max="259" width="49.5703125" style="2" bestFit="1" customWidth="1"/>
    <col min="260" max="260" width="57.5703125" style="2" bestFit="1" customWidth="1"/>
    <col min="261" max="513" width="9.140625" style="2"/>
    <col min="514" max="514" width="9.5703125" style="2" customWidth="1"/>
    <col min="515" max="515" width="49.5703125" style="2" bestFit="1" customWidth="1"/>
    <col min="516" max="516" width="57.5703125" style="2" bestFit="1" customWidth="1"/>
    <col min="517" max="769" width="9.140625" style="2"/>
    <col min="770" max="770" width="9.5703125" style="2" customWidth="1"/>
    <col min="771" max="771" width="49.5703125" style="2" bestFit="1" customWidth="1"/>
    <col min="772" max="772" width="57.5703125" style="2" bestFit="1" customWidth="1"/>
    <col min="773" max="1025" width="9.140625" style="2"/>
    <col min="1026" max="1026" width="9.5703125" style="2" customWidth="1"/>
    <col min="1027" max="1027" width="49.5703125" style="2" bestFit="1" customWidth="1"/>
    <col min="1028" max="1028" width="57.5703125" style="2" bestFit="1" customWidth="1"/>
    <col min="1029" max="1281" width="9.140625" style="2"/>
    <col min="1282" max="1282" width="9.5703125" style="2" customWidth="1"/>
    <col min="1283" max="1283" width="49.5703125" style="2" bestFit="1" customWidth="1"/>
    <col min="1284" max="1284" width="57.5703125" style="2" bestFit="1" customWidth="1"/>
    <col min="1285" max="1537" width="9.140625" style="2"/>
    <col min="1538" max="1538" width="9.5703125" style="2" customWidth="1"/>
    <col min="1539" max="1539" width="49.5703125" style="2" bestFit="1" customWidth="1"/>
    <col min="1540" max="1540" width="57.5703125" style="2" bestFit="1" customWidth="1"/>
    <col min="1541" max="1793" width="9.140625" style="2"/>
    <col min="1794" max="1794" width="9.5703125" style="2" customWidth="1"/>
    <col min="1795" max="1795" width="49.5703125" style="2" bestFit="1" customWidth="1"/>
    <col min="1796" max="1796" width="57.5703125" style="2" bestFit="1" customWidth="1"/>
    <col min="1797" max="2049" width="9.140625" style="2"/>
    <col min="2050" max="2050" width="9.5703125" style="2" customWidth="1"/>
    <col min="2051" max="2051" width="49.5703125" style="2" bestFit="1" customWidth="1"/>
    <col min="2052" max="2052" width="57.5703125" style="2" bestFit="1" customWidth="1"/>
    <col min="2053" max="2305" width="9.140625" style="2"/>
    <col min="2306" max="2306" width="9.5703125" style="2" customWidth="1"/>
    <col min="2307" max="2307" width="49.5703125" style="2" bestFit="1" customWidth="1"/>
    <col min="2308" max="2308" width="57.5703125" style="2" bestFit="1" customWidth="1"/>
    <col min="2309" max="2561" width="9.140625" style="2"/>
    <col min="2562" max="2562" width="9.5703125" style="2" customWidth="1"/>
    <col min="2563" max="2563" width="49.5703125" style="2" bestFit="1" customWidth="1"/>
    <col min="2564" max="2564" width="57.5703125" style="2" bestFit="1" customWidth="1"/>
    <col min="2565" max="2817" width="9.140625" style="2"/>
    <col min="2818" max="2818" width="9.5703125" style="2" customWidth="1"/>
    <col min="2819" max="2819" width="49.5703125" style="2" bestFit="1" customWidth="1"/>
    <col min="2820" max="2820" width="57.5703125" style="2" bestFit="1" customWidth="1"/>
    <col min="2821" max="3073" width="9.140625" style="2"/>
    <col min="3074" max="3074" width="9.5703125" style="2" customWidth="1"/>
    <col min="3075" max="3075" width="49.5703125" style="2" bestFit="1" customWidth="1"/>
    <col min="3076" max="3076" width="57.5703125" style="2" bestFit="1" customWidth="1"/>
    <col min="3077" max="3329" width="9.140625" style="2"/>
    <col min="3330" max="3330" width="9.5703125" style="2" customWidth="1"/>
    <col min="3331" max="3331" width="49.5703125" style="2" bestFit="1" customWidth="1"/>
    <col min="3332" max="3332" width="57.5703125" style="2" bestFit="1" customWidth="1"/>
    <col min="3333" max="3585" width="9.140625" style="2"/>
    <col min="3586" max="3586" width="9.5703125" style="2" customWidth="1"/>
    <col min="3587" max="3587" width="49.5703125" style="2" bestFit="1" customWidth="1"/>
    <col min="3588" max="3588" width="57.5703125" style="2" bestFit="1" customWidth="1"/>
    <col min="3589" max="3841" width="9.140625" style="2"/>
    <col min="3842" max="3842" width="9.5703125" style="2" customWidth="1"/>
    <col min="3843" max="3843" width="49.5703125" style="2" bestFit="1" customWidth="1"/>
    <col min="3844" max="3844" width="57.5703125" style="2" bestFit="1" customWidth="1"/>
    <col min="3845" max="4097" width="9.140625" style="2"/>
    <col min="4098" max="4098" width="9.5703125" style="2" customWidth="1"/>
    <col min="4099" max="4099" width="49.5703125" style="2" bestFit="1" customWidth="1"/>
    <col min="4100" max="4100" width="57.5703125" style="2" bestFit="1" customWidth="1"/>
    <col min="4101" max="4353" width="9.140625" style="2"/>
    <col min="4354" max="4354" width="9.5703125" style="2" customWidth="1"/>
    <col min="4355" max="4355" width="49.5703125" style="2" bestFit="1" customWidth="1"/>
    <col min="4356" max="4356" width="57.5703125" style="2" bestFit="1" customWidth="1"/>
    <col min="4357" max="4609" width="9.140625" style="2"/>
    <col min="4610" max="4610" width="9.5703125" style="2" customWidth="1"/>
    <col min="4611" max="4611" width="49.5703125" style="2" bestFit="1" customWidth="1"/>
    <col min="4612" max="4612" width="57.5703125" style="2" bestFit="1" customWidth="1"/>
    <col min="4613" max="4865" width="9.140625" style="2"/>
    <col min="4866" max="4866" width="9.5703125" style="2" customWidth="1"/>
    <col min="4867" max="4867" width="49.5703125" style="2" bestFit="1" customWidth="1"/>
    <col min="4868" max="4868" width="57.5703125" style="2" bestFit="1" customWidth="1"/>
    <col min="4869" max="5121" width="9.140625" style="2"/>
    <col min="5122" max="5122" width="9.5703125" style="2" customWidth="1"/>
    <col min="5123" max="5123" width="49.5703125" style="2" bestFit="1" customWidth="1"/>
    <col min="5124" max="5124" width="57.5703125" style="2" bestFit="1" customWidth="1"/>
    <col min="5125" max="5377" width="9.140625" style="2"/>
    <col min="5378" max="5378" width="9.5703125" style="2" customWidth="1"/>
    <col min="5379" max="5379" width="49.5703125" style="2" bestFit="1" customWidth="1"/>
    <col min="5380" max="5380" width="57.5703125" style="2" bestFit="1" customWidth="1"/>
    <col min="5381" max="5633" width="9.140625" style="2"/>
    <col min="5634" max="5634" width="9.5703125" style="2" customWidth="1"/>
    <col min="5635" max="5635" width="49.5703125" style="2" bestFit="1" customWidth="1"/>
    <col min="5636" max="5636" width="57.5703125" style="2" bestFit="1" customWidth="1"/>
    <col min="5637" max="5889" width="9.140625" style="2"/>
    <col min="5890" max="5890" width="9.5703125" style="2" customWidth="1"/>
    <col min="5891" max="5891" width="49.5703125" style="2" bestFit="1" customWidth="1"/>
    <col min="5892" max="5892" width="57.5703125" style="2" bestFit="1" customWidth="1"/>
    <col min="5893" max="6145" width="9.140625" style="2"/>
    <col min="6146" max="6146" width="9.5703125" style="2" customWidth="1"/>
    <col min="6147" max="6147" width="49.5703125" style="2" bestFit="1" customWidth="1"/>
    <col min="6148" max="6148" width="57.5703125" style="2" bestFit="1" customWidth="1"/>
    <col min="6149" max="6401" width="9.140625" style="2"/>
    <col min="6402" max="6402" width="9.5703125" style="2" customWidth="1"/>
    <col min="6403" max="6403" width="49.5703125" style="2" bestFit="1" customWidth="1"/>
    <col min="6404" max="6404" width="57.5703125" style="2" bestFit="1" customWidth="1"/>
    <col min="6405" max="6657" width="9.140625" style="2"/>
    <col min="6658" max="6658" width="9.5703125" style="2" customWidth="1"/>
    <col min="6659" max="6659" width="49.5703125" style="2" bestFit="1" customWidth="1"/>
    <col min="6660" max="6660" width="57.5703125" style="2" bestFit="1" customWidth="1"/>
    <col min="6661" max="6913" width="9.140625" style="2"/>
    <col min="6914" max="6914" width="9.5703125" style="2" customWidth="1"/>
    <col min="6915" max="6915" width="49.5703125" style="2" bestFit="1" customWidth="1"/>
    <col min="6916" max="6916" width="57.5703125" style="2" bestFit="1" customWidth="1"/>
    <col min="6917" max="7169" width="9.140625" style="2"/>
    <col min="7170" max="7170" width="9.5703125" style="2" customWidth="1"/>
    <col min="7171" max="7171" width="49.5703125" style="2" bestFit="1" customWidth="1"/>
    <col min="7172" max="7172" width="57.5703125" style="2" bestFit="1" customWidth="1"/>
    <col min="7173" max="7425" width="9.140625" style="2"/>
    <col min="7426" max="7426" width="9.5703125" style="2" customWidth="1"/>
    <col min="7427" max="7427" width="49.5703125" style="2" bestFit="1" customWidth="1"/>
    <col min="7428" max="7428" width="57.5703125" style="2" bestFit="1" customWidth="1"/>
    <col min="7429" max="7681" width="9.140625" style="2"/>
    <col min="7682" max="7682" width="9.5703125" style="2" customWidth="1"/>
    <col min="7683" max="7683" width="49.5703125" style="2" bestFit="1" customWidth="1"/>
    <col min="7684" max="7684" width="57.5703125" style="2" bestFit="1" customWidth="1"/>
    <col min="7685" max="7937" width="9.140625" style="2"/>
    <col min="7938" max="7938" width="9.5703125" style="2" customWidth="1"/>
    <col min="7939" max="7939" width="49.5703125" style="2" bestFit="1" customWidth="1"/>
    <col min="7940" max="7940" width="57.5703125" style="2" bestFit="1" customWidth="1"/>
    <col min="7941" max="8193" width="9.140625" style="2"/>
    <col min="8194" max="8194" width="9.5703125" style="2" customWidth="1"/>
    <col min="8195" max="8195" width="49.5703125" style="2" bestFit="1" customWidth="1"/>
    <col min="8196" max="8196" width="57.5703125" style="2" bestFit="1" customWidth="1"/>
    <col min="8197" max="8449" width="9.140625" style="2"/>
    <col min="8450" max="8450" width="9.5703125" style="2" customWidth="1"/>
    <col min="8451" max="8451" width="49.5703125" style="2" bestFit="1" customWidth="1"/>
    <col min="8452" max="8452" width="57.5703125" style="2" bestFit="1" customWidth="1"/>
    <col min="8453" max="8705" width="9.140625" style="2"/>
    <col min="8706" max="8706" width="9.5703125" style="2" customWidth="1"/>
    <col min="8707" max="8707" width="49.5703125" style="2" bestFit="1" customWidth="1"/>
    <col min="8708" max="8708" width="57.5703125" style="2" bestFit="1" customWidth="1"/>
    <col min="8709" max="8961" width="9.140625" style="2"/>
    <col min="8962" max="8962" width="9.5703125" style="2" customWidth="1"/>
    <col min="8963" max="8963" width="49.5703125" style="2" bestFit="1" customWidth="1"/>
    <col min="8964" max="8964" width="57.5703125" style="2" bestFit="1" customWidth="1"/>
    <col min="8965" max="9217" width="9.140625" style="2"/>
    <col min="9218" max="9218" width="9.5703125" style="2" customWidth="1"/>
    <col min="9219" max="9219" width="49.5703125" style="2" bestFit="1" customWidth="1"/>
    <col min="9220" max="9220" width="57.5703125" style="2" bestFit="1" customWidth="1"/>
    <col min="9221" max="9473" width="9.140625" style="2"/>
    <col min="9474" max="9474" width="9.5703125" style="2" customWidth="1"/>
    <col min="9475" max="9475" width="49.5703125" style="2" bestFit="1" customWidth="1"/>
    <col min="9476" max="9476" width="57.5703125" style="2" bestFit="1" customWidth="1"/>
    <col min="9477" max="9729" width="9.140625" style="2"/>
    <col min="9730" max="9730" width="9.5703125" style="2" customWidth="1"/>
    <col min="9731" max="9731" width="49.5703125" style="2" bestFit="1" customWidth="1"/>
    <col min="9732" max="9732" width="57.5703125" style="2" bestFit="1" customWidth="1"/>
    <col min="9733" max="9985" width="9.140625" style="2"/>
    <col min="9986" max="9986" width="9.5703125" style="2" customWidth="1"/>
    <col min="9987" max="9987" width="49.5703125" style="2" bestFit="1" customWidth="1"/>
    <col min="9988" max="9988" width="57.5703125" style="2" bestFit="1" customWidth="1"/>
    <col min="9989" max="10241" width="9.140625" style="2"/>
    <col min="10242" max="10242" width="9.5703125" style="2" customWidth="1"/>
    <col min="10243" max="10243" width="49.5703125" style="2" bestFit="1" customWidth="1"/>
    <col min="10244" max="10244" width="57.5703125" style="2" bestFit="1" customWidth="1"/>
    <col min="10245" max="10497" width="9.140625" style="2"/>
    <col min="10498" max="10498" width="9.5703125" style="2" customWidth="1"/>
    <col min="10499" max="10499" width="49.5703125" style="2" bestFit="1" customWidth="1"/>
    <col min="10500" max="10500" width="57.5703125" style="2" bestFit="1" customWidth="1"/>
    <col min="10501" max="10753" width="9.140625" style="2"/>
    <col min="10754" max="10754" width="9.5703125" style="2" customWidth="1"/>
    <col min="10755" max="10755" width="49.5703125" style="2" bestFit="1" customWidth="1"/>
    <col min="10756" max="10756" width="57.5703125" style="2" bestFit="1" customWidth="1"/>
    <col min="10757" max="11009" width="9.140625" style="2"/>
    <col min="11010" max="11010" width="9.5703125" style="2" customWidth="1"/>
    <col min="11011" max="11011" width="49.5703125" style="2" bestFit="1" customWidth="1"/>
    <col min="11012" max="11012" width="57.5703125" style="2" bestFit="1" customWidth="1"/>
    <col min="11013" max="11265" width="9.140625" style="2"/>
    <col min="11266" max="11266" width="9.5703125" style="2" customWidth="1"/>
    <col min="11267" max="11267" width="49.5703125" style="2" bestFit="1" customWidth="1"/>
    <col min="11268" max="11268" width="57.5703125" style="2" bestFit="1" customWidth="1"/>
    <col min="11269" max="11521" width="9.140625" style="2"/>
    <col min="11522" max="11522" width="9.5703125" style="2" customWidth="1"/>
    <col min="11523" max="11523" width="49.5703125" style="2" bestFit="1" customWidth="1"/>
    <col min="11524" max="11524" width="57.5703125" style="2" bestFit="1" customWidth="1"/>
    <col min="11525" max="11777" width="9.140625" style="2"/>
    <col min="11778" max="11778" width="9.5703125" style="2" customWidth="1"/>
    <col min="11779" max="11779" width="49.5703125" style="2" bestFit="1" customWidth="1"/>
    <col min="11780" max="11780" width="57.5703125" style="2" bestFit="1" customWidth="1"/>
    <col min="11781" max="12033" width="9.140625" style="2"/>
    <col min="12034" max="12034" width="9.5703125" style="2" customWidth="1"/>
    <col min="12035" max="12035" width="49.5703125" style="2" bestFit="1" customWidth="1"/>
    <col min="12036" max="12036" width="57.5703125" style="2" bestFit="1" customWidth="1"/>
    <col min="12037" max="12289" width="9.140625" style="2"/>
    <col min="12290" max="12290" width="9.5703125" style="2" customWidth="1"/>
    <col min="12291" max="12291" width="49.5703125" style="2" bestFit="1" customWidth="1"/>
    <col min="12292" max="12292" width="57.5703125" style="2" bestFit="1" customWidth="1"/>
    <col min="12293" max="12545" width="9.140625" style="2"/>
    <col min="12546" max="12546" width="9.5703125" style="2" customWidth="1"/>
    <col min="12547" max="12547" width="49.5703125" style="2" bestFit="1" customWidth="1"/>
    <col min="12548" max="12548" width="57.5703125" style="2" bestFit="1" customWidth="1"/>
    <col min="12549" max="12801" width="9.140625" style="2"/>
    <col min="12802" max="12802" width="9.5703125" style="2" customWidth="1"/>
    <col min="12803" max="12803" width="49.5703125" style="2" bestFit="1" customWidth="1"/>
    <col min="12804" max="12804" width="57.5703125" style="2" bestFit="1" customWidth="1"/>
    <col min="12805" max="13057" width="9.140625" style="2"/>
    <col min="13058" max="13058" width="9.5703125" style="2" customWidth="1"/>
    <col min="13059" max="13059" width="49.5703125" style="2" bestFit="1" customWidth="1"/>
    <col min="13060" max="13060" width="57.5703125" style="2" bestFit="1" customWidth="1"/>
    <col min="13061" max="13313" width="9.140625" style="2"/>
    <col min="13314" max="13314" width="9.5703125" style="2" customWidth="1"/>
    <col min="13315" max="13315" width="49.5703125" style="2" bestFit="1" customWidth="1"/>
    <col min="13316" max="13316" width="57.5703125" style="2" bestFit="1" customWidth="1"/>
    <col min="13317" max="13569" width="9.140625" style="2"/>
    <col min="13570" max="13570" width="9.5703125" style="2" customWidth="1"/>
    <col min="13571" max="13571" width="49.5703125" style="2" bestFit="1" customWidth="1"/>
    <col min="13572" max="13572" width="57.5703125" style="2" bestFit="1" customWidth="1"/>
    <col min="13573" max="13825" width="9.140625" style="2"/>
    <col min="13826" max="13826" width="9.5703125" style="2" customWidth="1"/>
    <col min="13827" max="13827" width="49.5703125" style="2" bestFit="1" customWidth="1"/>
    <col min="13828" max="13828" width="57.5703125" style="2" bestFit="1" customWidth="1"/>
    <col min="13829" max="14081" width="9.140625" style="2"/>
    <col min="14082" max="14082" width="9.5703125" style="2" customWidth="1"/>
    <col min="14083" max="14083" width="49.5703125" style="2" bestFit="1" customWidth="1"/>
    <col min="14084" max="14084" width="57.5703125" style="2" bestFit="1" customWidth="1"/>
    <col min="14085" max="14337" width="9.140625" style="2"/>
    <col min="14338" max="14338" width="9.5703125" style="2" customWidth="1"/>
    <col min="14339" max="14339" width="49.5703125" style="2" bestFit="1" customWidth="1"/>
    <col min="14340" max="14340" width="57.5703125" style="2" bestFit="1" customWidth="1"/>
    <col min="14341" max="14593" width="9.140625" style="2"/>
    <col min="14594" max="14594" width="9.5703125" style="2" customWidth="1"/>
    <col min="14595" max="14595" width="49.5703125" style="2" bestFit="1" customWidth="1"/>
    <col min="14596" max="14596" width="57.5703125" style="2" bestFit="1" customWidth="1"/>
    <col min="14597" max="14849" width="9.140625" style="2"/>
    <col min="14850" max="14850" width="9.5703125" style="2" customWidth="1"/>
    <col min="14851" max="14851" width="49.5703125" style="2" bestFit="1" customWidth="1"/>
    <col min="14852" max="14852" width="57.5703125" style="2" bestFit="1" customWidth="1"/>
    <col min="14853" max="15105" width="9.140625" style="2"/>
    <col min="15106" max="15106" width="9.5703125" style="2" customWidth="1"/>
    <col min="15107" max="15107" width="49.5703125" style="2" bestFit="1" customWidth="1"/>
    <col min="15108" max="15108" width="57.5703125" style="2" bestFit="1" customWidth="1"/>
    <col min="15109" max="15361" width="9.140625" style="2"/>
    <col min="15362" max="15362" width="9.5703125" style="2" customWidth="1"/>
    <col min="15363" max="15363" width="49.5703125" style="2" bestFit="1" customWidth="1"/>
    <col min="15364" max="15364" width="57.5703125" style="2" bestFit="1" customWidth="1"/>
    <col min="15365" max="15617" width="9.140625" style="2"/>
    <col min="15618" max="15618" width="9.5703125" style="2" customWidth="1"/>
    <col min="15619" max="15619" width="49.5703125" style="2" bestFit="1" customWidth="1"/>
    <col min="15620" max="15620" width="57.5703125" style="2" bestFit="1" customWidth="1"/>
    <col min="15621" max="15873" width="9.140625" style="2"/>
    <col min="15874" max="15874" width="9.5703125" style="2" customWidth="1"/>
    <col min="15875" max="15875" width="49.5703125" style="2" bestFit="1" customWidth="1"/>
    <col min="15876" max="15876" width="57.5703125" style="2" bestFit="1" customWidth="1"/>
    <col min="15877" max="16129" width="9.140625" style="2"/>
    <col min="16130" max="16130" width="9.5703125" style="2" customWidth="1"/>
    <col min="16131" max="16131" width="49.5703125" style="2" bestFit="1" customWidth="1"/>
    <col min="16132" max="16132" width="57.5703125" style="2" bestFit="1" customWidth="1"/>
    <col min="16133" max="16384" width="9.140625" style="2"/>
  </cols>
  <sheetData>
    <row r="1" spans="2:6" ht="24.75" customHeight="1">
      <c r="B1" s="1" t="s">
        <v>0</v>
      </c>
      <c r="C1" s="1" t="s">
        <v>1</v>
      </c>
      <c r="D1" s="1" t="s">
        <v>2</v>
      </c>
    </row>
    <row r="2" spans="2:6">
      <c r="B2" s="3" t="s">
        <v>3</v>
      </c>
      <c r="C2" s="3" t="s">
        <v>4</v>
      </c>
      <c r="D2" s="3" t="s">
        <v>5</v>
      </c>
      <c r="F2" s="4"/>
    </row>
    <row r="3" spans="2:6">
      <c r="B3" s="3" t="s">
        <v>6</v>
      </c>
      <c r="C3" s="3" t="s">
        <v>7</v>
      </c>
      <c r="D3" s="3" t="s">
        <v>8</v>
      </c>
      <c r="F3" s="4"/>
    </row>
    <row r="4" spans="2:6">
      <c r="B4" s="3" t="s">
        <v>9</v>
      </c>
      <c r="C4" s="3" t="s">
        <v>10</v>
      </c>
      <c r="D4" s="3" t="s">
        <v>11</v>
      </c>
      <c r="F4" s="4"/>
    </row>
    <row r="5" spans="2:6">
      <c r="B5" s="3" t="s">
        <v>12</v>
      </c>
      <c r="C5" s="3" t="s">
        <v>13</v>
      </c>
      <c r="D5" s="3" t="s">
        <v>14</v>
      </c>
      <c r="F5" s="4"/>
    </row>
    <row r="6" spans="2:6">
      <c r="B6" s="3" t="s">
        <v>15</v>
      </c>
      <c r="C6" s="3" t="s">
        <v>16</v>
      </c>
      <c r="D6" s="3" t="s">
        <v>17</v>
      </c>
      <c r="F6" s="4"/>
    </row>
    <row r="7" spans="2:6">
      <c r="B7" s="3" t="s">
        <v>18</v>
      </c>
      <c r="C7" s="3" t="s">
        <v>19</v>
      </c>
      <c r="D7" s="3" t="s">
        <v>20</v>
      </c>
      <c r="F7" s="4"/>
    </row>
    <row r="8" spans="2:6">
      <c r="B8" s="3" t="s">
        <v>21</v>
      </c>
      <c r="C8" s="3" t="s">
        <v>22</v>
      </c>
      <c r="D8" s="3" t="s">
        <v>23</v>
      </c>
      <c r="F8" s="4"/>
    </row>
    <row r="9" spans="2:6">
      <c r="B9" s="3" t="s">
        <v>24</v>
      </c>
      <c r="C9" s="3" t="s">
        <v>25</v>
      </c>
      <c r="D9" s="3" t="s">
        <v>26</v>
      </c>
      <c r="F9" s="4"/>
    </row>
    <row r="10" spans="2:6">
      <c r="B10" s="3" t="s">
        <v>27</v>
      </c>
      <c r="C10" s="3" t="s">
        <v>28</v>
      </c>
      <c r="D10" s="3" t="s">
        <v>29</v>
      </c>
      <c r="F10" s="4"/>
    </row>
    <row r="11" spans="2:6">
      <c r="B11" s="3" t="s">
        <v>30</v>
      </c>
      <c r="C11" s="3" t="s">
        <v>31</v>
      </c>
      <c r="D11" s="3" t="s">
        <v>32</v>
      </c>
      <c r="F11" s="4"/>
    </row>
    <row r="12" spans="2:6">
      <c r="B12" s="3" t="s">
        <v>33</v>
      </c>
      <c r="C12" s="3" t="s">
        <v>34</v>
      </c>
      <c r="D12" s="3" t="s">
        <v>35</v>
      </c>
      <c r="F12" s="4"/>
    </row>
    <row r="13" spans="2:6">
      <c r="B13" s="3" t="s">
        <v>36</v>
      </c>
      <c r="C13" s="3" t="s">
        <v>37</v>
      </c>
      <c r="D13" s="3" t="s">
        <v>38</v>
      </c>
      <c r="F13" s="4"/>
    </row>
    <row r="14" spans="2:6">
      <c r="B14" s="3" t="s">
        <v>39</v>
      </c>
      <c r="C14" s="3" t="s">
        <v>40</v>
      </c>
      <c r="D14" s="3" t="s">
        <v>41</v>
      </c>
      <c r="F14" s="4"/>
    </row>
    <row r="15" spans="2:6">
      <c r="B15" s="3" t="s">
        <v>42</v>
      </c>
      <c r="C15" s="3" t="s">
        <v>43</v>
      </c>
      <c r="D15" s="3" t="s">
        <v>44</v>
      </c>
      <c r="F15" s="4"/>
    </row>
    <row r="16" spans="2:6">
      <c r="B16" s="3" t="s">
        <v>45</v>
      </c>
      <c r="C16" s="3" t="s">
        <v>46</v>
      </c>
      <c r="D16" s="3" t="s">
        <v>47</v>
      </c>
      <c r="F16" s="4"/>
    </row>
    <row r="17" spans="2:6">
      <c r="B17" s="3" t="s">
        <v>48</v>
      </c>
      <c r="C17" s="3" t="s">
        <v>49</v>
      </c>
      <c r="D17" s="3" t="s">
        <v>50</v>
      </c>
      <c r="F17" s="4"/>
    </row>
    <row r="18" spans="2:6">
      <c r="B18" s="3" t="s">
        <v>51</v>
      </c>
      <c r="C18" s="3" t="s">
        <v>52</v>
      </c>
      <c r="D18" s="3" t="s">
        <v>53</v>
      </c>
      <c r="F18" s="4"/>
    </row>
    <row r="19" spans="2:6">
      <c r="B19" s="3" t="s">
        <v>54</v>
      </c>
      <c r="C19" s="3" t="s">
        <v>55</v>
      </c>
      <c r="D19" s="3" t="s">
        <v>56</v>
      </c>
      <c r="F19" s="4"/>
    </row>
    <row r="20" spans="2:6">
      <c r="B20" s="3" t="s">
        <v>57</v>
      </c>
      <c r="C20" s="3" t="s">
        <v>58</v>
      </c>
      <c r="D20" s="3" t="s">
        <v>59</v>
      </c>
      <c r="F20" s="4"/>
    </row>
    <row r="21" spans="2:6">
      <c r="B21" s="3" t="s">
        <v>60</v>
      </c>
      <c r="C21" s="3" t="s">
        <v>61</v>
      </c>
      <c r="D21" s="3" t="s">
        <v>62</v>
      </c>
      <c r="F21" s="4"/>
    </row>
    <row r="22" spans="2:6">
      <c r="B22" s="3" t="s">
        <v>63</v>
      </c>
      <c r="C22" s="3" t="s">
        <v>64</v>
      </c>
      <c r="D22" s="3" t="s">
        <v>65</v>
      </c>
      <c r="F22" s="4"/>
    </row>
    <row r="23" spans="2:6">
      <c r="B23" s="3" t="s">
        <v>66</v>
      </c>
      <c r="C23" s="3" t="s">
        <v>67</v>
      </c>
      <c r="D23" s="3" t="s">
        <v>68</v>
      </c>
      <c r="F23" s="4"/>
    </row>
    <row r="24" spans="2:6">
      <c r="B24" s="3" t="s">
        <v>69</v>
      </c>
      <c r="C24" s="3" t="s">
        <v>70</v>
      </c>
      <c r="D24" s="3" t="s">
        <v>71</v>
      </c>
      <c r="F24" s="4"/>
    </row>
    <row r="25" spans="2:6">
      <c r="B25" s="3" t="s">
        <v>72</v>
      </c>
      <c r="C25" s="3" t="s">
        <v>73</v>
      </c>
      <c r="D25" s="3" t="s">
        <v>74</v>
      </c>
      <c r="F25" s="4"/>
    </row>
    <row r="26" spans="2:6">
      <c r="B26" s="3" t="s">
        <v>75</v>
      </c>
      <c r="C26" s="3" t="s">
        <v>76</v>
      </c>
      <c r="D26" s="3" t="s">
        <v>77</v>
      </c>
      <c r="F26" s="4"/>
    </row>
    <row r="27" spans="2:6">
      <c r="B27" s="3" t="s">
        <v>78</v>
      </c>
      <c r="C27" s="3" t="s">
        <v>79</v>
      </c>
      <c r="D27" s="3" t="s">
        <v>80</v>
      </c>
      <c r="F27" s="4"/>
    </row>
    <row r="28" spans="2:6">
      <c r="B28" s="3" t="s">
        <v>81</v>
      </c>
      <c r="C28" s="3" t="s">
        <v>82</v>
      </c>
      <c r="D28" s="3" t="s">
        <v>83</v>
      </c>
      <c r="F28" s="4"/>
    </row>
    <row r="29" spans="2:6">
      <c r="B29" s="3" t="s">
        <v>84</v>
      </c>
      <c r="C29" s="3" t="s">
        <v>85</v>
      </c>
      <c r="D29" s="3" t="s">
        <v>86</v>
      </c>
      <c r="F29" s="4"/>
    </row>
    <row r="30" spans="2:6">
      <c r="B30" s="3" t="s">
        <v>87</v>
      </c>
      <c r="C30" s="3" t="s">
        <v>88</v>
      </c>
      <c r="D30" s="3" t="s">
        <v>89</v>
      </c>
    </row>
    <row r="31" spans="2:6" ht="16.5" customHeight="1">
      <c r="B31" s="3" t="s">
        <v>90</v>
      </c>
      <c r="C31" s="3" t="s">
        <v>91</v>
      </c>
      <c r="D31" s="3" t="s">
        <v>92</v>
      </c>
    </row>
    <row r="32" spans="2:6" ht="15.75" customHeight="1">
      <c r="B32" s="3" t="s">
        <v>93</v>
      </c>
      <c r="C32" s="3" t="s">
        <v>94</v>
      </c>
      <c r="D32" s="3" t="s">
        <v>95</v>
      </c>
    </row>
    <row r="33" spans="2:4">
      <c r="B33" s="3" t="s">
        <v>96</v>
      </c>
      <c r="C33" s="3" t="s">
        <v>97</v>
      </c>
      <c r="D33" s="3" t="s">
        <v>98</v>
      </c>
    </row>
    <row r="34" spans="2:4">
      <c r="B34" s="3" t="s">
        <v>99</v>
      </c>
      <c r="C34" s="3" t="s">
        <v>100</v>
      </c>
      <c r="D34" s="3" t="s">
        <v>101</v>
      </c>
    </row>
    <row r="35" spans="2:4">
      <c r="B35" s="3" t="s">
        <v>102</v>
      </c>
      <c r="C35" s="3" t="s">
        <v>103</v>
      </c>
      <c r="D35" s="3" t="s">
        <v>104</v>
      </c>
    </row>
    <row r="36" spans="2:4">
      <c r="B36" s="3" t="s">
        <v>105</v>
      </c>
      <c r="C36" s="3" t="s">
        <v>106</v>
      </c>
      <c r="D36" s="3" t="s">
        <v>107</v>
      </c>
    </row>
    <row r="37" spans="2:4">
      <c r="B37" s="3" t="s">
        <v>108</v>
      </c>
      <c r="C37" s="3" t="s">
        <v>109</v>
      </c>
      <c r="D37" s="3" t="s">
        <v>110</v>
      </c>
    </row>
    <row r="38" spans="2:4">
      <c r="B38" s="3" t="s">
        <v>111</v>
      </c>
      <c r="C38" s="3" t="s">
        <v>112</v>
      </c>
      <c r="D38" s="3" t="s">
        <v>113</v>
      </c>
    </row>
    <row r="39" spans="2:4">
      <c r="B39" s="3" t="s">
        <v>114</v>
      </c>
      <c r="C39" s="3" t="s">
        <v>115</v>
      </c>
      <c r="D39" s="3" t="s">
        <v>116</v>
      </c>
    </row>
    <row r="40" spans="2:4">
      <c r="B40" s="3" t="s">
        <v>117</v>
      </c>
      <c r="C40" s="3" t="s">
        <v>118</v>
      </c>
      <c r="D40" s="3" t="s">
        <v>119</v>
      </c>
    </row>
    <row r="41" spans="2:4">
      <c r="B41" s="3" t="s">
        <v>120</v>
      </c>
      <c r="C41" s="3" t="s">
        <v>121</v>
      </c>
      <c r="D41" s="3" t="s">
        <v>122</v>
      </c>
    </row>
    <row r="42" spans="2:4">
      <c r="B42" s="3" t="s">
        <v>123</v>
      </c>
      <c r="C42" s="3" t="s">
        <v>124</v>
      </c>
      <c r="D42" s="3" t="s">
        <v>125</v>
      </c>
    </row>
    <row r="43" spans="2:4">
      <c r="B43" s="3" t="s">
        <v>126</v>
      </c>
      <c r="C43" s="3" t="s">
        <v>127</v>
      </c>
      <c r="D43" s="3" t="s">
        <v>128</v>
      </c>
    </row>
    <row r="44" spans="2:4">
      <c r="B44" s="3" t="s">
        <v>129</v>
      </c>
      <c r="C44" s="3" t="s">
        <v>130</v>
      </c>
      <c r="D44" s="3" t="s">
        <v>131</v>
      </c>
    </row>
    <row r="45" spans="2:4">
      <c r="B45" s="3" t="s">
        <v>132</v>
      </c>
      <c r="C45" s="3" t="s">
        <v>133</v>
      </c>
      <c r="D45" s="3" t="s">
        <v>134</v>
      </c>
    </row>
    <row r="46" spans="2:4">
      <c r="B46" s="3" t="s">
        <v>135</v>
      </c>
      <c r="C46" s="3" t="s">
        <v>136</v>
      </c>
      <c r="D46" s="3" t="s">
        <v>137</v>
      </c>
    </row>
    <row r="47" spans="2:4">
      <c r="B47" s="3" t="s">
        <v>138</v>
      </c>
      <c r="C47" s="3" t="s">
        <v>139</v>
      </c>
      <c r="D47" s="3" t="s">
        <v>140</v>
      </c>
    </row>
    <row r="48" spans="2:4">
      <c r="B48" s="3" t="s">
        <v>141</v>
      </c>
      <c r="C48" s="3" t="s">
        <v>142</v>
      </c>
      <c r="D48" s="3" t="s">
        <v>143</v>
      </c>
    </row>
    <row r="49" spans="2:4">
      <c r="B49" s="3" t="s">
        <v>144</v>
      </c>
      <c r="C49" s="3" t="s">
        <v>145</v>
      </c>
      <c r="D49" s="3" t="s">
        <v>146</v>
      </c>
    </row>
    <row r="50" spans="2:4">
      <c r="B50" s="3" t="s">
        <v>147</v>
      </c>
      <c r="C50" s="3" t="s">
        <v>148</v>
      </c>
      <c r="D50" s="3" t="s">
        <v>149</v>
      </c>
    </row>
    <row r="51" spans="2:4">
      <c r="B51" s="3" t="s">
        <v>150</v>
      </c>
      <c r="C51" s="3" t="s">
        <v>151</v>
      </c>
      <c r="D51" s="3" t="s">
        <v>152</v>
      </c>
    </row>
    <row r="52" spans="2:4">
      <c r="B52" s="3" t="s">
        <v>153</v>
      </c>
      <c r="C52" s="3" t="s">
        <v>154</v>
      </c>
      <c r="D52" s="3" t="s">
        <v>155</v>
      </c>
    </row>
    <row r="53" spans="2:4">
      <c r="B53" s="3" t="s">
        <v>156</v>
      </c>
      <c r="C53" s="3" t="s">
        <v>157</v>
      </c>
      <c r="D53" s="3" t="s">
        <v>158</v>
      </c>
    </row>
    <row r="54" spans="2:4">
      <c r="B54" s="3" t="s">
        <v>159</v>
      </c>
      <c r="C54" s="3" t="s">
        <v>160</v>
      </c>
      <c r="D54" s="3" t="s">
        <v>161</v>
      </c>
    </row>
    <row r="55" spans="2:4">
      <c r="B55" s="3" t="s">
        <v>162</v>
      </c>
      <c r="C55" s="3" t="s">
        <v>163</v>
      </c>
      <c r="D55" s="3" t="s">
        <v>164</v>
      </c>
    </row>
    <row r="56" spans="2:4">
      <c r="B56" s="3" t="s">
        <v>165</v>
      </c>
      <c r="C56" s="3" t="s">
        <v>166</v>
      </c>
      <c r="D56" s="3" t="s">
        <v>167</v>
      </c>
    </row>
    <row r="57" spans="2:4">
      <c r="B57" s="3" t="s">
        <v>168</v>
      </c>
      <c r="C57" s="3" t="s">
        <v>169</v>
      </c>
      <c r="D57" s="3" t="s">
        <v>170</v>
      </c>
    </row>
    <row r="58" spans="2:4">
      <c r="B58" s="3" t="s">
        <v>171</v>
      </c>
      <c r="C58" s="3" t="s">
        <v>172</v>
      </c>
      <c r="D58" s="3" t="s">
        <v>173</v>
      </c>
    </row>
    <row r="59" spans="2:4">
      <c r="B59" s="3" t="s">
        <v>174</v>
      </c>
      <c r="C59" s="3" t="s">
        <v>175</v>
      </c>
      <c r="D59" s="3" t="s">
        <v>176</v>
      </c>
    </row>
    <row r="60" spans="2:4">
      <c r="B60" s="3" t="s">
        <v>177</v>
      </c>
      <c r="C60" s="3" t="s">
        <v>178</v>
      </c>
      <c r="D60" s="3" t="s">
        <v>179</v>
      </c>
    </row>
    <row r="61" spans="2:4">
      <c r="B61" s="3" t="s">
        <v>180</v>
      </c>
      <c r="C61" s="3" t="s">
        <v>181</v>
      </c>
      <c r="D61" s="3" t="s">
        <v>182</v>
      </c>
    </row>
    <row r="62" spans="2:4">
      <c r="B62" s="3" t="s">
        <v>183</v>
      </c>
      <c r="C62" s="3" t="s">
        <v>184</v>
      </c>
      <c r="D62" s="3" t="s">
        <v>185</v>
      </c>
    </row>
    <row r="63" spans="2:4">
      <c r="B63" s="3" t="s">
        <v>186</v>
      </c>
      <c r="C63" s="3" t="s">
        <v>187</v>
      </c>
      <c r="D63" s="3" t="s">
        <v>188</v>
      </c>
    </row>
    <row r="64" spans="2:4">
      <c r="B64" s="3" t="s">
        <v>189</v>
      </c>
      <c r="C64" s="3" t="s">
        <v>190</v>
      </c>
      <c r="D64" s="3" t="s">
        <v>191</v>
      </c>
    </row>
    <row r="65" spans="2:4">
      <c r="B65" s="3" t="s">
        <v>192</v>
      </c>
      <c r="C65" s="3" t="s">
        <v>193</v>
      </c>
      <c r="D65" s="3" t="s">
        <v>194</v>
      </c>
    </row>
    <row r="66" spans="2:4">
      <c r="B66" s="3" t="s">
        <v>195</v>
      </c>
      <c r="C66" s="3" t="s">
        <v>196</v>
      </c>
      <c r="D66" s="3" t="s">
        <v>197</v>
      </c>
    </row>
    <row r="67" spans="2:4">
      <c r="B67" s="3" t="s">
        <v>198</v>
      </c>
      <c r="C67" s="3" t="s">
        <v>199</v>
      </c>
      <c r="D67" s="3" t="s">
        <v>200</v>
      </c>
    </row>
    <row r="68" spans="2:4">
      <c r="B68" s="3" t="s">
        <v>201</v>
      </c>
      <c r="C68" s="3" t="s">
        <v>202</v>
      </c>
      <c r="D68" s="3" t="s">
        <v>203</v>
      </c>
    </row>
    <row r="69" spans="2:4">
      <c r="B69" s="3" t="s">
        <v>204</v>
      </c>
      <c r="C69" s="3" t="s">
        <v>205</v>
      </c>
      <c r="D69" s="3" t="s">
        <v>206</v>
      </c>
    </row>
    <row r="70" spans="2:4">
      <c r="B70" s="3" t="s">
        <v>207</v>
      </c>
      <c r="C70" s="3" t="s">
        <v>208</v>
      </c>
      <c r="D70" s="3" t="s">
        <v>209</v>
      </c>
    </row>
    <row r="71" spans="2:4">
      <c r="B71" s="3" t="s">
        <v>210</v>
      </c>
      <c r="C71" s="3" t="s">
        <v>211</v>
      </c>
      <c r="D71" s="3" t="s">
        <v>212</v>
      </c>
    </row>
    <row r="72" spans="2:4">
      <c r="B72" s="3" t="s">
        <v>213</v>
      </c>
      <c r="C72" s="3" t="s">
        <v>214</v>
      </c>
      <c r="D72" s="3" t="s">
        <v>215</v>
      </c>
    </row>
    <row r="73" spans="2:4">
      <c r="B73" s="3" t="s">
        <v>216</v>
      </c>
      <c r="C73" s="3" t="s">
        <v>217</v>
      </c>
      <c r="D73" s="3" t="s">
        <v>218</v>
      </c>
    </row>
    <row r="74" spans="2:4">
      <c r="B74" s="3" t="s">
        <v>219</v>
      </c>
      <c r="C74" s="3" t="s">
        <v>220</v>
      </c>
      <c r="D74" s="3" t="s">
        <v>221</v>
      </c>
    </row>
    <row r="75" spans="2:4">
      <c r="B75" s="3" t="s">
        <v>222</v>
      </c>
      <c r="C75" s="3" t="s">
        <v>223</v>
      </c>
      <c r="D75" s="3" t="s">
        <v>224</v>
      </c>
    </row>
    <row r="76" spans="2:4">
      <c r="B76" s="3" t="s">
        <v>225</v>
      </c>
      <c r="C76" s="3" t="s">
        <v>226</v>
      </c>
      <c r="D76" s="3" t="s">
        <v>227</v>
      </c>
    </row>
    <row r="77" spans="2:4">
      <c r="B77" s="3" t="s">
        <v>228</v>
      </c>
      <c r="C77" s="3" t="s">
        <v>229</v>
      </c>
      <c r="D77" s="3" t="s">
        <v>230</v>
      </c>
    </row>
    <row r="78" spans="2:4">
      <c r="B78" s="3" t="s">
        <v>231</v>
      </c>
      <c r="C78" s="3" t="s">
        <v>232</v>
      </c>
      <c r="D78" s="3" t="s">
        <v>233</v>
      </c>
    </row>
    <row r="79" spans="2:4">
      <c r="B79" s="3" t="s">
        <v>234</v>
      </c>
      <c r="C79" s="3" t="s">
        <v>235</v>
      </c>
      <c r="D79" s="3" t="s">
        <v>236</v>
      </c>
    </row>
    <row r="80" spans="2:4">
      <c r="B80" s="3" t="s">
        <v>237</v>
      </c>
      <c r="C80" s="3" t="s">
        <v>238</v>
      </c>
      <c r="D80" s="3" t="s">
        <v>239</v>
      </c>
    </row>
    <row r="81" spans="2:4">
      <c r="B81" s="3" t="s">
        <v>240</v>
      </c>
      <c r="C81" s="3" t="s">
        <v>241</v>
      </c>
      <c r="D81" s="3" t="s">
        <v>242</v>
      </c>
    </row>
    <row r="82" spans="2:4">
      <c r="B82" s="3" t="s">
        <v>243</v>
      </c>
      <c r="C82" s="3" t="s">
        <v>244</v>
      </c>
      <c r="D82" s="3" t="s">
        <v>245</v>
      </c>
    </row>
    <row r="83" spans="2:4">
      <c r="B83" s="3" t="s">
        <v>246</v>
      </c>
      <c r="C83" s="3" t="s">
        <v>247</v>
      </c>
      <c r="D83" s="3" t="s">
        <v>248</v>
      </c>
    </row>
    <row r="84" spans="2:4">
      <c r="B84" s="3" t="s">
        <v>249</v>
      </c>
      <c r="C84" s="3" t="s">
        <v>250</v>
      </c>
      <c r="D84" s="3" t="s">
        <v>251</v>
      </c>
    </row>
    <row r="85" spans="2:4">
      <c r="B85" s="3" t="s">
        <v>252</v>
      </c>
      <c r="C85" s="3" t="s">
        <v>253</v>
      </c>
      <c r="D85" s="3" t="s">
        <v>254</v>
      </c>
    </row>
    <row r="86" spans="2:4">
      <c r="B86" s="3" t="s">
        <v>255</v>
      </c>
      <c r="C86" s="3" t="s">
        <v>256</v>
      </c>
      <c r="D86" s="3" t="s">
        <v>257</v>
      </c>
    </row>
    <row r="87" spans="2:4">
      <c r="B87" s="3" t="s">
        <v>258</v>
      </c>
      <c r="C87" s="3" t="s">
        <v>259</v>
      </c>
      <c r="D87" s="3" t="s">
        <v>260</v>
      </c>
    </row>
    <row r="88" spans="2:4">
      <c r="B88" s="3" t="s">
        <v>261</v>
      </c>
      <c r="C88" s="3" t="s">
        <v>262</v>
      </c>
      <c r="D88" s="3" t="s">
        <v>263</v>
      </c>
    </row>
    <row r="89" spans="2:4">
      <c r="B89" s="3" t="s">
        <v>264</v>
      </c>
      <c r="C89" s="3" t="s">
        <v>265</v>
      </c>
      <c r="D89" s="3" t="s">
        <v>266</v>
      </c>
    </row>
    <row r="90" spans="2:4">
      <c r="B90" s="3" t="s">
        <v>267</v>
      </c>
      <c r="C90" s="3" t="s">
        <v>268</v>
      </c>
      <c r="D90" s="3" t="s">
        <v>269</v>
      </c>
    </row>
    <row r="91" spans="2:4">
      <c r="B91" s="3" t="s">
        <v>270</v>
      </c>
      <c r="C91" s="3" t="s">
        <v>271</v>
      </c>
      <c r="D91" s="3" t="s">
        <v>272</v>
      </c>
    </row>
    <row r="92" spans="2:4">
      <c r="B92" s="3" t="s">
        <v>273</v>
      </c>
      <c r="C92" s="3" t="s">
        <v>274</v>
      </c>
      <c r="D92" s="3" t="s">
        <v>275</v>
      </c>
    </row>
    <row r="93" spans="2:4">
      <c r="B93" s="3" t="s">
        <v>276</v>
      </c>
      <c r="C93" s="3" t="s">
        <v>277</v>
      </c>
      <c r="D93" s="3" t="s">
        <v>278</v>
      </c>
    </row>
    <row r="94" spans="2:4">
      <c r="B94" s="3" t="s">
        <v>279</v>
      </c>
      <c r="C94" s="3" t="s">
        <v>280</v>
      </c>
      <c r="D94" s="3" t="s">
        <v>281</v>
      </c>
    </row>
    <row r="95" spans="2:4">
      <c r="B95" s="3" t="s">
        <v>282</v>
      </c>
      <c r="C95" s="3" t="s">
        <v>283</v>
      </c>
      <c r="D95" s="3" t="s">
        <v>284</v>
      </c>
    </row>
    <row r="96" spans="2:4">
      <c r="B96" s="3" t="s">
        <v>285</v>
      </c>
      <c r="C96" s="3" t="s">
        <v>286</v>
      </c>
      <c r="D96" s="3" t="s">
        <v>287</v>
      </c>
    </row>
    <row r="97" spans="2:4">
      <c r="B97" s="3" t="s">
        <v>288</v>
      </c>
      <c r="C97" s="3" t="s">
        <v>289</v>
      </c>
      <c r="D97" s="3" t="s">
        <v>290</v>
      </c>
    </row>
    <row r="98" spans="2:4">
      <c r="B98" s="3" t="s">
        <v>291</v>
      </c>
      <c r="C98" s="3" t="s">
        <v>292</v>
      </c>
      <c r="D98" s="3" t="s">
        <v>293</v>
      </c>
    </row>
    <row r="99" spans="2:4">
      <c r="B99" s="3" t="s">
        <v>294</v>
      </c>
      <c r="C99" s="3" t="s">
        <v>295</v>
      </c>
      <c r="D99" s="3" t="s">
        <v>296</v>
      </c>
    </row>
    <row r="100" spans="2:4">
      <c r="B100" s="3" t="s">
        <v>297</v>
      </c>
      <c r="C100" s="3" t="s">
        <v>298</v>
      </c>
      <c r="D100" s="3" t="s">
        <v>299</v>
      </c>
    </row>
    <row r="101" spans="2:4">
      <c r="B101" s="3" t="s">
        <v>300</v>
      </c>
      <c r="C101" s="3" t="s">
        <v>301</v>
      </c>
      <c r="D101" s="3" t="s">
        <v>302</v>
      </c>
    </row>
    <row r="102" spans="2:4">
      <c r="B102" s="3" t="s">
        <v>303</v>
      </c>
      <c r="C102" s="3" t="s">
        <v>304</v>
      </c>
      <c r="D102" s="3" t="s">
        <v>305</v>
      </c>
    </row>
    <row r="103" spans="2:4">
      <c r="B103" s="3" t="s">
        <v>306</v>
      </c>
      <c r="C103" s="3" t="s">
        <v>307</v>
      </c>
      <c r="D103" s="3" t="s">
        <v>308</v>
      </c>
    </row>
    <row r="104" spans="2:4">
      <c r="B104" s="3" t="s">
        <v>309</v>
      </c>
      <c r="C104" s="3" t="s">
        <v>310</v>
      </c>
      <c r="D104" s="3" t="s">
        <v>311</v>
      </c>
    </row>
    <row r="105" spans="2:4">
      <c r="B105" s="3" t="s">
        <v>312</v>
      </c>
      <c r="C105" s="3" t="s">
        <v>313</v>
      </c>
      <c r="D105" s="3" t="s">
        <v>314</v>
      </c>
    </row>
    <row r="106" spans="2:4">
      <c r="B106" s="3" t="s">
        <v>315</v>
      </c>
      <c r="C106" s="3" t="s">
        <v>316</v>
      </c>
      <c r="D106" s="3" t="s">
        <v>317</v>
      </c>
    </row>
    <row r="107" spans="2:4">
      <c r="B107" s="3" t="s">
        <v>318</v>
      </c>
      <c r="C107" s="3" t="s">
        <v>319</v>
      </c>
      <c r="D107" s="3" t="s">
        <v>320</v>
      </c>
    </row>
    <row r="108" spans="2:4">
      <c r="B108" s="3" t="s">
        <v>321</v>
      </c>
      <c r="C108" s="3" t="s">
        <v>322</v>
      </c>
      <c r="D108" s="3" t="s">
        <v>323</v>
      </c>
    </row>
    <row r="109" spans="2:4">
      <c r="B109" s="3" t="s">
        <v>324</v>
      </c>
      <c r="C109" s="3" t="s">
        <v>325</v>
      </c>
      <c r="D109" s="3" t="s">
        <v>326</v>
      </c>
    </row>
    <row r="110" spans="2:4">
      <c r="B110" s="3" t="s">
        <v>327</v>
      </c>
      <c r="C110" s="3" t="s">
        <v>328</v>
      </c>
      <c r="D110" s="3" t="s">
        <v>329</v>
      </c>
    </row>
    <row r="111" spans="2:4">
      <c r="B111" s="3" t="s">
        <v>330</v>
      </c>
      <c r="C111" s="3" t="s">
        <v>331</v>
      </c>
      <c r="D111" s="3" t="s">
        <v>332</v>
      </c>
    </row>
    <row r="112" spans="2:4">
      <c r="B112" s="3" t="s">
        <v>333</v>
      </c>
      <c r="C112" s="3" t="s">
        <v>334</v>
      </c>
      <c r="D112" s="3" t="s">
        <v>335</v>
      </c>
    </row>
    <row r="113" spans="2:4">
      <c r="B113" s="3" t="s">
        <v>336</v>
      </c>
      <c r="C113" s="3" t="s">
        <v>337</v>
      </c>
      <c r="D113" s="3" t="s">
        <v>338</v>
      </c>
    </row>
    <row r="114" spans="2:4">
      <c r="B114" s="3" t="s">
        <v>339</v>
      </c>
      <c r="C114" s="3" t="s">
        <v>340</v>
      </c>
      <c r="D114" s="3" t="s">
        <v>341</v>
      </c>
    </row>
    <row r="115" spans="2:4">
      <c r="B115" s="3" t="s">
        <v>342</v>
      </c>
      <c r="C115" s="3" t="s">
        <v>343</v>
      </c>
      <c r="D115" s="3" t="s">
        <v>344</v>
      </c>
    </row>
    <row r="116" spans="2:4">
      <c r="B116" s="3" t="s">
        <v>345</v>
      </c>
      <c r="C116" s="3" t="s">
        <v>346</v>
      </c>
      <c r="D116" s="3" t="s">
        <v>347</v>
      </c>
    </row>
    <row r="117" spans="2:4">
      <c r="B117" s="3" t="s">
        <v>348</v>
      </c>
      <c r="C117" s="3" t="s">
        <v>349</v>
      </c>
      <c r="D117" s="3" t="s">
        <v>350</v>
      </c>
    </row>
    <row r="118" spans="2:4">
      <c r="B118" s="3" t="s">
        <v>351</v>
      </c>
      <c r="C118" s="3" t="s">
        <v>352</v>
      </c>
      <c r="D118" s="3" t="s">
        <v>353</v>
      </c>
    </row>
    <row r="119" spans="2:4">
      <c r="B119" s="3" t="s">
        <v>354</v>
      </c>
      <c r="C119" s="3" t="s">
        <v>355</v>
      </c>
      <c r="D119" s="3" t="s">
        <v>356</v>
      </c>
    </row>
    <row r="120" spans="2:4">
      <c r="B120" s="3" t="s">
        <v>357</v>
      </c>
      <c r="C120" s="3" t="s">
        <v>358</v>
      </c>
      <c r="D120" s="3" t="s">
        <v>359</v>
      </c>
    </row>
    <row r="121" spans="2:4">
      <c r="B121" s="3" t="s">
        <v>360</v>
      </c>
      <c r="C121" s="3" t="s">
        <v>361</v>
      </c>
      <c r="D121" s="3" t="s">
        <v>362</v>
      </c>
    </row>
    <row r="122" spans="2:4">
      <c r="B122" s="3" t="s">
        <v>363</v>
      </c>
      <c r="C122" s="3" t="s">
        <v>364</v>
      </c>
      <c r="D122" s="3" t="s">
        <v>365</v>
      </c>
    </row>
    <row r="123" spans="2:4">
      <c r="B123" s="3" t="s">
        <v>366</v>
      </c>
      <c r="C123" s="3" t="s">
        <v>367</v>
      </c>
      <c r="D123" s="3" t="s">
        <v>368</v>
      </c>
    </row>
    <row r="124" spans="2:4">
      <c r="B124" s="3" t="s">
        <v>369</v>
      </c>
      <c r="C124" s="3" t="s">
        <v>370</v>
      </c>
      <c r="D124" s="3" t="s">
        <v>371</v>
      </c>
    </row>
    <row r="125" spans="2:4">
      <c r="B125" s="3" t="s">
        <v>372</v>
      </c>
      <c r="C125" s="3" t="s">
        <v>373</v>
      </c>
      <c r="D125" s="3" t="s">
        <v>374</v>
      </c>
    </row>
    <row r="126" spans="2:4">
      <c r="B126" s="3" t="s">
        <v>375</v>
      </c>
      <c r="C126" s="3" t="s">
        <v>376</v>
      </c>
      <c r="D126" s="3" t="s">
        <v>377</v>
      </c>
    </row>
    <row r="127" spans="2:4">
      <c r="B127" s="3" t="s">
        <v>378</v>
      </c>
      <c r="C127" s="3" t="s">
        <v>379</v>
      </c>
      <c r="D127" s="3" t="s">
        <v>380</v>
      </c>
    </row>
    <row r="128" spans="2:4">
      <c r="B128" s="3" t="s">
        <v>381</v>
      </c>
      <c r="C128" s="3" t="s">
        <v>382</v>
      </c>
      <c r="D128" s="3" t="s">
        <v>383</v>
      </c>
    </row>
    <row r="129" spans="2:4">
      <c r="B129" s="3" t="s">
        <v>384</v>
      </c>
      <c r="C129" s="3" t="s">
        <v>385</v>
      </c>
      <c r="D129" s="3" t="s">
        <v>386</v>
      </c>
    </row>
    <row r="130" spans="2:4">
      <c r="B130" s="3" t="s">
        <v>387</v>
      </c>
      <c r="C130" s="3" t="s">
        <v>388</v>
      </c>
      <c r="D130" s="3" t="s">
        <v>389</v>
      </c>
    </row>
    <row r="131" spans="2:4">
      <c r="B131" s="3" t="s">
        <v>390</v>
      </c>
      <c r="C131" s="3" t="s">
        <v>391</v>
      </c>
      <c r="D131" s="3" t="s">
        <v>392</v>
      </c>
    </row>
    <row r="132" spans="2:4">
      <c r="B132" s="3" t="s">
        <v>393</v>
      </c>
      <c r="C132" s="3" t="s">
        <v>394</v>
      </c>
      <c r="D132" s="3" t="s">
        <v>395</v>
      </c>
    </row>
    <row r="133" spans="2:4">
      <c r="B133" s="3" t="s">
        <v>396</v>
      </c>
      <c r="C133" s="3" t="s">
        <v>397</v>
      </c>
      <c r="D133" s="3" t="s">
        <v>398</v>
      </c>
    </row>
    <row r="134" spans="2:4">
      <c r="B134" s="3" t="s">
        <v>399</v>
      </c>
      <c r="C134" s="3" t="s">
        <v>400</v>
      </c>
      <c r="D134" s="3" t="s">
        <v>401</v>
      </c>
    </row>
    <row r="135" spans="2:4">
      <c r="B135" s="3" t="s">
        <v>402</v>
      </c>
      <c r="C135" s="3" t="s">
        <v>403</v>
      </c>
      <c r="D135" s="3" t="s">
        <v>404</v>
      </c>
    </row>
    <row r="136" spans="2:4">
      <c r="B136" s="3" t="s">
        <v>405</v>
      </c>
      <c r="C136" s="3" t="s">
        <v>406</v>
      </c>
      <c r="D136" s="3" t="s">
        <v>407</v>
      </c>
    </row>
    <row r="137" spans="2:4">
      <c r="B137" s="3" t="s">
        <v>408</v>
      </c>
      <c r="C137" s="3" t="s">
        <v>409</v>
      </c>
      <c r="D137" s="3" t="s">
        <v>410</v>
      </c>
    </row>
    <row r="138" spans="2:4">
      <c r="B138" s="3" t="s">
        <v>411</v>
      </c>
      <c r="C138" s="3" t="s">
        <v>412</v>
      </c>
      <c r="D138" s="3" t="s">
        <v>413</v>
      </c>
    </row>
    <row r="139" spans="2:4">
      <c r="B139" s="3" t="s">
        <v>414</v>
      </c>
      <c r="C139" s="3" t="s">
        <v>415</v>
      </c>
      <c r="D139" s="3" t="s">
        <v>416</v>
      </c>
    </row>
    <row r="140" spans="2:4">
      <c r="B140" s="3" t="s">
        <v>417</v>
      </c>
      <c r="C140" s="3" t="s">
        <v>418</v>
      </c>
      <c r="D140" s="3" t="s">
        <v>419</v>
      </c>
    </row>
    <row r="141" spans="2:4">
      <c r="B141" s="3" t="s">
        <v>420</v>
      </c>
      <c r="C141" s="3" t="s">
        <v>421</v>
      </c>
      <c r="D141" s="3" t="s">
        <v>422</v>
      </c>
    </row>
    <row r="142" spans="2:4">
      <c r="B142" s="3" t="s">
        <v>423</v>
      </c>
      <c r="C142" s="3" t="s">
        <v>424</v>
      </c>
      <c r="D142" s="3" t="s">
        <v>425</v>
      </c>
    </row>
    <row r="143" spans="2:4">
      <c r="B143" s="3" t="s">
        <v>426</v>
      </c>
      <c r="C143" s="3" t="s">
        <v>427</v>
      </c>
      <c r="D143" s="3" t="s">
        <v>428</v>
      </c>
    </row>
    <row r="144" spans="2:4">
      <c r="B144" s="3" t="s">
        <v>429</v>
      </c>
      <c r="C144" s="3" t="s">
        <v>430</v>
      </c>
      <c r="D144" s="3" t="s">
        <v>431</v>
      </c>
    </row>
    <row r="145" spans="2:4">
      <c r="B145" s="3" t="s">
        <v>432</v>
      </c>
      <c r="C145" s="3" t="s">
        <v>433</v>
      </c>
      <c r="D145" s="3" t="s">
        <v>434</v>
      </c>
    </row>
    <row r="146" spans="2:4">
      <c r="B146" s="3" t="s">
        <v>435</v>
      </c>
      <c r="C146" s="3" t="s">
        <v>436</v>
      </c>
      <c r="D146" s="3" t="s">
        <v>437</v>
      </c>
    </row>
    <row r="147" spans="2:4">
      <c r="B147" s="3" t="s">
        <v>438</v>
      </c>
      <c r="C147" s="3" t="s">
        <v>439</v>
      </c>
      <c r="D147" s="3" t="s">
        <v>440</v>
      </c>
    </row>
    <row r="148" spans="2:4">
      <c r="B148" s="3" t="s">
        <v>441</v>
      </c>
      <c r="C148" s="3" t="s">
        <v>442</v>
      </c>
      <c r="D148" s="3" t="s">
        <v>443</v>
      </c>
    </row>
    <row r="149" spans="2:4">
      <c r="B149" s="3" t="s">
        <v>444</v>
      </c>
      <c r="C149" s="3" t="s">
        <v>445</v>
      </c>
      <c r="D149" s="3" t="s">
        <v>446</v>
      </c>
    </row>
    <row r="150" spans="2:4">
      <c r="B150" s="3" t="s">
        <v>447</v>
      </c>
      <c r="C150" s="3" t="s">
        <v>448</v>
      </c>
      <c r="D150" s="3" t="s">
        <v>449</v>
      </c>
    </row>
    <row r="151" spans="2:4">
      <c r="B151" s="3" t="s">
        <v>450</v>
      </c>
      <c r="C151" s="3" t="s">
        <v>451</v>
      </c>
      <c r="D151" s="3" t="s">
        <v>452</v>
      </c>
    </row>
    <row r="152" spans="2:4">
      <c r="B152" s="3" t="s">
        <v>453</v>
      </c>
      <c r="C152" s="3" t="s">
        <v>454</v>
      </c>
      <c r="D152" s="3" t="s">
        <v>455</v>
      </c>
    </row>
    <row r="153" spans="2:4">
      <c r="B153" s="3" t="s">
        <v>456</v>
      </c>
      <c r="C153" s="3" t="s">
        <v>457</v>
      </c>
      <c r="D153" s="3" t="s">
        <v>458</v>
      </c>
    </row>
    <row r="154" spans="2:4">
      <c r="B154" s="3" t="s">
        <v>459</v>
      </c>
      <c r="C154" s="3" t="s">
        <v>460</v>
      </c>
      <c r="D154" s="3" t="s">
        <v>461</v>
      </c>
    </row>
    <row r="155" spans="2:4">
      <c r="B155" s="3" t="s">
        <v>462</v>
      </c>
      <c r="C155" s="3" t="s">
        <v>463</v>
      </c>
      <c r="D155" s="3" t="s">
        <v>464</v>
      </c>
    </row>
    <row r="156" spans="2:4">
      <c r="B156" s="3" t="s">
        <v>465</v>
      </c>
      <c r="C156" s="3" t="s">
        <v>466</v>
      </c>
      <c r="D156" s="3" t="s">
        <v>467</v>
      </c>
    </row>
    <row r="157" spans="2:4">
      <c r="B157" s="3" t="s">
        <v>468</v>
      </c>
      <c r="C157" s="3" t="s">
        <v>469</v>
      </c>
      <c r="D157" s="3" t="s">
        <v>470</v>
      </c>
    </row>
    <row r="158" spans="2:4">
      <c r="B158" s="3" t="s">
        <v>471</v>
      </c>
      <c r="C158" s="3" t="s">
        <v>472</v>
      </c>
      <c r="D158" s="3" t="s">
        <v>473</v>
      </c>
    </row>
    <row r="159" spans="2:4">
      <c r="B159" s="3" t="s">
        <v>474</v>
      </c>
      <c r="C159" s="3" t="s">
        <v>475</v>
      </c>
      <c r="D159" s="3" t="s">
        <v>476</v>
      </c>
    </row>
    <row r="160" spans="2:4">
      <c r="B160" s="3" t="s">
        <v>477</v>
      </c>
      <c r="C160" s="3" t="s">
        <v>478</v>
      </c>
      <c r="D160" s="3" t="s">
        <v>479</v>
      </c>
    </row>
    <row r="161" spans="2:4">
      <c r="B161" s="3" t="s">
        <v>480</v>
      </c>
      <c r="C161" s="3" t="s">
        <v>481</v>
      </c>
      <c r="D161" s="3" t="s">
        <v>482</v>
      </c>
    </row>
    <row r="162" spans="2:4">
      <c r="B162" s="3" t="s">
        <v>483</v>
      </c>
      <c r="C162" s="3" t="s">
        <v>484</v>
      </c>
      <c r="D162" s="3" t="s">
        <v>485</v>
      </c>
    </row>
    <row r="163" spans="2:4">
      <c r="B163" s="3" t="s">
        <v>486</v>
      </c>
      <c r="C163" s="3" t="s">
        <v>487</v>
      </c>
      <c r="D163" s="3" t="s">
        <v>488</v>
      </c>
    </row>
    <row r="164" spans="2:4">
      <c r="B164" s="3" t="s">
        <v>489</v>
      </c>
      <c r="C164" s="3" t="s">
        <v>490</v>
      </c>
      <c r="D164" s="3" t="s">
        <v>491</v>
      </c>
    </row>
    <row r="165" spans="2:4">
      <c r="B165" s="3" t="s">
        <v>492</v>
      </c>
      <c r="C165" s="3" t="s">
        <v>493</v>
      </c>
      <c r="D165" s="3" t="s">
        <v>494</v>
      </c>
    </row>
    <row r="166" spans="2:4">
      <c r="B166" s="3" t="s">
        <v>495</v>
      </c>
      <c r="C166" s="3" t="s">
        <v>496</v>
      </c>
      <c r="D166" s="3" t="s">
        <v>497</v>
      </c>
    </row>
    <row r="167" spans="2:4">
      <c r="B167" s="3" t="s">
        <v>498</v>
      </c>
      <c r="C167" s="3" t="s">
        <v>499</v>
      </c>
      <c r="D167" s="3" t="s">
        <v>500</v>
      </c>
    </row>
    <row r="168" spans="2:4">
      <c r="B168" s="3" t="s">
        <v>501</v>
      </c>
      <c r="C168" s="3" t="s">
        <v>502</v>
      </c>
      <c r="D168" s="3" t="s">
        <v>503</v>
      </c>
    </row>
    <row r="169" spans="2:4">
      <c r="B169" s="3" t="s">
        <v>504</v>
      </c>
      <c r="C169" s="3" t="s">
        <v>505</v>
      </c>
      <c r="D169" s="3" t="s">
        <v>506</v>
      </c>
    </row>
    <row r="170" spans="2:4">
      <c r="B170" s="3" t="s">
        <v>507</v>
      </c>
      <c r="C170" s="3" t="s">
        <v>508</v>
      </c>
      <c r="D170" s="3" t="s">
        <v>509</v>
      </c>
    </row>
    <row r="171" spans="2:4">
      <c r="B171" s="3" t="s">
        <v>510</v>
      </c>
      <c r="C171" s="3" t="s">
        <v>511</v>
      </c>
      <c r="D171" s="3" t="s">
        <v>512</v>
      </c>
    </row>
    <row r="172" spans="2:4">
      <c r="B172" s="3" t="s">
        <v>513</v>
      </c>
      <c r="C172" s="3" t="s">
        <v>514</v>
      </c>
      <c r="D172" s="3" t="s">
        <v>515</v>
      </c>
    </row>
    <row r="173" spans="2:4">
      <c r="B173" s="3" t="s">
        <v>516</v>
      </c>
      <c r="C173" s="3" t="s">
        <v>517</v>
      </c>
      <c r="D173" s="3" t="s">
        <v>518</v>
      </c>
    </row>
    <row r="174" spans="2:4">
      <c r="B174" s="3" t="s">
        <v>519</v>
      </c>
      <c r="C174" s="3" t="s">
        <v>520</v>
      </c>
      <c r="D174" s="3" t="s">
        <v>521</v>
      </c>
    </row>
    <row r="175" spans="2:4">
      <c r="B175" s="3" t="s">
        <v>522</v>
      </c>
      <c r="C175" s="3" t="s">
        <v>523</v>
      </c>
      <c r="D175" s="3" t="s">
        <v>524</v>
      </c>
    </row>
    <row r="176" spans="2:4">
      <c r="B176" s="3" t="s">
        <v>525</v>
      </c>
      <c r="C176" s="3" t="s">
        <v>526</v>
      </c>
      <c r="D176" s="3" t="s">
        <v>527</v>
      </c>
    </row>
    <row r="177" spans="2:4">
      <c r="B177" s="3" t="s">
        <v>528</v>
      </c>
      <c r="C177" s="3" t="s">
        <v>529</v>
      </c>
      <c r="D177" s="3" t="s">
        <v>530</v>
      </c>
    </row>
    <row r="178" spans="2:4">
      <c r="B178" s="3" t="s">
        <v>531</v>
      </c>
      <c r="C178" s="3" t="s">
        <v>532</v>
      </c>
      <c r="D178" s="3" t="s">
        <v>533</v>
      </c>
    </row>
    <row r="179" spans="2:4">
      <c r="B179" s="3" t="s">
        <v>534</v>
      </c>
      <c r="C179" s="3" t="s">
        <v>535</v>
      </c>
      <c r="D179" s="3" t="s">
        <v>536</v>
      </c>
    </row>
    <row r="180" spans="2:4">
      <c r="B180" s="3" t="s">
        <v>537</v>
      </c>
      <c r="C180" s="3" t="s">
        <v>538</v>
      </c>
      <c r="D180" s="3" t="s">
        <v>539</v>
      </c>
    </row>
    <row r="181" spans="2:4">
      <c r="B181" s="3" t="s">
        <v>540</v>
      </c>
      <c r="C181" s="3" t="s">
        <v>541</v>
      </c>
      <c r="D181" s="3" t="s">
        <v>542</v>
      </c>
    </row>
    <row r="182" spans="2:4">
      <c r="B182" s="3" t="s">
        <v>543</v>
      </c>
      <c r="C182" s="3" t="s">
        <v>544</v>
      </c>
      <c r="D182" s="3" t="s">
        <v>545</v>
      </c>
    </row>
    <row r="183" spans="2:4">
      <c r="B183" s="3" t="s">
        <v>546</v>
      </c>
      <c r="C183" s="3" t="s">
        <v>547</v>
      </c>
      <c r="D183" s="3" t="s">
        <v>548</v>
      </c>
    </row>
    <row r="184" spans="2:4">
      <c r="B184" s="3" t="s">
        <v>549</v>
      </c>
      <c r="C184" s="3" t="s">
        <v>550</v>
      </c>
      <c r="D184" s="3" t="s">
        <v>551</v>
      </c>
    </row>
    <row r="185" spans="2:4">
      <c r="B185" s="3" t="s">
        <v>552</v>
      </c>
      <c r="C185" s="3" t="s">
        <v>553</v>
      </c>
      <c r="D185" s="3" t="s">
        <v>554</v>
      </c>
    </row>
    <row r="186" spans="2:4">
      <c r="B186" s="3" t="s">
        <v>555</v>
      </c>
      <c r="C186" s="3" t="s">
        <v>556</v>
      </c>
      <c r="D186" s="3" t="s">
        <v>557</v>
      </c>
    </row>
    <row r="187" spans="2:4">
      <c r="B187" s="3" t="s">
        <v>558</v>
      </c>
      <c r="C187" s="3" t="s">
        <v>559</v>
      </c>
      <c r="D187" s="3" t="s">
        <v>560</v>
      </c>
    </row>
    <row r="188" spans="2:4">
      <c r="B188" s="3" t="s">
        <v>561</v>
      </c>
      <c r="C188" s="3" t="s">
        <v>562</v>
      </c>
      <c r="D188" s="3" t="s">
        <v>563</v>
      </c>
    </row>
    <row r="189" spans="2:4">
      <c r="B189" s="3" t="s">
        <v>564</v>
      </c>
      <c r="C189" s="3" t="s">
        <v>565</v>
      </c>
      <c r="D189" s="3" t="s">
        <v>566</v>
      </c>
    </row>
    <row r="190" spans="2:4">
      <c r="B190" s="3" t="s">
        <v>567</v>
      </c>
      <c r="C190" s="3" t="s">
        <v>568</v>
      </c>
      <c r="D190" s="3" t="s">
        <v>569</v>
      </c>
    </row>
    <row r="191" spans="2:4">
      <c r="B191" s="3" t="s">
        <v>570</v>
      </c>
      <c r="C191" s="3" t="s">
        <v>571</v>
      </c>
      <c r="D191" s="3" t="s">
        <v>572</v>
      </c>
    </row>
    <row r="192" spans="2:4">
      <c r="B192" s="3" t="s">
        <v>573</v>
      </c>
      <c r="C192" s="3" t="s">
        <v>574</v>
      </c>
      <c r="D192" s="3" t="s">
        <v>575</v>
      </c>
    </row>
    <row r="193" spans="2:4">
      <c r="B193" s="3" t="s">
        <v>576</v>
      </c>
      <c r="C193" s="3" t="s">
        <v>577</v>
      </c>
      <c r="D193" s="3" t="s">
        <v>578</v>
      </c>
    </row>
    <row r="194" spans="2:4">
      <c r="B194" s="3" t="s">
        <v>579</v>
      </c>
      <c r="C194" s="3" t="s">
        <v>580</v>
      </c>
      <c r="D194" s="3" t="s">
        <v>581</v>
      </c>
    </row>
    <row r="195" spans="2:4">
      <c r="B195" s="3" t="s">
        <v>582</v>
      </c>
      <c r="C195" s="3" t="s">
        <v>583</v>
      </c>
      <c r="D195" s="3" t="s">
        <v>584</v>
      </c>
    </row>
    <row r="196" spans="2:4">
      <c r="B196" s="3" t="s">
        <v>585</v>
      </c>
      <c r="C196" s="3" t="s">
        <v>586</v>
      </c>
      <c r="D196" s="3" t="s">
        <v>587</v>
      </c>
    </row>
    <row r="197" spans="2:4">
      <c r="B197" s="3" t="s">
        <v>588</v>
      </c>
      <c r="C197" s="3" t="s">
        <v>589</v>
      </c>
      <c r="D197" s="3" t="s">
        <v>590</v>
      </c>
    </row>
    <row r="198" spans="2:4">
      <c r="B198" s="3" t="s">
        <v>591</v>
      </c>
      <c r="C198" s="3" t="s">
        <v>592</v>
      </c>
      <c r="D198" s="3" t="s">
        <v>593</v>
      </c>
    </row>
    <row r="199" spans="2:4">
      <c r="B199" s="3" t="s">
        <v>594</v>
      </c>
      <c r="C199" s="3" t="s">
        <v>595</v>
      </c>
      <c r="D199" s="3" t="s">
        <v>596</v>
      </c>
    </row>
    <row r="200" spans="2:4">
      <c r="B200" s="3" t="s">
        <v>597</v>
      </c>
      <c r="C200" s="3" t="s">
        <v>598</v>
      </c>
      <c r="D200" s="3" t="s">
        <v>599</v>
      </c>
    </row>
    <row r="201" spans="2:4">
      <c r="B201" s="3" t="s">
        <v>600</v>
      </c>
      <c r="C201" s="3" t="s">
        <v>601</v>
      </c>
      <c r="D201" s="3" t="s">
        <v>602</v>
      </c>
    </row>
    <row r="202" spans="2:4">
      <c r="B202" s="3" t="s">
        <v>603</v>
      </c>
      <c r="C202" s="3" t="s">
        <v>604</v>
      </c>
      <c r="D202" s="3" t="s">
        <v>605</v>
      </c>
    </row>
    <row r="203" spans="2:4">
      <c r="B203" s="3" t="s">
        <v>606</v>
      </c>
      <c r="C203" s="3" t="s">
        <v>607</v>
      </c>
      <c r="D203" s="3" t="s">
        <v>608</v>
      </c>
    </row>
    <row r="204" spans="2:4">
      <c r="B204" s="3" t="s">
        <v>609</v>
      </c>
      <c r="C204" s="3" t="s">
        <v>610</v>
      </c>
      <c r="D204" s="3" t="s">
        <v>611</v>
      </c>
    </row>
    <row r="205" spans="2:4">
      <c r="B205" s="3" t="s">
        <v>612</v>
      </c>
      <c r="C205" s="3" t="s">
        <v>613</v>
      </c>
      <c r="D205" s="3" t="s">
        <v>614</v>
      </c>
    </row>
    <row r="206" spans="2:4">
      <c r="B206" s="3" t="s">
        <v>615</v>
      </c>
      <c r="C206" s="3" t="s">
        <v>616</v>
      </c>
      <c r="D206" s="3" t="s">
        <v>617</v>
      </c>
    </row>
    <row r="207" spans="2:4">
      <c r="B207" s="3" t="s">
        <v>618</v>
      </c>
      <c r="C207" s="3" t="s">
        <v>619</v>
      </c>
      <c r="D207" s="3" t="s">
        <v>620</v>
      </c>
    </row>
    <row r="208" spans="2:4">
      <c r="B208" s="3" t="s">
        <v>621</v>
      </c>
      <c r="C208" s="3" t="s">
        <v>622</v>
      </c>
      <c r="D208" s="3" t="s">
        <v>623</v>
      </c>
    </row>
    <row r="209" spans="2:4">
      <c r="B209" s="3" t="s">
        <v>624</v>
      </c>
      <c r="C209" s="3" t="s">
        <v>625</v>
      </c>
      <c r="D209" s="3" t="s">
        <v>626</v>
      </c>
    </row>
    <row r="210" spans="2:4">
      <c r="B210" s="3" t="s">
        <v>627</v>
      </c>
      <c r="C210" s="3" t="s">
        <v>628</v>
      </c>
      <c r="D210" s="3" t="s">
        <v>629</v>
      </c>
    </row>
    <row r="211" spans="2:4">
      <c r="B211" s="3" t="s">
        <v>630</v>
      </c>
      <c r="C211" s="3" t="s">
        <v>631</v>
      </c>
      <c r="D211" s="3" t="s">
        <v>632</v>
      </c>
    </row>
    <row r="212" spans="2:4">
      <c r="B212" s="3" t="s">
        <v>633</v>
      </c>
      <c r="C212" s="3" t="s">
        <v>634</v>
      </c>
      <c r="D212" s="3" t="s">
        <v>635</v>
      </c>
    </row>
    <row r="213" spans="2:4">
      <c r="B213" s="3" t="s">
        <v>636</v>
      </c>
      <c r="C213" s="3" t="s">
        <v>637</v>
      </c>
      <c r="D213" s="3" t="s">
        <v>638</v>
      </c>
    </row>
    <row r="214" spans="2:4">
      <c r="B214" s="3" t="s">
        <v>639</v>
      </c>
      <c r="C214" s="3" t="s">
        <v>640</v>
      </c>
      <c r="D214" s="3" t="s">
        <v>641</v>
      </c>
    </row>
    <row r="215" spans="2:4">
      <c r="B215" s="3" t="s">
        <v>642</v>
      </c>
      <c r="C215" s="3" t="s">
        <v>643</v>
      </c>
      <c r="D215" s="3" t="s">
        <v>644</v>
      </c>
    </row>
    <row r="216" spans="2:4">
      <c r="B216" s="3" t="s">
        <v>645</v>
      </c>
      <c r="C216" s="3" t="s">
        <v>646</v>
      </c>
      <c r="D216" s="3" t="s">
        <v>647</v>
      </c>
    </row>
    <row r="217" spans="2:4">
      <c r="B217" s="3" t="s">
        <v>648</v>
      </c>
      <c r="C217" s="3" t="s">
        <v>649</v>
      </c>
      <c r="D217" s="3" t="s">
        <v>650</v>
      </c>
    </row>
    <row r="218" spans="2:4">
      <c r="B218" s="3" t="s">
        <v>651</v>
      </c>
      <c r="C218" s="3" t="s">
        <v>652</v>
      </c>
      <c r="D218" s="3" t="s">
        <v>653</v>
      </c>
    </row>
    <row r="219" spans="2:4">
      <c r="B219" s="3" t="s">
        <v>654</v>
      </c>
      <c r="C219" s="3" t="s">
        <v>655</v>
      </c>
      <c r="D219" s="3" t="s">
        <v>656</v>
      </c>
    </row>
    <row r="220" spans="2:4">
      <c r="B220" s="3" t="s">
        <v>657</v>
      </c>
      <c r="C220" s="3" t="s">
        <v>658</v>
      </c>
      <c r="D220" s="3" t="s">
        <v>659</v>
      </c>
    </row>
    <row r="221" spans="2:4">
      <c r="B221" s="3" t="s">
        <v>660</v>
      </c>
      <c r="C221" s="3" t="s">
        <v>661</v>
      </c>
      <c r="D221" s="3" t="s">
        <v>662</v>
      </c>
    </row>
    <row r="222" spans="2:4">
      <c r="B222" s="3" t="s">
        <v>663</v>
      </c>
      <c r="C222" s="3" t="s">
        <v>664</v>
      </c>
      <c r="D222" s="3" t="s">
        <v>665</v>
      </c>
    </row>
    <row r="223" spans="2:4">
      <c r="B223" s="3" t="s">
        <v>666</v>
      </c>
      <c r="C223" s="3" t="s">
        <v>667</v>
      </c>
      <c r="D223" s="3" t="s">
        <v>668</v>
      </c>
    </row>
    <row r="224" spans="2:4">
      <c r="B224" s="3" t="s">
        <v>669</v>
      </c>
      <c r="C224" s="3" t="s">
        <v>670</v>
      </c>
      <c r="D224" s="3" t="s">
        <v>671</v>
      </c>
    </row>
    <row r="225" spans="2:4">
      <c r="B225" s="3" t="s">
        <v>672</v>
      </c>
      <c r="C225" s="3" t="s">
        <v>673</v>
      </c>
      <c r="D225" s="3" t="s">
        <v>674</v>
      </c>
    </row>
    <row r="226" spans="2:4">
      <c r="B226" s="3" t="s">
        <v>675</v>
      </c>
      <c r="C226" s="3" t="s">
        <v>676</v>
      </c>
      <c r="D226" s="3" t="s">
        <v>677</v>
      </c>
    </row>
    <row r="227" spans="2:4">
      <c r="B227" s="3" t="s">
        <v>678</v>
      </c>
      <c r="C227" s="3" t="s">
        <v>679</v>
      </c>
      <c r="D227" s="3" t="s">
        <v>680</v>
      </c>
    </row>
    <row r="228" spans="2:4">
      <c r="B228" s="3" t="s">
        <v>681</v>
      </c>
      <c r="C228" s="3" t="s">
        <v>682</v>
      </c>
      <c r="D228" s="3" t="s">
        <v>683</v>
      </c>
    </row>
    <row r="229" spans="2:4">
      <c r="B229" s="3" t="s">
        <v>684</v>
      </c>
      <c r="C229" s="3" t="s">
        <v>685</v>
      </c>
      <c r="D229" s="3" t="s">
        <v>686</v>
      </c>
    </row>
    <row r="230" spans="2:4">
      <c r="B230" s="3" t="s">
        <v>687</v>
      </c>
      <c r="C230" s="3" t="s">
        <v>688</v>
      </c>
      <c r="D230" s="3" t="s">
        <v>689</v>
      </c>
    </row>
    <row r="231" spans="2:4">
      <c r="B231" s="3" t="s">
        <v>690</v>
      </c>
      <c r="C231" s="3" t="s">
        <v>691</v>
      </c>
      <c r="D231" s="3" t="s">
        <v>692</v>
      </c>
    </row>
    <row r="232" spans="2:4">
      <c r="B232" s="3" t="s">
        <v>693</v>
      </c>
      <c r="C232" s="3" t="s">
        <v>694</v>
      </c>
      <c r="D232" s="3" t="s">
        <v>695</v>
      </c>
    </row>
    <row r="233" spans="2:4">
      <c r="B233" s="3" t="s">
        <v>696</v>
      </c>
      <c r="C233" s="3" t="s">
        <v>697</v>
      </c>
      <c r="D233" s="3" t="s">
        <v>698</v>
      </c>
    </row>
    <row r="234" spans="2:4">
      <c r="B234" s="3" t="s">
        <v>699</v>
      </c>
      <c r="C234" s="3" t="s">
        <v>700</v>
      </c>
      <c r="D234" s="3" t="s">
        <v>701</v>
      </c>
    </row>
    <row r="235" spans="2:4">
      <c r="B235" s="3" t="s">
        <v>702</v>
      </c>
      <c r="C235" s="3" t="s">
        <v>703</v>
      </c>
      <c r="D235" s="3" t="s">
        <v>704</v>
      </c>
    </row>
    <row r="236" spans="2:4">
      <c r="B236" s="3" t="s">
        <v>705</v>
      </c>
      <c r="C236" s="3" t="s">
        <v>706</v>
      </c>
      <c r="D236" s="3" t="s">
        <v>707</v>
      </c>
    </row>
    <row r="237" spans="2:4">
      <c r="B237" s="3" t="s">
        <v>708</v>
      </c>
      <c r="C237" s="3" t="s">
        <v>709</v>
      </c>
      <c r="D237" s="3" t="s">
        <v>710</v>
      </c>
    </row>
    <row r="238" spans="2:4">
      <c r="B238" s="3" t="s">
        <v>711</v>
      </c>
      <c r="C238" s="3" t="s">
        <v>712</v>
      </c>
      <c r="D238" s="3" t="s">
        <v>713</v>
      </c>
    </row>
    <row r="239" spans="2:4">
      <c r="B239" s="3" t="s">
        <v>714</v>
      </c>
      <c r="C239" s="3" t="s">
        <v>715</v>
      </c>
      <c r="D239" s="3" t="s">
        <v>716</v>
      </c>
    </row>
    <row r="240" spans="2:4">
      <c r="B240" s="3" t="s">
        <v>717</v>
      </c>
      <c r="C240" s="3" t="s">
        <v>718</v>
      </c>
      <c r="D240" s="3" t="s">
        <v>719</v>
      </c>
    </row>
    <row r="241" spans="2:4">
      <c r="B241" s="3" t="s">
        <v>720</v>
      </c>
      <c r="C241" s="3" t="s">
        <v>721</v>
      </c>
      <c r="D241" s="3" t="s">
        <v>722</v>
      </c>
    </row>
    <row r="242" spans="2:4">
      <c r="B242" s="3" t="s">
        <v>723</v>
      </c>
      <c r="C242" s="3" t="s">
        <v>724</v>
      </c>
      <c r="D242" s="3" t="s">
        <v>725</v>
      </c>
    </row>
    <row r="243" spans="2:4">
      <c r="B243" s="3" t="s">
        <v>726</v>
      </c>
      <c r="C243" s="3" t="s">
        <v>727</v>
      </c>
      <c r="D243" s="3" t="s">
        <v>728</v>
      </c>
    </row>
    <row r="244" spans="2:4">
      <c r="B244" s="3" t="s">
        <v>729</v>
      </c>
      <c r="C244" s="3" t="s">
        <v>730</v>
      </c>
      <c r="D244" s="3" t="s">
        <v>731</v>
      </c>
    </row>
    <row r="245" spans="2:4">
      <c r="B245" s="3" t="s">
        <v>732</v>
      </c>
      <c r="C245" s="3" t="s">
        <v>733</v>
      </c>
      <c r="D245" s="3" t="s">
        <v>734</v>
      </c>
    </row>
    <row r="246" spans="2:4">
      <c r="B246" s="3" t="s">
        <v>735</v>
      </c>
      <c r="C246" s="3" t="s">
        <v>736</v>
      </c>
      <c r="D246" s="3" t="s">
        <v>737</v>
      </c>
    </row>
    <row r="247" spans="2:4">
      <c r="B247" s="3" t="s">
        <v>738</v>
      </c>
      <c r="C247" s="3" t="s">
        <v>739</v>
      </c>
      <c r="D247" s="3" t="s">
        <v>740</v>
      </c>
    </row>
    <row r="248" spans="2:4">
      <c r="B248" s="3" t="s">
        <v>741</v>
      </c>
      <c r="C248" s="3" t="s">
        <v>742</v>
      </c>
      <c r="D248" s="3" t="s">
        <v>743</v>
      </c>
    </row>
    <row r="249" spans="2:4">
      <c r="B249" s="3" t="s">
        <v>744</v>
      </c>
      <c r="C249" s="3" t="s">
        <v>745</v>
      </c>
      <c r="D249" s="3" t="s">
        <v>746</v>
      </c>
    </row>
    <row r="250" spans="2:4">
      <c r="B250" s="3" t="s">
        <v>747</v>
      </c>
      <c r="C250" s="3" t="s">
        <v>748</v>
      </c>
      <c r="D250" s="3" t="s">
        <v>749</v>
      </c>
    </row>
    <row r="251" spans="2:4">
      <c r="B251" s="3" t="s">
        <v>750</v>
      </c>
      <c r="C251" s="3" t="s">
        <v>751</v>
      </c>
      <c r="D251" s="3" t="s">
        <v>752</v>
      </c>
    </row>
    <row r="252" spans="2:4">
      <c r="B252" s="3" t="s">
        <v>753</v>
      </c>
      <c r="C252" s="3" t="s">
        <v>754</v>
      </c>
      <c r="D252" s="3" t="s">
        <v>755</v>
      </c>
    </row>
    <row r="253" spans="2:4">
      <c r="B253" s="3" t="s">
        <v>756</v>
      </c>
      <c r="C253" s="3" t="s">
        <v>757</v>
      </c>
      <c r="D253" s="3" t="s">
        <v>758</v>
      </c>
    </row>
    <row r="254" spans="2:4">
      <c r="B254" s="3" t="s">
        <v>759</v>
      </c>
      <c r="C254" s="3" t="s">
        <v>760</v>
      </c>
      <c r="D254" s="3" t="s">
        <v>761</v>
      </c>
    </row>
    <row r="255" spans="2:4">
      <c r="B255" s="3" t="s">
        <v>762</v>
      </c>
      <c r="C255" s="3" t="s">
        <v>763</v>
      </c>
      <c r="D255" s="3" t="s">
        <v>764</v>
      </c>
    </row>
    <row r="256" spans="2:4">
      <c r="B256" s="3" t="s">
        <v>765</v>
      </c>
      <c r="C256" s="3" t="s">
        <v>766</v>
      </c>
      <c r="D256" s="3" t="s">
        <v>767</v>
      </c>
    </row>
    <row r="257" spans="2:4">
      <c r="B257" s="3" t="s">
        <v>768</v>
      </c>
      <c r="C257" s="3" t="s">
        <v>769</v>
      </c>
      <c r="D257" s="3" t="s">
        <v>770</v>
      </c>
    </row>
    <row r="258" spans="2:4">
      <c r="B258" s="3" t="s">
        <v>771</v>
      </c>
      <c r="C258" s="3" t="s">
        <v>772</v>
      </c>
      <c r="D258" s="3" t="s">
        <v>773</v>
      </c>
    </row>
    <row r="259" spans="2:4">
      <c r="B259" s="3" t="s">
        <v>774</v>
      </c>
      <c r="C259" s="3" t="s">
        <v>775</v>
      </c>
      <c r="D259" s="3" t="s">
        <v>776</v>
      </c>
    </row>
    <row r="260" spans="2:4">
      <c r="B260" s="3" t="s">
        <v>777</v>
      </c>
      <c r="C260" s="3" t="s">
        <v>778</v>
      </c>
      <c r="D260" s="3" t="s">
        <v>779</v>
      </c>
    </row>
    <row r="261" spans="2:4">
      <c r="B261" s="3" t="s">
        <v>780</v>
      </c>
      <c r="C261" s="3" t="s">
        <v>781</v>
      </c>
      <c r="D261" s="3" t="s">
        <v>782</v>
      </c>
    </row>
    <row r="262" spans="2:4">
      <c r="B262" s="3" t="s">
        <v>783</v>
      </c>
      <c r="C262" s="3" t="s">
        <v>784</v>
      </c>
      <c r="D262" s="3" t="s">
        <v>785</v>
      </c>
    </row>
    <row r="263" spans="2:4">
      <c r="B263" s="3" t="s">
        <v>786</v>
      </c>
      <c r="C263" s="3" t="s">
        <v>787</v>
      </c>
      <c r="D263" s="3" t="s">
        <v>788</v>
      </c>
    </row>
    <row r="264" spans="2:4">
      <c r="B264" s="3" t="s">
        <v>789</v>
      </c>
      <c r="C264" s="3" t="s">
        <v>790</v>
      </c>
      <c r="D264" s="3" t="s">
        <v>791</v>
      </c>
    </row>
    <row r="265" spans="2:4">
      <c r="B265" s="3" t="s">
        <v>792</v>
      </c>
      <c r="C265" s="3" t="s">
        <v>793</v>
      </c>
      <c r="D265" s="3" t="s">
        <v>794</v>
      </c>
    </row>
    <row r="266" spans="2:4">
      <c r="B266" s="3" t="s">
        <v>795</v>
      </c>
      <c r="C266" s="3" t="s">
        <v>796</v>
      </c>
      <c r="D266" s="3" t="s">
        <v>797</v>
      </c>
    </row>
    <row r="267" spans="2:4">
      <c r="B267" s="3" t="s">
        <v>798</v>
      </c>
      <c r="C267" s="3" t="s">
        <v>799</v>
      </c>
      <c r="D267" s="3" t="s">
        <v>800</v>
      </c>
    </row>
    <row r="268" spans="2:4">
      <c r="B268" s="3" t="s">
        <v>801</v>
      </c>
      <c r="C268" s="3" t="s">
        <v>802</v>
      </c>
      <c r="D268" s="3" t="s">
        <v>803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E9A4-72FA-4701-919E-38016A9606AE}">
  <dimension ref="B1:C5"/>
  <sheetViews>
    <sheetView workbookViewId="0"/>
  </sheetViews>
  <sheetFormatPr defaultRowHeight="16.5"/>
  <cols>
    <col min="1" max="1" width="9.140625" style="2"/>
    <col min="2" max="2" width="17" style="2" customWidth="1"/>
    <col min="3" max="3" width="19.42578125" style="2" customWidth="1"/>
    <col min="4" max="257" width="9.140625" style="2"/>
    <col min="258" max="258" width="17" style="2" customWidth="1"/>
    <col min="259" max="259" width="19.42578125" style="2" customWidth="1"/>
    <col min="260" max="513" width="9.140625" style="2"/>
    <col min="514" max="514" width="17" style="2" customWidth="1"/>
    <col min="515" max="515" width="19.42578125" style="2" customWidth="1"/>
    <col min="516" max="769" width="9.140625" style="2"/>
    <col min="770" max="770" width="17" style="2" customWidth="1"/>
    <col min="771" max="771" width="19.42578125" style="2" customWidth="1"/>
    <col min="772" max="1025" width="9.140625" style="2"/>
    <col min="1026" max="1026" width="17" style="2" customWidth="1"/>
    <col min="1027" max="1027" width="19.42578125" style="2" customWidth="1"/>
    <col min="1028" max="1281" width="9.140625" style="2"/>
    <col min="1282" max="1282" width="17" style="2" customWidth="1"/>
    <col min="1283" max="1283" width="19.42578125" style="2" customWidth="1"/>
    <col min="1284" max="1537" width="9.140625" style="2"/>
    <col min="1538" max="1538" width="17" style="2" customWidth="1"/>
    <col min="1539" max="1539" width="19.42578125" style="2" customWidth="1"/>
    <col min="1540" max="1793" width="9.140625" style="2"/>
    <col min="1794" max="1794" width="17" style="2" customWidth="1"/>
    <col min="1795" max="1795" width="19.42578125" style="2" customWidth="1"/>
    <col min="1796" max="2049" width="9.140625" style="2"/>
    <col min="2050" max="2050" width="17" style="2" customWidth="1"/>
    <col min="2051" max="2051" width="19.42578125" style="2" customWidth="1"/>
    <col min="2052" max="2305" width="9.140625" style="2"/>
    <col min="2306" max="2306" width="17" style="2" customWidth="1"/>
    <col min="2307" max="2307" width="19.42578125" style="2" customWidth="1"/>
    <col min="2308" max="2561" width="9.140625" style="2"/>
    <col min="2562" max="2562" width="17" style="2" customWidth="1"/>
    <col min="2563" max="2563" width="19.42578125" style="2" customWidth="1"/>
    <col min="2564" max="2817" width="9.140625" style="2"/>
    <col min="2818" max="2818" width="17" style="2" customWidth="1"/>
    <col min="2819" max="2819" width="19.42578125" style="2" customWidth="1"/>
    <col min="2820" max="3073" width="9.140625" style="2"/>
    <col min="3074" max="3074" width="17" style="2" customWidth="1"/>
    <col min="3075" max="3075" width="19.42578125" style="2" customWidth="1"/>
    <col min="3076" max="3329" width="9.140625" style="2"/>
    <col min="3330" max="3330" width="17" style="2" customWidth="1"/>
    <col min="3331" max="3331" width="19.42578125" style="2" customWidth="1"/>
    <col min="3332" max="3585" width="9.140625" style="2"/>
    <col min="3586" max="3586" width="17" style="2" customWidth="1"/>
    <col min="3587" max="3587" width="19.42578125" style="2" customWidth="1"/>
    <col min="3588" max="3841" width="9.140625" style="2"/>
    <col min="3842" max="3842" width="17" style="2" customWidth="1"/>
    <col min="3843" max="3843" width="19.42578125" style="2" customWidth="1"/>
    <col min="3844" max="4097" width="9.140625" style="2"/>
    <col min="4098" max="4098" width="17" style="2" customWidth="1"/>
    <col min="4099" max="4099" width="19.42578125" style="2" customWidth="1"/>
    <col min="4100" max="4353" width="9.140625" style="2"/>
    <col min="4354" max="4354" width="17" style="2" customWidth="1"/>
    <col min="4355" max="4355" width="19.42578125" style="2" customWidth="1"/>
    <col min="4356" max="4609" width="9.140625" style="2"/>
    <col min="4610" max="4610" width="17" style="2" customWidth="1"/>
    <col min="4611" max="4611" width="19.42578125" style="2" customWidth="1"/>
    <col min="4612" max="4865" width="9.140625" style="2"/>
    <col min="4866" max="4866" width="17" style="2" customWidth="1"/>
    <col min="4867" max="4867" width="19.42578125" style="2" customWidth="1"/>
    <col min="4868" max="5121" width="9.140625" style="2"/>
    <col min="5122" max="5122" width="17" style="2" customWidth="1"/>
    <col min="5123" max="5123" width="19.42578125" style="2" customWidth="1"/>
    <col min="5124" max="5377" width="9.140625" style="2"/>
    <col min="5378" max="5378" width="17" style="2" customWidth="1"/>
    <col min="5379" max="5379" width="19.42578125" style="2" customWidth="1"/>
    <col min="5380" max="5633" width="9.140625" style="2"/>
    <col min="5634" max="5634" width="17" style="2" customWidth="1"/>
    <col min="5635" max="5635" width="19.42578125" style="2" customWidth="1"/>
    <col min="5636" max="5889" width="9.140625" style="2"/>
    <col min="5890" max="5890" width="17" style="2" customWidth="1"/>
    <col min="5891" max="5891" width="19.42578125" style="2" customWidth="1"/>
    <col min="5892" max="6145" width="9.140625" style="2"/>
    <col min="6146" max="6146" width="17" style="2" customWidth="1"/>
    <col min="6147" max="6147" width="19.42578125" style="2" customWidth="1"/>
    <col min="6148" max="6401" width="9.140625" style="2"/>
    <col min="6402" max="6402" width="17" style="2" customWidth="1"/>
    <col min="6403" max="6403" width="19.42578125" style="2" customWidth="1"/>
    <col min="6404" max="6657" width="9.140625" style="2"/>
    <col min="6658" max="6658" width="17" style="2" customWidth="1"/>
    <col min="6659" max="6659" width="19.42578125" style="2" customWidth="1"/>
    <col min="6660" max="6913" width="9.140625" style="2"/>
    <col min="6914" max="6914" width="17" style="2" customWidth="1"/>
    <col min="6915" max="6915" width="19.42578125" style="2" customWidth="1"/>
    <col min="6916" max="7169" width="9.140625" style="2"/>
    <col min="7170" max="7170" width="17" style="2" customWidth="1"/>
    <col min="7171" max="7171" width="19.42578125" style="2" customWidth="1"/>
    <col min="7172" max="7425" width="9.140625" style="2"/>
    <col min="7426" max="7426" width="17" style="2" customWidth="1"/>
    <col min="7427" max="7427" width="19.42578125" style="2" customWidth="1"/>
    <col min="7428" max="7681" width="9.140625" style="2"/>
    <col min="7682" max="7682" width="17" style="2" customWidth="1"/>
    <col min="7683" max="7683" width="19.42578125" style="2" customWidth="1"/>
    <col min="7684" max="7937" width="9.140625" style="2"/>
    <col min="7938" max="7938" width="17" style="2" customWidth="1"/>
    <col min="7939" max="7939" width="19.42578125" style="2" customWidth="1"/>
    <col min="7940" max="8193" width="9.140625" style="2"/>
    <col min="8194" max="8194" width="17" style="2" customWidth="1"/>
    <col min="8195" max="8195" width="19.42578125" style="2" customWidth="1"/>
    <col min="8196" max="8449" width="9.140625" style="2"/>
    <col min="8450" max="8450" width="17" style="2" customWidth="1"/>
    <col min="8451" max="8451" width="19.42578125" style="2" customWidth="1"/>
    <col min="8452" max="8705" width="9.140625" style="2"/>
    <col min="8706" max="8706" width="17" style="2" customWidth="1"/>
    <col min="8707" max="8707" width="19.42578125" style="2" customWidth="1"/>
    <col min="8708" max="8961" width="9.140625" style="2"/>
    <col min="8962" max="8962" width="17" style="2" customWidth="1"/>
    <col min="8963" max="8963" width="19.42578125" style="2" customWidth="1"/>
    <col min="8964" max="9217" width="9.140625" style="2"/>
    <col min="9218" max="9218" width="17" style="2" customWidth="1"/>
    <col min="9219" max="9219" width="19.42578125" style="2" customWidth="1"/>
    <col min="9220" max="9473" width="9.140625" style="2"/>
    <col min="9474" max="9474" width="17" style="2" customWidth="1"/>
    <col min="9475" max="9475" width="19.42578125" style="2" customWidth="1"/>
    <col min="9476" max="9729" width="9.140625" style="2"/>
    <col min="9730" max="9730" width="17" style="2" customWidth="1"/>
    <col min="9731" max="9731" width="19.42578125" style="2" customWidth="1"/>
    <col min="9732" max="9985" width="9.140625" style="2"/>
    <col min="9986" max="9986" width="17" style="2" customWidth="1"/>
    <col min="9987" max="9987" width="19.42578125" style="2" customWidth="1"/>
    <col min="9988" max="10241" width="9.140625" style="2"/>
    <col min="10242" max="10242" width="17" style="2" customWidth="1"/>
    <col min="10243" max="10243" width="19.42578125" style="2" customWidth="1"/>
    <col min="10244" max="10497" width="9.140625" style="2"/>
    <col min="10498" max="10498" width="17" style="2" customWidth="1"/>
    <col min="10499" max="10499" width="19.42578125" style="2" customWidth="1"/>
    <col min="10500" max="10753" width="9.140625" style="2"/>
    <col min="10754" max="10754" width="17" style="2" customWidth="1"/>
    <col min="10755" max="10755" width="19.42578125" style="2" customWidth="1"/>
    <col min="10756" max="11009" width="9.140625" style="2"/>
    <col min="11010" max="11010" width="17" style="2" customWidth="1"/>
    <col min="11011" max="11011" width="19.42578125" style="2" customWidth="1"/>
    <col min="11012" max="11265" width="9.140625" style="2"/>
    <col min="11266" max="11266" width="17" style="2" customWidth="1"/>
    <col min="11267" max="11267" width="19.42578125" style="2" customWidth="1"/>
    <col min="11268" max="11521" width="9.140625" style="2"/>
    <col min="11522" max="11522" width="17" style="2" customWidth="1"/>
    <col min="11523" max="11523" width="19.42578125" style="2" customWidth="1"/>
    <col min="11524" max="11777" width="9.140625" style="2"/>
    <col min="11778" max="11778" width="17" style="2" customWidth="1"/>
    <col min="11779" max="11779" width="19.42578125" style="2" customWidth="1"/>
    <col min="11780" max="12033" width="9.140625" style="2"/>
    <col min="12034" max="12034" width="17" style="2" customWidth="1"/>
    <col min="12035" max="12035" width="19.42578125" style="2" customWidth="1"/>
    <col min="12036" max="12289" width="9.140625" style="2"/>
    <col min="12290" max="12290" width="17" style="2" customWidth="1"/>
    <col min="12291" max="12291" width="19.42578125" style="2" customWidth="1"/>
    <col min="12292" max="12545" width="9.140625" style="2"/>
    <col min="12546" max="12546" width="17" style="2" customWidth="1"/>
    <col min="12547" max="12547" width="19.42578125" style="2" customWidth="1"/>
    <col min="12548" max="12801" width="9.140625" style="2"/>
    <col min="12802" max="12802" width="17" style="2" customWidth="1"/>
    <col min="12803" max="12803" width="19.42578125" style="2" customWidth="1"/>
    <col min="12804" max="13057" width="9.140625" style="2"/>
    <col min="13058" max="13058" width="17" style="2" customWidth="1"/>
    <col min="13059" max="13059" width="19.42578125" style="2" customWidth="1"/>
    <col min="13060" max="13313" width="9.140625" style="2"/>
    <col min="13314" max="13314" width="17" style="2" customWidth="1"/>
    <col min="13315" max="13315" width="19.42578125" style="2" customWidth="1"/>
    <col min="13316" max="13569" width="9.140625" style="2"/>
    <col min="13570" max="13570" width="17" style="2" customWidth="1"/>
    <col min="13571" max="13571" width="19.42578125" style="2" customWidth="1"/>
    <col min="13572" max="13825" width="9.140625" style="2"/>
    <col min="13826" max="13826" width="17" style="2" customWidth="1"/>
    <col min="13827" max="13827" width="19.42578125" style="2" customWidth="1"/>
    <col min="13828" max="14081" width="9.140625" style="2"/>
    <col min="14082" max="14082" width="17" style="2" customWidth="1"/>
    <col min="14083" max="14083" width="19.42578125" style="2" customWidth="1"/>
    <col min="14084" max="14337" width="9.140625" style="2"/>
    <col min="14338" max="14338" width="17" style="2" customWidth="1"/>
    <col min="14339" max="14339" width="19.42578125" style="2" customWidth="1"/>
    <col min="14340" max="14593" width="9.140625" style="2"/>
    <col min="14594" max="14594" width="17" style="2" customWidth="1"/>
    <col min="14595" max="14595" width="19.42578125" style="2" customWidth="1"/>
    <col min="14596" max="14849" width="9.140625" style="2"/>
    <col min="14850" max="14850" width="17" style="2" customWidth="1"/>
    <col min="14851" max="14851" width="19.42578125" style="2" customWidth="1"/>
    <col min="14852" max="15105" width="9.140625" style="2"/>
    <col min="15106" max="15106" width="17" style="2" customWidth="1"/>
    <col min="15107" max="15107" width="19.42578125" style="2" customWidth="1"/>
    <col min="15108" max="15361" width="9.140625" style="2"/>
    <col min="15362" max="15362" width="17" style="2" customWidth="1"/>
    <col min="15363" max="15363" width="19.42578125" style="2" customWidth="1"/>
    <col min="15364" max="15617" width="9.140625" style="2"/>
    <col min="15618" max="15618" width="17" style="2" customWidth="1"/>
    <col min="15619" max="15619" width="19.42578125" style="2" customWidth="1"/>
    <col min="15620" max="15873" width="9.140625" style="2"/>
    <col min="15874" max="15874" width="17" style="2" customWidth="1"/>
    <col min="15875" max="15875" width="19.42578125" style="2" customWidth="1"/>
    <col min="15876" max="16129" width="9.140625" style="2"/>
    <col min="16130" max="16130" width="17" style="2" customWidth="1"/>
    <col min="16131" max="16131" width="19.42578125" style="2" customWidth="1"/>
    <col min="16132" max="16384" width="9.140625" style="2"/>
  </cols>
  <sheetData>
    <row r="1" spans="2:3" ht="42">
      <c r="B1" s="10" t="s">
        <v>844</v>
      </c>
      <c r="C1" s="10" t="s">
        <v>845</v>
      </c>
    </row>
    <row r="2" spans="2:3" ht="21.75">
      <c r="B2" s="11" t="s">
        <v>815</v>
      </c>
      <c r="C2" s="11" t="s">
        <v>846</v>
      </c>
    </row>
    <row r="3" spans="2:3" ht="21.75">
      <c r="B3" s="11" t="s">
        <v>821</v>
      </c>
      <c r="C3" s="11" t="s">
        <v>847</v>
      </c>
    </row>
    <row r="5" spans="2:3">
      <c r="B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C230-2F93-45D4-BC7D-63E3E6C4D4A2}">
  <sheetPr codeName="Sheet3"/>
  <dimension ref="A2:AN330"/>
  <sheetViews>
    <sheetView zoomScale="70" zoomScaleNormal="70" workbookViewId="0"/>
  </sheetViews>
  <sheetFormatPr defaultColWidth="9.140625" defaultRowHeight="16.5"/>
  <cols>
    <col min="1" max="3" width="9.140625" style="2"/>
    <col min="4" max="4" width="10.7109375" style="2" bestFit="1" customWidth="1"/>
    <col min="5" max="6" width="9.140625" style="2"/>
    <col min="7" max="7" width="14.140625" style="2" customWidth="1"/>
    <col min="8" max="9" width="31.140625" style="2" customWidth="1"/>
    <col min="10" max="12" width="9.140625" style="2"/>
    <col min="13" max="13" width="36.42578125" style="2" customWidth="1"/>
    <col min="14" max="20" width="9.140625" style="2"/>
    <col min="21" max="21" width="12" style="2" customWidth="1"/>
    <col min="22" max="24" width="9.140625" style="2"/>
    <col min="25" max="26" width="11.5703125" style="2" customWidth="1"/>
    <col min="27" max="27" width="9.140625" style="2"/>
    <col min="28" max="29" width="23.5703125" style="2" customWidth="1"/>
    <col min="30" max="31" width="9.140625" style="2"/>
    <col min="32" max="32" width="39.140625" style="2" customWidth="1"/>
    <col min="33" max="36" width="9.140625" style="2"/>
    <col min="37" max="37" width="11.140625" style="2" bestFit="1" customWidth="1"/>
    <col min="38" max="39" width="9.140625" style="2"/>
    <col min="40" max="40" width="11.140625" style="16" bestFit="1" customWidth="1"/>
    <col min="41" max="16384" width="9.140625" style="2"/>
  </cols>
  <sheetData>
    <row r="2" spans="1:40">
      <c r="A2" s="2" t="s">
        <v>848</v>
      </c>
      <c r="B2" s="2" t="s">
        <v>821</v>
      </c>
      <c r="D2" s="13" t="e">
        <f>#REF!</f>
        <v>#REF!</v>
      </c>
      <c r="G2" s="14" t="s">
        <v>849</v>
      </c>
      <c r="H2" s="14" t="s">
        <v>1</v>
      </c>
      <c r="I2" s="14" t="s">
        <v>2</v>
      </c>
      <c r="AB2" s="14" t="s">
        <v>850</v>
      </c>
      <c r="AC2" s="14" t="s">
        <v>851</v>
      </c>
      <c r="AE2" s="15" t="s">
        <v>852</v>
      </c>
      <c r="AF2" s="15" t="s">
        <v>853</v>
      </c>
      <c r="AH2" s="15" t="s">
        <v>854</v>
      </c>
    </row>
    <row r="3" spans="1:40">
      <c r="A3" s="2" t="s">
        <v>855</v>
      </c>
      <c r="B3" s="2" t="s">
        <v>815</v>
      </c>
      <c r="D3" s="13" t="e">
        <f>#REF!</f>
        <v>#REF!</v>
      </c>
      <c r="G3" s="17" t="s">
        <v>856</v>
      </c>
      <c r="H3" s="3" t="s">
        <v>857</v>
      </c>
      <c r="I3" s="3" t="s">
        <v>858</v>
      </c>
      <c r="L3" s="2" t="s">
        <v>859</v>
      </c>
      <c r="M3" s="2" t="s">
        <v>860</v>
      </c>
      <c r="N3" s="18" t="s">
        <v>861</v>
      </c>
      <c r="R3" s="2" t="str">
        <f>IF(ISERROR(VLOOKUP([1]IMM!F2,Table8[[#All],[Column2]:[Column3]],2,FALSE)),"",(VLOOKUP([1]IMM!F2,Table8[[#All],[Column2]:[Column3]],2,FALSE)))</f>
        <v/>
      </c>
      <c r="U3" s="2" t="str">
        <f>IF([1]IMM!P2="","",[1]IMM!P2)</f>
        <v/>
      </c>
      <c r="V3" s="2" t="str">
        <f>LEFT(U3,2)</f>
        <v/>
      </c>
      <c r="W3" s="2" t="str">
        <f>MID(U3,4,2)</f>
        <v/>
      </c>
      <c r="X3" s="2" t="str">
        <f>RIGHT(U3,4)</f>
        <v/>
      </c>
      <c r="Y3" s="16" t="str">
        <f>IFERROR(DATE(X3,V3,W3),"")</f>
        <v/>
      </c>
      <c r="Z3" s="16"/>
      <c r="AB3" s="19" t="s">
        <v>862</v>
      </c>
      <c r="AC3" s="3" t="s">
        <v>21</v>
      </c>
      <c r="AE3" s="3" t="str">
        <f>[1]Country!E2</f>
        <v>AF</v>
      </c>
      <c r="AF3" s="3" t="str">
        <f>[1]Country!C2</f>
        <v>Afghanistan</v>
      </c>
      <c r="AH3" s="3" t="str">
        <f>IFERROR(VLOOKUP(AF3,$AB$3:$AC$100,2,),"")</f>
        <v/>
      </c>
      <c r="AJ3" s="2" t="str">
        <f>IF([1]IMM!N2="","",[1]IMM!N2)</f>
        <v/>
      </c>
      <c r="AK3" s="16" t="str">
        <f>LEFT(AJ3,2)</f>
        <v/>
      </c>
      <c r="AL3" s="16" t="str">
        <f>MID(AJ3,4,2)</f>
        <v/>
      </c>
      <c r="AM3" s="2" t="str">
        <f>RIGHT(AJ3,4)</f>
        <v/>
      </c>
      <c r="AN3" s="16" t="str">
        <f>IFERROR(DATE(AM3,AK3,AL3),"")</f>
        <v/>
      </c>
    </row>
    <row r="4" spans="1:40">
      <c r="A4" s="2" t="s">
        <v>863</v>
      </c>
      <c r="B4" s="2" t="s">
        <v>821</v>
      </c>
      <c r="D4" s="13" t="e">
        <f>#REF!</f>
        <v>#REF!</v>
      </c>
      <c r="G4" s="17" t="s">
        <v>861</v>
      </c>
      <c r="H4" s="3" t="s">
        <v>864</v>
      </c>
      <c r="I4" s="3" t="s">
        <v>865</v>
      </c>
      <c r="L4" s="2" t="s">
        <v>866</v>
      </c>
      <c r="M4" s="2" t="s">
        <v>867</v>
      </c>
      <c r="N4" s="18" t="s">
        <v>868</v>
      </c>
      <c r="R4" s="2" t="str">
        <f>IF(ISERROR(VLOOKUP([1]IMM!F3,Table8[[#All],[Column2]:[Column3]],2,FALSE)),"",(VLOOKUP([1]IMM!F3,Table8[[#All],[Column2]:[Column3]],2,FALSE)))</f>
        <v/>
      </c>
      <c r="U4" s="2" t="str">
        <f>IF([1]IMM!P3="","",[1]IMM!P3)</f>
        <v/>
      </c>
      <c r="V4" s="2" t="str">
        <f t="shared" ref="V4:V67" si="0">LEFT(U4,2)</f>
        <v/>
      </c>
      <c r="W4" s="2" t="str">
        <f t="shared" ref="W4:W67" si="1">MID(U4,4,2)</f>
        <v/>
      </c>
      <c r="X4" s="2" t="str">
        <f t="shared" ref="X4:X67" si="2">RIGHT(U4,4)</f>
        <v/>
      </c>
      <c r="Y4" s="16" t="str">
        <f t="shared" ref="Y4:Y67" si="3">IFERROR(DATE(X4,V4,W4),"")</f>
        <v/>
      </c>
      <c r="Z4" s="16"/>
      <c r="AB4" s="19" t="s">
        <v>869</v>
      </c>
      <c r="AC4" s="3" t="s">
        <v>24</v>
      </c>
      <c r="AE4" s="3" t="str">
        <f>[1]Country!E3</f>
        <v>AL</v>
      </c>
      <c r="AF4" s="3" t="str">
        <f>[1]Country!C3</f>
        <v>Albania</v>
      </c>
      <c r="AH4" s="3" t="str">
        <f t="shared" ref="AH4:AH67" si="4">IFERROR(VLOOKUP(AF4,$AB$3:$AC$100,2,),"")</f>
        <v/>
      </c>
      <c r="AJ4" s="2" t="str">
        <f>IF([1]IMM!N3="","",[1]IMM!N3)</f>
        <v/>
      </c>
      <c r="AK4" s="16" t="str">
        <f t="shared" ref="AK4:AK67" si="5">LEFT(AJ4,2)</f>
        <v/>
      </c>
      <c r="AL4" s="16" t="str">
        <f t="shared" ref="AL4:AL67" si="6">MID(AJ4,4,2)</f>
        <v/>
      </c>
      <c r="AM4" s="2" t="str">
        <f t="shared" ref="AM4:AM67" si="7">RIGHT(AJ4,4)</f>
        <v/>
      </c>
      <c r="AN4" s="16" t="str">
        <f t="shared" ref="AN4:AN67" si="8">IFERROR(DATE(AM4,AK4,AL4),"")</f>
        <v/>
      </c>
    </row>
    <row r="5" spans="1:40">
      <c r="D5" s="13" t="e">
        <f>#REF!</f>
        <v>#REF!</v>
      </c>
      <c r="G5" s="17" t="s">
        <v>868</v>
      </c>
      <c r="H5" s="3" t="s">
        <v>870</v>
      </c>
      <c r="I5" s="3" t="s">
        <v>871</v>
      </c>
      <c r="L5" s="2" t="s">
        <v>872</v>
      </c>
      <c r="M5" s="2" t="s">
        <v>873</v>
      </c>
      <c r="N5" s="18" t="s">
        <v>874</v>
      </c>
      <c r="R5" s="2" t="str">
        <f>IF(ISERROR(VLOOKUP([1]IMM!F4,Table8[[#All],[Column2]:[Column3]],2,FALSE)),"",(VLOOKUP([1]IMM!F4,Table8[[#All],[Column2]:[Column3]],2,FALSE)))</f>
        <v/>
      </c>
      <c r="U5" s="2" t="str">
        <f>IF([1]IMM!P4="","",[1]IMM!P4)</f>
        <v/>
      </c>
      <c r="V5" s="2" t="str">
        <f t="shared" si="0"/>
        <v/>
      </c>
      <c r="W5" s="2" t="str">
        <f t="shared" si="1"/>
        <v/>
      </c>
      <c r="X5" s="2" t="str">
        <f t="shared" si="2"/>
        <v/>
      </c>
      <c r="Y5" s="16" t="str">
        <f t="shared" si="3"/>
        <v/>
      </c>
      <c r="Z5" s="16"/>
      <c r="AB5" s="19" t="s">
        <v>875</v>
      </c>
      <c r="AC5" s="3" t="s">
        <v>63</v>
      </c>
      <c r="AE5" s="3" t="str">
        <f>[1]Country!E4</f>
        <v>DZ</v>
      </c>
      <c r="AF5" s="3" t="str">
        <f>[1]Country!C4</f>
        <v>Algeria</v>
      </c>
      <c r="AH5" s="3" t="str">
        <f t="shared" si="4"/>
        <v>DZA</v>
      </c>
      <c r="AJ5" s="2" t="str">
        <f>IF([1]IMM!N4="","",[1]IMM!N4)</f>
        <v/>
      </c>
      <c r="AK5" s="16" t="str">
        <f t="shared" si="5"/>
        <v/>
      </c>
      <c r="AL5" s="16" t="str">
        <f t="shared" si="6"/>
        <v/>
      </c>
      <c r="AM5" s="2" t="str">
        <f t="shared" si="7"/>
        <v/>
      </c>
      <c r="AN5" s="16" t="str">
        <f t="shared" si="8"/>
        <v/>
      </c>
    </row>
    <row r="6" spans="1:40">
      <c r="D6" s="13" t="e">
        <f>#REF!</f>
        <v>#REF!</v>
      </c>
      <c r="G6" s="17" t="s">
        <v>874</v>
      </c>
      <c r="H6" s="3" t="s">
        <v>876</v>
      </c>
      <c r="I6" s="3" t="s">
        <v>877</v>
      </c>
      <c r="L6" s="2" t="s">
        <v>878</v>
      </c>
      <c r="M6" s="2" t="s">
        <v>879</v>
      </c>
      <c r="N6" s="18" t="s">
        <v>880</v>
      </c>
      <c r="R6" s="2" t="str">
        <f>IF(ISERROR(VLOOKUP([1]IMM!F5,Table8[[#All],[Column2]:[Column3]],2,FALSE)),"",(VLOOKUP([1]IMM!F5,Table8[[#All],[Column2]:[Column3]],2,FALSE)))</f>
        <v/>
      </c>
      <c r="U6" s="2" t="str">
        <f>IF([1]IMM!P5="","",[1]IMM!P5)</f>
        <v/>
      </c>
      <c r="V6" s="2" t="str">
        <f t="shared" si="0"/>
        <v/>
      </c>
      <c r="W6" s="2" t="str">
        <f t="shared" si="1"/>
        <v/>
      </c>
      <c r="X6" s="2" t="str">
        <f t="shared" si="2"/>
        <v/>
      </c>
      <c r="Y6" s="16" t="str">
        <f t="shared" si="3"/>
        <v/>
      </c>
      <c r="Z6" s="16"/>
      <c r="AB6" s="19" t="s">
        <v>881</v>
      </c>
      <c r="AC6" s="3" t="s">
        <v>120</v>
      </c>
      <c r="AE6" s="3" t="str">
        <f>[1]Country!E5</f>
        <v>AS</v>
      </c>
      <c r="AF6" s="3" t="str">
        <f>[1]Country!C5</f>
        <v>American Samoa</v>
      </c>
      <c r="AH6" s="3" t="str">
        <f t="shared" si="4"/>
        <v/>
      </c>
      <c r="AJ6" s="2" t="str">
        <f>IF([1]IMM!N5="","",[1]IMM!N5)</f>
        <v/>
      </c>
      <c r="AK6" s="16" t="str">
        <f t="shared" si="5"/>
        <v/>
      </c>
      <c r="AL6" s="16" t="str">
        <f t="shared" si="6"/>
        <v/>
      </c>
      <c r="AM6" s="2" t="str">
        <f t="shared" si="7"/>
        <v/>
      </c>
      <c r="AN6" s="16" t="str">
        <f t="shared" si="8"/>
        <v/>
      </c>
    </row>
    <row r="7" spans="1:40">
      <c r="D7" s="13" t="e">
        <f>#REF!</f>
        <v>#REF!</v>
      </c>
      <c r="G7" s="17" t="s">
        <v>882</v>
      </c>
      <c r="H7" s="3" t="s">
        <v>883</v>
      </c>
      <c r="I7" s="3" t="s">
        <v>884</v>
      </c>
      <c r="L7" s="2" t="s">
        <v>885</v>
      </c>
      <c r="M7" s="2" t="s">
        <v>886</v>
      </c>
      <c r="N7" s="18" t="s">
        <v>887</v>
      </c>
      <c r="R7" s="2" t="str">
        <f>IF(ISERROR(VLOOKUP([1]IMM!F6,Table8[[#All],[Column2]:[Column3]],2,FALSE)),"",(VLOOKUP([1]IMM!F6,Table8[[#All],[Column2]:[Column3]],2,FALSE)))</f>
        <v/>
      </c>
      <c r="U7" s="2" t="str">
        <f>IF([1]IMM!P6="","",[1]IMM!P6)</f>
        <v/>
      </c>
      <c r="V7" s="2" t="str">
        <f t="shared" si="0"/>
        <v/>
      </c>
      <c r="W7" s="2" t="str">
        <f t="shared" si="1"/>
        <v/>
      </c>
      <c r="X7" s="2" t="str">
        <f t="shared" si="2"/>
        <v/>
      </c>
      <c r="Y7" s="16" t="str">
        <f t="shared" si="3"/>
        <v/>
      </c>
      <c r="Z7" s="16"/>
      <c r="AB7" s="19" t="s">
        <v>888</v>
      </c>
      <c r="AC7" s="3" t="s">
        <v>69</v>
      </c>
      <c r="AE7" s="3" t="str">
        <f>[1]Country!E6</f>
        <v>AD</v>
      </c>
      <c r="AF7" s="3" t="str">
        <f>[1]Country!C6</f>
        <v>Andorra</v>
      </c>
      <c r="AH7" s="3" t="str">
        <f t="shared" si="4"/>
        <v/>
      </c>
      <c r="AJ7" s="2" t="str">
        <f>IF([1]IMM!N6="","",[1]IMM!N6)</f>
        <v/>
      </c>
      <c r="AK7" s="16" t="str">
        <f t="shared" si="5"/>
        <v/>
      </c>
      <c r="AL7" s="16" t="str">
        <f t="shared" si="6"/>
        <v/>
      </c>
      <c r="AM7" s="2" t="str">
        <f t="shared" si="7"/>
        <v/>
      </c>
      <c r="AN7" s="16" t="str">
        <f t="shared" si="8"/>
        <v/>
      </c>
    </row>
    <row r="8" spans="1:40">
      <c r="D8" s="13" t="e">
        <f>#REF!</f>
        <v>#REF!</v>
      </c>
      <c r="G8" s="17" t="s">
        <v>889</v>
      </c>
      <c r="H8" s="3" t="s">
        <v>890</v>
      </c>
      <c r="I8" s="3" t="s">
        <v>891</v>
      </c>
      <c r="L8" s="2" t="s">
        <v>892</v>
      </c>
      <c r="M8" s="2" t="s">
        <v>893</v>
      </c>
      <c r="N8" s="18" t="s">
        <v>889</v>
      </c>
      <c r="R8" s="2" t="str">
        <f>IF(ISERROR(VLOOKUP([1]IMM!F7,Table8[[#All],[Column2]:[Column3]],2,FALSE)),"",(VLOOKUP([1]IMM!F7,Table8[[#All],[Column2]:[Column3]],2,FALSE)))</f>
        <v/>
      </c>
      <c r="U8" s="2" t="str">
        <f>IF([1]IMM!P7="","",[1]IMM!P7)</f>
        <v/>
      </c>
      <c r="V8" s="2" t="str">
        <f t="shared" si="0"/>
        <v/>
      </c>
      <c r="W8" s="2" t="str">
        <f t="shared" si="1"/>
        <v/>
      </c>
      <c r="X8" s="2" t="str">
        <f t="shared" si="2"/>
        <v/>
      </c>
      <c r="Y8" s="16" t="str">
        <f t="shared" si="3"/>
        <v/>
      </c>
      <c r="Z8" s="16"/>
      <c r="AB8" s="19" t="s">
        <v>894</v>
      </c>
      <c r="AC8" s="3" t="s">
        <v>129</v>
      </c>
      <c r="AE8" s="3" t="str">
        <f>[1]Country!E7</f>
        <v>AO</v>
      </c>
      <c r="AF8" s="3" t="str">
        <f>[1]Country!C7</f>
        <v>Angola</v>
      </c>
      <c r="AH8" s="3" t="str">
        <f t="shared" si="4"/>
        <v/>
      </c>
      <c r="AJ8" s="2" t="str">
        <f>IF([1]IMM!N7="","",[1]IMM!N7)</f>
        <v/>
      </c>
      <c r="AK8" s="16" t="str">
        <f t="shared" si="5"/>
        <v/>
      </c>
      <c r="AL8" s="16" t="str">
        <f t="shared" si="6"/>
        <v/>
      </c>
      <c r="AM8" s="2" t="str">
        <f t="shared" si="7"/>
        <v/>
      </c>
      <c r="AN8" s="16" t="str">
        <f t="shared" si="8"/>
        <v/>
      </c>
    </row>
    <row r="9" spans="1:40">
      <c r="D9" s="13" t="e">
        <f>#REF!</f>
        <v>#REF!</v>
      </c>
      <c r="G9" s="17" t="s">
        <v>895</v>
      </c>
      <c r="H9" s="3" t="s">
        <v>896</v>
      </c>
      <c r="I9" s="3" t="s">
        <v>897</v>
      </c>
      <c r="L9" s="2" t="s">
        <v>898</v>
      </c>
      <c r="M9" s="2" t="s">
        <v>899</v>
      </c>
      <c r="N9" s="18" t="s">
        <v>900</v>
      </c>
      <c r="R9" s="2" t="str">
        <f>IF(ISERROR(VLOOKUP([1]IMM!F8,Table8[[#All],[Column2]:[Column3]],2,FALSE)),"",(VLOOKUP([1]IMM!F8,Table8[[#All],[Column2]:[Column3]],2,FALSE)))</f>
        <v/>
      </c>
      <c r="U9" s="2" t="str">
        <f>IF([1]IMM!P8="","",[1]IMM!P8)</f>
        <v/>
      </c>
      <c r="V9" s="2" t="str">
        <f t="shared" si="0"/>
        <v/>
      </c>
      <c r="W9" s="2" t="str">
        <f t="shared" si="1"/>
        <v/>
      </c>
      <c r="X9" s="2" t="str">
        <f t="shared" si="2"/>
        <v/>
      </c>
      <c r="Y9" s="16" t="str">
        <f t="shared" si="3"/>
        <v/>
      </c>
      <c r="Z9" s="16"/>
      <c r="AB9" s="19" t="s">
        <v>901</v>
      </c>
      <c r="AC9" s="3" t="s">
        <v>135</v>
      </c>
      <c r="AE9" s="3" t="str">
        <f>[1]Country!E8</f>
        <v>AI</v>
      </c>
      <c r="AF9" s="3" t="str">
        <f>[1]Country!C8</f>
        <v>Anguilla/St Kitts</v>
      </c>
      <c r="AH9" s="3" t="str">
        <f t="shared" si="4"/>
        <v/>
      </c>
      <c r="AJ9" s="2" t="str">
        <f>IF([1]IMM!N8="","",[1]IMM!N8)</f>
        <v/>
      </c>
      <c r="AK9" s="16" t="str">
        <f t="shared" si="5"/>
        <v/>
      </c>
      <c r="AL9" s="16" t="str">
        <f t="shared" si="6"/>
        <v/>
      </c>
      <c r="AM9" s="2" t="str">
        <f t="shared" si="7"/>
        <v/>
      </c>
      <c r="AN9" s="16" t="str">
        <f t="shared" si="8"/>
        <v/>
      </c>
    </row>
    <row r="10" spans="1:40">
      <c r="D10" s="13" t="e">
        <f>#REF!</f>
        <v>#REF!</v>
      </c>
      <c r="G10" s="17" t="s">
        <v>902</v>
      </c>
      <c r="H10" s="3" t="s">
        <v>22</v>
      </c>
      <c r="I10" s="3" t="s">
        <v>903</v>
      </c>
      <c r="L10" s="2" t="s">
        <v>904</v>
      </c>
      <c r="M10" s="2" t="s">
        <v>905</v>
      </c>
      <c r="N10" s="18" t="s">
        <v>906</v>
      </c>
      <c r="R10" s="2" t="str">
        <f>IF(ISERROR(VLOOKUP([1]IMM!F9,Table8[[#All],[Column2]:[Column3]],2,FALSE)),"",(VLOOKUP([1]IMM!F9,Table8[[#All],[Column2]:[Column3]],2,FALSE)))</f>
        <v/>
      </c>
      <c r="U10" s="2" t="str">
        <f>IF([1]IMM!P9="","",[1]IMM!P9)</f>
        <v/>
      </c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16" t="str">
        <f t="shared" si="3"/>
        <v/>
      </c>
      <c r="Z10" s="16"/>
      <c r="AB10" s="19" t="s">
        <v>907</v>
      </c>
      <c r="AC10" s="3" t="s">
        <v>153</v>
      </c>
      <c r="AE10" s="3" t="str">
        <f>[1]Country!E9</f>
        <v>AQ</v>
      </c>
      <c r="AF10" s="3" t="str">
        <f>[1]Country!C9</f>
        <v>Antarctica</v>
      </c>
      <c r="AH10" s="3" t="str">
        <f t="shared" si="4"/>
        <v/>
      </c>
      <c r="AJ10" s="2" t="str">
        <f>IF([1]IMM!N9="","",[1]IMM!N9)</f>
        <v/>
      </c>
      <c r="AK10" s="16" t="str">
        <f t="shared" si="5"/>
        <v/>
      </c>
      <c r="AL10" s="16" t="str">
        <f t="shared" si="6"/>
        <v/>
      </c>
      <c r="AM10" s="2" t="str">
        <f t="shared" si="7"/>
        <v/>
      </c>
      <c r="AN10" s="16" t="str">
        <f t="shared" si="8"/>
        <v/>
      </c>
    </row>
    <row r="11" spans="1:40">
      <c r="D11" s="13" t="e">
        <f>#REF!</f>
        <v>#REF!</v>
      </c>
      <c r="G11" s="17" t="s">
        <v>908</v>
      </c>
      <c r="H11" s="3" t="s">
        <v>909</v>
      </c>
      <c r="I11" s="3" t="s">
        <v>910</v>
      </c>
      <c r="L11" s="2" t="s">
        <v>911</v>
      </c>
      <c r="M11" s="2" t="s">
        <v>912</v>
      </c>
      <c r="N11" s="18" t="s">
        <v>913</v>
      </c>
      <c r="R11" s="2" t="str">
        <f>IF(ISERROR(VLOOKUP([1]IMM!F10,Table8[[#All],[Column2]:[Column3]],2,FALSE)),"",(VLOOKUP([1]IMM!F10,Table8[[#All],[Column2]:[Column3]],2,FALSE)))</f>
        <v/>
      </c>
      <c r="U11" s="2" t="str">
        <f>IF([1]IMM!P10="","",[1]IMM!P10)</f>
        <v/>
      </c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16" t="str">
        <f t="shared" si="3"/>
        <v/>
      </c>
      <c r="Z11" s="16"/>
      <c r="AB11" s="19" t="s">
        <v>914</v>
      </c>
      <c r="AC11" s="3" t="s">
        <v>156</v>
      </c>
      <c r="AE11" s="3" t="str">
        <f>[1]Country!E10</f>
        <v>AG</v>
      </c>
      <c r="AF11" s="3" t="str">
        <f>[1]Country!C10</f>
        <v>Antigua and Barbuda</v>
      </c>
      <c r="AH11" s="3" t="str">
        <f t="shared" si="4"/>
        <v/>
      </c>
      <c r="AJ11" s="2" t="str">
        <f>IF([1]IMM!N10="","",[1]IMM!N10)</f>
        <v/>
      </c>
      <c r="AK11" s="16" t="str">
        <f t="shared" si="5"/>
        <v/>
      </c>
      <c r="AL11" s="16" t="str">
        <f t="shared" si="6"/>
        <v/>
      </c>
      <c r="AM11" s="2" t="str">
        <f t="shared" si="7"/>
        <v/>
      </c>
      <c r="AN11" s="16" t="str">
        <f t="shared" si="8"/>
        <v/>
      </c>
    </row>
    <row r="12" spans="1:40">
      <c r="D12" s="13" t="e">
        <f>#REF!</f>
        <v>#REF!</v>
      </c>
      <c r="G12" s="17" t="s">
        <v>887</v>
      </c>
      <c r="H12" s="3" t="s">
        <v>915</v>
      </c>
      <c r="I12" s="3" t="s">
        <v>916</v>
      </c>
      <c r="L12" s="2" t="s">
        <v>917</v>
      </c>
      <c r="M12" s="2" t="s">
        <v>918</v>
      </c>
      <c r="N12" s="18" t="s">
        <v>895</v>
      </c>
      <c r="R12" s="2" t="str">
        <f>IF(ISERROR(VLOOKUP([1]IMM!F11,Table8[[#All],[Column2]:[Column3]],2,FALSE)),"",(VLOOKUP([1]IMM!F11,Table8[[#All],[Column2]:[Column3]],2,FALSE)))</f>
        <v/>
      </c>
      <c r="U12" s="2" t="str">
        <f>IF([1]IMM!P11="","",[1]IMM!P11)</f>
        <v/>
      </c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16" t="str">
        <f t="shared" si="3"/>
        <v/>
      </c>
      <c r="Z12" s="16"/>
      <c r="AB12" s="19" t="s">
        <v>919</v>
      </c>
      <c r="AC12" s="3" t="s">
        <v>159</v>
      </c>
      <c r="AE12" s="3" t="str">
        <f>[1]Country!E11</f>
        <v>AR</v>
      </c>
      <c r="AF12" s="3" t="str">
        <f>[1]Country!C11</f>
        <v>Argentina</v>
      </c>
      <c r="AH12" s="3" t="str">
        <f t="shared" si="4"/>
        <v/>
      </c>
      <c r="AJ12" s="2" t="str">
        <f>IF([1]IMM!N11="","",[1]IMM!N11)</f>
        <v/>
      </c>
      <c r="AK12" s="16" t="str">
        <f t="shared" si="5"/>
        <v/>
      </c>
      <c r="AL12" s="16" t="str">
        <f t="shared" si="6"/>
        <v/>
      </c>
      <c r="AM12" s="2" t="str">
        <f t="shared" si="7"/>
        <v/>
      </c>
      <c r="AN12" s="16" t="str">
        <f t="shared" si="8"/>
        <v/>
      </c>
    </row>
    <row r="13" spans="1:40">
      <c r="D13" s="13" t="e">
        <f>#REF!</f>
        <v>#REF!</v>
      </c>
      <c r="G13" s="17" t="s">
        <v>920</v>
      </c>
      <c r="H13" s="3" t="s">
        <v>31</v>
      </c>
      <c r="I13" s="3" t="s">
        <v>32</v>
      </c>
      <c r="L13" s="2" t="s">
        <v>921</v>
      </c>
      <c r="M13" s="2" t="s">
        <v>922</v>
      </c>
      <c r="N13" s="18" t="s">
        <v>923</v>
      </c>
      <c r="R13" s="2" t="str">
        <f>IF(ISERROR(VLOOKUP([1]IMM!F12,Table8[[#All],[Column2]:[Column3]],2,FALSE)),"",(VLOOKUP([1]IMM!F12,Table8[[#All],[Column2]:[Column3]],2,FALSE)))</f>
        <v/>
      </c>
      <c r="U13" s="2" t="str">
        <f>IF([1]IMM!P12="","",[1]IMM!P12)</f>
        <v/>
      </c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16" t="str">
        <f t="shared" si="3"/>
        <v/>
      </c>
      <c r="Z13" s="16"/>
      <c r="AB13" s="19" t="s">
        <v>924</v>
      </c>
      <c r="AC13" s="3" t="s">
        <v>189</v>
      </c>
      <c r="AE13" s="3" t="str">
        <f>[1]Country!E12</f>
        <v>AM</v>
      </c>
      <c r="AF13" s="3" t="str">
        <f>[1]Country!C12</f>
        <v>Armenia</v>
      </c>
      <c r="AH13" s="3" t="str">
        <f t="shared" si="4"/>
        <v/>
      </c>
      <c r="AJ13" s="2" t="str">
        <f>IF([1]IMM!N12="","",[1]IMM!N12)</f>
        <v/>
      </c>
      <c r="AK13" s="16" t="str">
        <f t="shared" si="5"/>
        <v/>
      </c>
      <c r="AL13" s="16" t="str">
        <f t="shared" si="6"/>
        <v/>
      </c>
      <c r="AM13" s="2" t="str">
        <f t="shared" si="7"/>
        <v/>
      </c>
      <c r="AN13" s="16" t="str">
        <f t="shared" si="8"/>
        <v/>
      </c>
    </row>
    <row r="14" spans="1:40">
      <c r="D14" s="13" t="e">
        <f>#REF!</f>
        <v>#REF!</v>
      </c>
      <c r="G14" s="17" t="s">
        <v>913</v>
      </c>
      <c r="H14" s="3" t="s">
        <v>925</v>
      </c>
      <c r="I14" s="3" t="s">
        <v>926</v>
      </c>
      <c r="L14" s="2" t="s">
        <v>927</v>
      </c>
      <c r="M14" s="2" t="s">
        <v>928</v>
      </c>
      <c r="N14" s="18"/>
      <c r="R14" s="2" t="str">
        <f>IF(ISERROR(VLOOKUP([1]IMM!F13,Table8[[#All],[Column2]:[Column3]],2,FALSE)),"",(VLOOKUP([1]IMM!F13,Table8[[#All],[Column2]:[Column3]],2,FALSE)))</f>
        <v/>
      </c>
      <c r="U14" s="2" t="str">
        <f>IF([1]IMM!P13="","",[1]IMM!P13)</f>
        <v/>
      </c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16" t="str">
        <f t="shared" si="3"/>
        <v/>
      </c>
      <c r="Z14" s="16"/>
      <c r="AB14" s="19" t="s">
        <v>929</v>
      </c>
      <c r="AC14" s="3" t="s">
        <v>177</v>
      </c>
      <c r="AE14" s="3" t="str">
        <f>[1]Country!E13</f>
        <v>AW</v>
      </c>
      <c r="AF14" s="3" t="str">
        <f>[1]Country!C13</f>
        <v>Aruba</v>
      </c>
      <c r="AH14" s="3" t="str">
        <f t="shared" si="4"/>
        <v/>
      </c>
      <c r="AJ14" s="2" t="str">
        <f>IF([1]IMM!N13="","",[1]IMM!N13)</f>
        <v/>
      </c>
      <c r="AK14" s="16" t="str">
        <f t="shared" si="5"/>
        <v/>
      </c>
      <c r="AL14" s="16" t="str">
        <f t="shared" si="6"/>
        <v/>
      </c>
      <c r="AM14" s="2" t="str">
        <f t="shared" si="7"/>
        <v/>
      </c>
      <c r="AN14" s="16" t="str">
        <f t="shared" si="8"/>
        <v/>
      </c>
    </row>
    <row r="15" spans="1:40">
      <c r="D15" s="13" t="e">
        <f>#REF!</f>
        <v>#REF!</v>
      </c>
      <c r="G15" s="17" t="s">
        <v>923</v>
      </c>
      <c r="H15" s="3" t="s">
        <v>930</v>
      </c>
      <c r="I15" s="3" t="s">
        <v>931</v>
      </c>
      <c r="L15" s="2" t="s">
        <v>932</v>
      </c>
      <c r="M15" s="2" t="s">
        <v>862</v>
      </c>
      <c r="N15" s="18" t="s">
        <v>902</v>
      </c>
      <c r="R15" s="2" t="str">
        <f>IF(ISERROR(VLOOKUP([1]IMM!F14,Table8[[#All],[Column2]:[Column3]],2,FALSE)),"",(VLOOKUP([1]IMM!F14,Table8[[#All],[Column2]:[Column3]],2,FALSE)))</f>
        <v/>
      </c>
      <c r="U15" s="2" t="str">
        <f>IF([1]IMM!P14="","",[1]IMM!P14)</f>
        <v/>
      </c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16" t="str">
        <f t="shared" si="3"/>
        <v/>
      </c>
      <c r="Z15" s="16"/>
      <c r="AB15" s="19" t="s">
        <v>933</v>
      </c>
      <c r="AC15" s="3" t="s">
        <v>204</v>
      </c>
      <c r="AE15" s="3" t="str">
        <f>[1]Country!E14</f>
        <v>AU</v>
      </c>
      <c r="AF15" s="3" t="str">
        <f>[1]Country!C14</f>
        <v>Australia</v>
      </c>
      <c r="AH15" s="3" t="str">
        <f t="shared" si="4"/>
        <v>AUS</v>
      </c>
      <c r="AJ15" s="2" t="str">
        <f>IF([1]IMM!N14="","",[1]IMM!N14)</f>
        <v/>
      </c>
      <c r="AK15" s="16" t="str">
        <f t="shared" si="5"/>
        <v/>
      </c>
      <c r="AL15" s="16" t="str">
        <f t="shared" si="6"/>
        <v/>
      </c>
      <c r="AM15" s="2" t="str">
        <f t="shared" si="7"/>
        <v/>
      </c>
      <c r="AN15" s="16" t="str">
        <f t="shared" si="8"/>
        <v/>
      </c>
    </row>
    <row r="16" spans="1:40">
      <c r="D16" s="13" t="e">
        <f>#REF!</f>
        <v>#REF!</v>
      </c>
      <c r="G16" s="17" t="s">
        <v>934</v>
      </c>
      <c r="H16" s="3" t="s">
        <v>935</v>
      </c>
      <c r="I16" s="3" t="s">
        <v>936</v>
      </c>
      <c r="L16" s="2" t="s">
        <v>937</v>
      </c>
      <c r="M16" s="2" t="s">
        <v>869</v>
      </c>
      <c r="N16" s="18" t="s">
        <v>908</v>
      </c>
      <c r="R16" s="2" t="str">
        <f>IF(ISERROR(VLOOKUP([1]IMM!F15,Table8[[#All],[Column2]:[Column3]],2,FALSE)),"",(VLOOKUP([1]IMM!F15,Table8[[#All],[Column2]:[Column3]],2,FALSE)))</f>
        <v/>
      </c>
      <c r="U16" s="2" t="str">
        <f>IF([1]IMM!P15="","",[1]IMM!P15)</f>
        <v/>
      </c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16" t="str">
        <f t="shared" si="3"/>
        <v/>
      </c>
      <c r="Z16" s="16"/>
      <c r="AB16" s="19" t="s">
        <v>938</v>
      </c>
      <c r="AC16" s="3" t="s">
        <v>234</v>
      </c>
      <c r="AE16" s="3" t="str">
        <f>[1]Country!E15</f>
        <v>AT</v>
      </c>
      <c r="AF16" s="3" t="str">
        <f>[1]Country!C15</f>
        <v>Austria</v>
      </c>
      <c r="AH16" s="3" t="str">
        <f t="shared" si="4"/>
        <v>AUT</v>
      </c>
      <c r="AJ16" s="2" t="str">
        <f>IF([1]IMM!N15="","",[1]IMM!N15)</f>
        <v/>
      </c>
      <c r="AK16" s="16" t="str">
        <f t="shared" si="5"/>
        <v/>
      </c>
      <c r="AL16" s="16" t="str">
        <f t="shared" si="6"/>
        <v/>
      </c>
      <c r="AM16" s="2" t="str">
        <f t="shared" si="7"/>
        <v/>
      </c>
      <c r="AN16" s="16" t="str">
        <f t="shared" si="8"/>
        <v/>
      </c>
    </row>
    <row r="17" spans="4:40">
      <c r="D17" s="13" t="e">
        <f>#REF!</f>
        <v>#REF!</v>
      </c>
      <c r="G17" s="17" t="s">
        <v>900</v>
      </c>
      <c r="H17" s="3" t="s">
        <v>43</v>
      </c>
      <c r="I17" s="3" t="s">
        <v>44</v>
      </c>
      <c r="L17" s="2" t="s">
        <v>939</v>
      </c>
      <c r="M17" s="2" t="s">
        <v>940</v>
      </c>
      <c r="N17" s="18" t="s">
        <v>934</v>
      </c>
      <c r="R17" s="2" t="str">
        <f>IF(ISERROR(VLOOKUP([1]IMM!F16,Table8[[#All],[Column2]:[Column3]],2,FALSE)),"",(VLOOKUP([1]IMM!F16,Table8[[#All],[Column2]:[Column3]],2,FALSE)))</f>
        <v/>
      </c>
      <c r="U17" s="2" t="str">
        <f>IF([1]IMM!P16="","",[1]IMM!P16)</f>
        <v/>
      </c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16" t="str">
        <f t="shared" si="3"/>
        <v/>
      </c>
      <c r="Z17" s="16"/>
      <c r="AB17" s="19" t="s">
        <v>941</v>
      </c>
      <c r="AC17" s="3" t="s">
        <v>258</v>
      </c>
      <c r="AE17" s="3" t="str">
        <f>[1]Country!E16</f>
        <v>AZ</v>
      </c>
      <c r="AF17" s="3" t="str">
        <f>[1]Country!C16</f>
        <v>Azerbaijan</v>
      </c>
      <c r="AH17" s="3" t="str">
        <f t="shared" si="4"/>
        <v/>
      </c>
      <c r="AJ17" s="2" t="str">
        <f>IF([1]IMM!N16="","",[1]IMM!N16)</f>
        <v/>
      </c>
      <c r="AK17" s="16" t="str">
        <f t="shared" si="5"/>
        <v/>
      </c>
      <c r="AL17" s="16" t="str">
        <f t="shared" si="6"/>
        <v/>
      </c>
      <c r="AM17" s="2" t="str">
        <f t="shared" si="7"/>
        <v/>
      </c>
      <c r="AN17" s="16" t="str">
        <f t="shared" si="8"/>
        <v/>
      </c>
    </row>
    <row r="18" spans="4:40">
      <c r="D18" s="13" t="e">
        <f>#REF!</f>
        <v>#REF!</v>
      </c>
      <c r="G18" s="17" t="s">
        <v>942</v>
      </c>
      <c r="H18" s="3" t="s">
        <v>46</v>
      </c>
      <c r="I18" s="3" t="s">
        <v>47</v>
      </c>
      <c r="L18" s="2" t="s">
        <v>943</v>
      </c>
      <c r="M18" s="2" t="s">
        <v>944</v>
      </c>
      <c r="N18" s="18" t="s">
        <v>945</v>
      </c>
      <c r="R18" s="2" t="str">
        <f>IF(ISERROR(VLOOKUP([1]IMM!F17,Table8[[#All],[Column2]:[Column3]],2,FALSE)),"",(VLOOKUP([1]IMM!F17,Table8[[#All],[Column2]:[Column3]],2,FALSE)))</f>
        <v/>
      </c>
      <c r="U18" s="2" t="str">
        <f>IF([1]IMM!P17="","",[1]IMM!P17)</f>
        <v/>
      </c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16" t="str">
        <f t="shared" si="3"/>
        <v/>
      </c>
      <c r="Z18" s="16"/>
      <c r="AB18" s="19" t="s">
        <v>946</v>
      </c>
      <c r="AC18" s="3" t="s">
        <v>261</v>
      </c>
      <c r="AE18" s="3" t="str">
        <f>[1]Country!E17</f>
        <v>BS</v>
      </c>
      <c r="AF18" s="3" t="str">
        <f>[1]Country!C17</f>
        <v>Bahamas</v>
      </c>
      <c r="AH18" s="3" t="str">
        <f t="shared" si="4"/>
        <v/>
      </c>
      <c r="AJ18" s="2" t="str">
        <f>IF([1]IMM!N17="","",[1]IMM!N17)</f>
        <v/>
      </c>
      <c r="AK18" s="16" t="str">
        <f t="shared" si="5"/>
        <v/>
      </c>
      <c r="AL18" s="16" t="str">
        <f t="shared" si="6"/>
        <v/>
      </c>
      <c r="AM18" s="2" t="str">
        <f t="shared" si="7"/>
        <v/>
      </c>
      <c r="AN18" s="16" t="str">
        <f t="shared" si="8"/>
        <v/>
      </c>
    </row>
    <row r="19" spans="4:40">
      <c r="D19" s="13" t="e">
        <f>#REF!</f>
        <v>#REF!</v>
      </c>
      <c r="G19" s="17" t="s">
        <v>906</v>
      </c>
      <c r="H19" s="3" t="s">
        <v>947</v>
      </c>
      <c r="I19" s="3" t="s">
        <v>948</v>
      </c>
      <c r="L19" s="2" t="s">
        <v>949</v>
      </c>
      <c r="M19" s="2" t="s">
        <v>950</v>
      </c>
      <c r="N19" s="18" t="s">
        <v>951</v>
      </c>
      <c r="R19" s="2" t="str">
        <f>IF(ISERROR(VLOOKUP([1]IMM!F18,Table8[[#All],[Column2]:[Column3]],2,FALSE)),"",(VLOOKUP([1]IMM!F18,Table8[[#All],[Column2]:[Column3]],2,FALSE)))</f>
        <v/>
      </c>
      <c r="U19" s="2" t="str">
        <f>IF([1]IMM!P18="","",[1]IMM!P18)</f>
        <v/>
      </c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16" t="str">
        <f t="shared" si="3"/>
        <v/>
      </c>
      <c r="Z19" s="16"/>
      <c r="AB19" s="19" t="s">
        <v>952</v>
      </c>
      <c r="AC19" s="3" t="s">
        <v>276</v>
      </c>
      <c r="AE19" s="3" t="str">
        <f>[1]Country!E18</f>
        <v>BH</v>
      </c>
      <c r="AF19" s="3" t="str">
        <f>[1]Country!C18</f>
        <v>Bahrain</v>
      </c>
      <c r="AH19" s="3" t="str">
        <f t="shared" si="4"/>
        <v>BHR</v>
      </c>
      <c r="AJ19" s="2" t="str">
        <f>IF([1]IMM!N18="","",[1]IMM!N18)</f>
        <v/>
      </c>
      <c r="AK19" s="16" t="str">
        <f t="shared" si="5"/>
        <v/>
      </c>
      <c r="AL19" s="16" t="str">
        <f t="shared" si="6"/>
        <v/>
      </c>
      <c r="AM19" s="2" t="str">
        <f t="shared" si="7"/>
        <v/>
      </c>
      <c r="AN19" s="16" t="str">
        <f t="shared" si="8"/>
        <v/>
      </c>
    </row>
    <row r="20" spans="4:40">
      <c r="D20" s="13" t="e">
        <f>#REF!</f>
        <v>#REF!</v>
      </c>
      <c r="G20" s="17" t="s">
        <v>953</v>
      </c>
      <c r="H20" s="3" t="s">
        <v>50</v>
      </c>
      <c r="I20" s="3" t="s">
        <v>50</v>
      </c>
      <c r="L20" s="2" t="s">
        <v>954</v>
      </c>
      <c r="M20" s="2" t="s">
        <v>875</v>
      </c>
      <c r="N20" s="18" t="s">
        <v>955</v>
      </c>
      <c r="R20" s="2" t="str">
        <f>IF(ISERROR(VLOOKUP([1]IMM!F19,Table8[[#All],[Column2]:[Column3]],2,FALSE)),"",(VLOOKUP([1]IMM!F19,Table8[[#All],[Column2]:[Column3]],2,FALSE)))</f>
        <v/>
      </c>
      <c r="U20" s="2" t="str">
        <f>IF([1]IMM!P19="","",[1]IMM!P19)</f>
        <v/>
      </c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16" t="str">
        <f t="shared" si="3"/>
        <v/>
      </c>
      <c r="Z20" s="16"/>
      <c r="AB20" s="19" t="s">
        <v>956</v>
      </c>
      <c r="AC20" s="3" t="s">
        <v>84</v>
      </c>
      <c r="AE20" s="3" t="str">
        <f>[1]Country!E19</f>
        <v>BD</v>
      </c>
      <c r="AF20" s="3" t="str">
        <f>[1]Country!C19</f>
        <v>Bangladesh</v>
      </c>
      <c r="AH20" s="3" t="str">
        <f t="shared" si="4"/>
        <v>BGD</v>
      </c>
      <c r="AJ20" s="2" t="str">
        <f>IF([1]IMM!N19="","",[1]IMM!N19)</f>
        <v/>
      </c>
      <c r="AK20" s="16" t="str">
        <f t="shared" si="5"/>
        <v/>
      </c>
      <c r="AL20" s="16" t="str">
        <f t="shared" si="6"/>
        <v/>
      </c>
      <c r="AM20" s="2" t="str">
        <f t="shared" si="7"/>
        <v/>
      </c>
      <c r="AN20" s="16" t="str">
        <f t="shared" si="8"/>
        <v/>
      </c>
    </row>
    <row r="21" spans="4:40">
      <c r="D21" s="13" t="e">
        <f>#REF!</f>
        <v>#REF!</v>
      </c>
      <c r="G21" s="17" t="s">
        <v>957</v>
      </c>
      <c r="H21" s="3" t="s">
        <v>53</v>
      </c>
      <c r="I21" s="3" t="s">
        <v>53</v>
      </c>
      <c r="L21" s="2" t="s">
        <v>958</v>
      </c>
      <c r="M21" s="2" t="s">
        <v>959</v>
      </c>
      <c r="N21" s="18" t="s">
        <v>960</v>
      </c>
      <c r="R21" s="2" t="str">
        <f>IF(ISERROR(VLOOKUP([1]IMM!F20,Table8[[#All],[Column2]:[Column3]],2,FALSE)),"",(VLOOKUP([1]IMM!F20,Table8[[#All],[Column2]:[Column3]],2,FALSE)))</f>
        <v/>
      </c>
      <c r="U21" s="2" t="str">
        <f>IF([1]IMM!P20="","",[1]IMM!P20)</f>
        <v/>
      </c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16" t="str">
        <f t="shared" si="3"/>
        <v/>
      </c>
      <c r="Z21" s="16"/>
      <c r="AB21" s="19" t="s">
        <v>961</v>
      </c>
      <c r="AC21" s="3"/>
      <c r="AE21" s="3" t="str">
        <f>[1]Country!E20</f>
        <v>BB</v>
      </c>
      <c r="AF21" s="3" t="str">
        <f>[1]Country!C20</f>
        <v>Barbados</v>
      </c>
      <c r="AH21" s="3" t="str">
        <f t="shared" si="4"/>
        <v/>
      </c>
      <c r="AJ21" s="2" t="str">
        <f>IF([1]IMM!N20="","",[1]IMM!N20)</f>
        <v/>
      </c>
      <c r="AK21" s="16" t="str">
        <f t="shared" si="5"/>
        <v/>
      </c>
      <c r="AL21" s="16" t="str">
        <f t="shared" si="6"/>
        <v/>
      </c>
      <c r="AM21" s="2" t="str">
        <f t="shared" si="7"/>
        <v/>
      </c>
      <c r="AN21" s="16" t="str">
        <f t="shared" si="8"/>
        <v/>
      </c>
    </row>
    <row r="22" spans="4:40">
      <c r="D22" s="13" t="e">
        <f>#REF!</f>
        <v>#REF!</v>
      </c>
      <c r="G22" s="17" t="s">
        <v>880</v>
      </c>
      <c r="H22" s="3" t="s">
        <v>56</v>
      </c>
      <c r="I22" s="3" t="s">
        <v>56</v>
      </c>
      <c r="L22" s="2" t="s">
        <v>962</v>
      </c>
      <c r="M22" s="2" t="s">
        <v>881</v>
      </c>
      <c r="N22" s="18" t="s">
        <v>963</v>
      </c>
      <c r="R22" s="2" t="str">
        <f>IF(ISERROR(VLOOKUP([1]IMM!F21,Table8[[#All],[Column2]:[Column3]],2,FALSE)),"",(VLOOKUP([1]IMM!F21,Table8[[#All],[Column2]:[Column3]],2,FALSE)))</f>
        <v/>
      </c>
      <c r="U22" s="2" t="str">
        <f>IF([1]IMM!P21="","",[1]IMM!P21)</f>
        <v/>
      </c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16" t="str">
        <f t="shared" si="3"/>
        <v/>
      </c>
      <c r="Z22" s="16"/>
      <c r="AB22" s="19" t="s">
        <v>964</v>
      </c>
      <c r="AC22" s="3" t="s">
        <v>327</v>
      </c>
      <c r="AE22" s="3" t="str">
        <f>[1]Country!E21</f>
        <v>BY</v>
      </c>
      <c r="AF22" s="3" t="str">
        <f>[1]Country!C21</f>
        <v>Belarus</v>
      </c>
      <c r="AH22" s="3" t="str">
        <f t="shared" si="4"/>
        <v>BLR</v>
      </c>
      <c r="AJ22" s="2" t="str">
        <f>IF([1]IMM!N21="","",[1]IMM!N21)</f>
        <v/>
      </c>
      <c r="AK22" s="16" t="str">
        <f t="shared" si="5"/>
        <v/>
      </c>
      <c r="AL22" s="16" t="str">
        <f t="shared" si="6"/>
        <v/>
      </c>
      <c r="AM22" s="2" t="str">
        <f t="shared" si="7"/>
        <v/>
      </c>
      <c r="AN22" s="16" t="str">
        <f t="shared" si="8"/>
        <v/>
      </c>
    </row>
    <row r="23" spans="4:40">
      <c r="D23" s="13" t="e">
        <f>#REF!</f>
        <v>#REF!</v>
      </c>
      <c r="G23" s="17" t="s">
        <v>945</v>
      </c>
      <c r="H23" s="3" t="s">
        <v>965</v>
      </c>
      <c r="I23" s="3" t="s">
        <v>966</v>
      </c>
      <c r="L23" s="2" t="s">
        <v>967</v>
      </c>
      <c r="M23" s="2" t="s">
        <v>888</v>
      </c>
      <c r="N23" s="18" t="s">
        <v>968</v>
      </c>
      <c r="R23" s="2" t="str">
        <f>IF(ISERROR(VLOOKUP([1]IMM!F22,Table8[[#All],[Column2]:[Column3]],2,FALSE)),"",(VLOOKUP([1]IMM!F22,Table8[[#All],[Column2]:[Column3]],2,FALSE)))</f>
        <v/>
      </c>
      <c r="U23" s="2" t="str">
        <f>IF([1]IMM!P22="","",[1]IMM!P22)</f>
        <v/>
      </c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16" t="str">
        <f t="shared" si="3"/>
        <v/>
      </c>
      <c r="Z23" s="16"/>
      <c r="AB23" s="19" t="s">
        <v>969</v>
      </c>
      <c r="AC23" s="3" t="s">
        <v>324</v>
      </c>
      <c r="AE23" s="3" t="str">
        <f>[1]Country!E22</f>
        <v>BE</v>
      </c>
      <c r="AF23" s="3" t="str">
        <f>[1]Country!C22</f>
        <v>Belgium</v>
      </c>
      <c r="AH23" s="3" t="str">
        <f t="shared" si="4"/>
        <v>BEL</v>
      </c>
      <c r="AJ23" s="2" t="str">
        <f>IF([1]IMM!N22="","",[1]IMM!N22)</f>
        <v/>
      </c>
      <c r="AK23" s="16" t="str">
        <f t="shared" si="5"/>
        <v/>
      </c>
      <c r="AL23" s="16" t="str">
        <f t="shared" si="6"/>
        <v/>
      </c>
      <c r="AM23" s="2" t="str">
        <f t="shared" si="7"/>
        <v/>
      </c>
      <c r="AN23" s="16" t="str">
        <f t="shared" si="8"/>
        <v/>
      </c>
    </row>
    <row r="24" spans="4:40">
      <c r="D24" s="13" t="e">
        <f>#REF!</f>
        <v>#REF!</v>
      </c>
      <c r="G24" s="17" t="s">
        <v>951</v>
      </c>
      <c r="H24" s="3" t="s">
        <v>970</v>
      </c>
      <c r="I24" s="3" t="s">
        <v>971</v>
      </c>
      <c r="L24" s="2" t="s">
        <v>972</v>
      </c>
      <c r="M24" s="2" t="s">
        <v>973</v>
      </c>
      <c r="N24" s="18"/>
      <c r="R24" s="2" t="str">
        <f>IF(ISERROR(VLOOKUP([1]IMM!F23,Table8[[#All],[Column2]:[Column3]],2,FALSE)),"",(VLOOKUP([1]IMM!F23,Table8[[#All],[Column2]:[Column3]],2,FALSE)))</f>
        <v/>
      </c>
      <c r="U24" s="2" t="str">
        <f>IF([1]IMM!P23="","",[1]IMM!P23)</f>
        <v/>
      </c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16" t="str">
        <f t="shared" si="3"/>
        <v/>
      </c>
      <c r="Z24" s="16"/>
      <c r="AB24" s="19" t="s">
        <v>974</v>
      </c>
      <c r="AC24" s="3" t="s">
        <v>333</v>
      </c>
      <c r="AE24" s="3" t="str">
        <f>[1]Country!E23</f>
        <v>BZ</v>
      </c>
      <c r="AF24" s="3" t="str">
        <f>[1]Country!C23</f>
        <v>Belize</v>
      </c>
      <c r="AH24" s="3" t="str">
        <f t="shared" si="4"/>
        <v/>
      </c>
      <c r="AJ24" s="2" t="str">
        <f>IF([1]IMM!N23="","",[1]IMM!N23)</f>
        <v/>
      </c>
      <c r="AK24" s="16" t="str">
        <f t="shared" si="5"/>
        <v/>
      </c>
      <c r="AL24" s="16" t="str">
        <f t="shared" si="6"/>
        <v/>
      </c>
      <c r="AM24" s="2" t="str">
        <f t="shared" si="7"/>
        <v/>
      </c>
      <c r="AN24" s="16" t="str">
        <f t="shared" si="8"/>
        <v/>
      </c>
    </row>
    <row r="25" spans="4:40">
      <c r="D25" s="13" t="e">
        <f>#REF!</f>
        <v>#REF!</v>
      </c>
      <c r="G25" s="17" t="s">
        <v>955</v>
      </c>
      <c r="H25" s="3" t="s">
        <v>975</v>
      </c>
      <c r="I25" s="3" t="s">
        <v>976</v>
      </c>
      <c r="L25" s="2" t="s">
        <v>977</v>
      </c>
      <c r="M25" s="2" t="s">
        <v>978</v>
      </c>
      <c r="N25" s="18" t="s">
        <v>979</v>
      </c>
      <c r="R25" s="2" t="str">
        <f>IF(ISERROR(VLOOKUP([1]IMM!F24,Table8[[#All],[Column2]:[Column3]],2,FALSE)),"",(VLOOKUP([1]IMM!F24,Table8[[#All],[Column2]:[Column3]],2,FALSE)))</f>
        <v/>
      </c>
      <c r="U25" s="2" t="str">
        <f>IF([1]IMM!P24="","",[1]IMM!P24)</f>
        <v/>
      </c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16" t="str">
        <f t="shared" si="3"/>
        <v/>
      </c>
      <c r="Z25" s="16"/>
      <c r="AB25" s="19" t="s">
        <v>980</v>
      </c>
      <c r="AC25" s="3" t="s">
        <v>336</v>
      </c>
      <c r="AE25" s="3" t="str">
        <f>[1]Country!E24</f>
        <v>BJ</v>
      </c>
      <c r="AF25" s="3" t="str">
        <f>[1]Country!C24</f>
        <v>Benin</v>
      </c>
      <c r="AH25" s="3" t="str">
        <f t="shared" si="4"/>
        <v/>
      </c>
      <c r="AJ25" s="2" t="str">
        <f>IF([1]IMM!N24="","",[1]IMM!N24)</f>
        <v/>
      </c>
      <c r="AK25" s="16" t="str">
        <f t="shared" si="5"/>
        <v/>
      </c>
      <c r="AL25" s="16" t="str">
        <f t="shared" si="6"/>
        <v/>
      </c>
      <c r="AM25" s="2" t="str">
        <f t="shared" si="7"/>
        <v/>
      </c>
      <c r="AN25" s="16" t="str">
        <f t="shared" si="8"/>
        <v/>
      </c>
    </row>
    <row r="26" spans="4:40">
      <c r="D26" s="13" t="e">
        <f>#REF!</f>
        <v>#REF!</v>
      </c>
      <c r="G26" s="17" t="s">
        <v>960</v>
      </c>
      <c r="H26" s="3" t="s">
        <v>67</v>
      </c>
      <c r="I26" s="3" t="s">
        <v>981</v>
      </c>
      <c r="L26" s="2" t="s">
        <v>982</v>
      </c>
      <c r="M26" s="2" t="s">
        <v>983</v>
      </c>
      <c r="N26" s="18" t="s">
        <v>984</v>
      </c>
      <c r="R26" s="2" t="str">
        <f>IF(ISERROR(VLOOKUP([1]IMM!F25,Table8[[#All],[Column2]:[Column3]],2,FALSE)),"",(VLOOKUP([1]IMM!F25,Table8[[#All],[Column2]:[Column3]],2,FALSE)))</f>
        <v/>
      </c>
      <c r="U26" s="2" t="str">
        <f>IF([1]IMM!P25="","",[1]IMM!P25)</f>
        <v/>
      </c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16" t="str">
        <f t="shared" si="3"/>
        <v/>
      </c>
      <c r="Z26" s="16"/>
      <c r="AB26" s="19" t="s">
        <v>985</v>
      </c>
      <c r="AC26" s="3" t="s">
        <v>339</v>
      </c>
      <c r="AE26" s="3" t="str">
        <f>[1]Country!E25</f>
        <v>BM</v>
      </c>
      <c r="AF26" s="3" t="str">
        <f>[1]Country!C25</f>
        <v>Bermuda</v>
      </c>
      <c r="AH26" s="3" t="str">
        <f t="shared" si="4"/>
        <v/>
      </c>
      <c r="AJ26" s="2" t="str">
        <f>IF([1]IMM!N25="","",[1]IMM!N25)</f>
        <v/>
      </c>
      <c r="AK26" s="16" t="str">
        <f t="shared" si="5"/>
        <v/>
      </c>
      <c r="AL26" s="16" t="str">
        <f t="shared" si="6"/>
        <v/>
      </c>
      <c r="AM26" s="2" t="str">
        <f t="shared" si="7"/>
        <v/>
      </c>
      <c r="AN26" s="16" t="str">
        <f t="shared" si="8"/>
        <v/>
      </c>
    </row>
    <row r="27" spans="4:40">
      <c r="D27" s="13" t="e">
        <f>#REF!</f>
        <v>#REF!</v>
      </c>
      <c r="G27" s="17" t="s">
        <v>968</v>
      </c>
      <c r="H27" s="3" t="s">
        <v>986</v>
      </c>
      <c r="I27" s="3" t="s">
        <v>987</v>
      </c>
      <c r="L27" s="2" t="s">
        <v>988</v>
      </c>
      <c r="M27" s="2" t="s">
        <v>989</v>
      </c>
      <c r="N27" s="18"/>
      <c r="R27" s="2" t="str">
        <f>IF(ISERROR(VLOOKUP([1]IMM!F26,Table8[[#All],[Column2]:[Column3]],2,FALSE)),"",(VLOOKUP([1]IMM!F26,Table8[[#All],[Column2]:[Column3]],2,FALSE)))</f>
        <v/>
      </c>
      <c r="U27" s="2" t="str">
        <f>IF([1]IMM!P26="","",[1]IMM!P26)</f>
        <v/>
      </c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16" t="str">
        <f t="shared" si="3"/>
        <v/>
      </c>
      <c r="Z27" s="16"/>
      <c r="AB27" s="19" t="s">
        <v>990</v>
      </c>
      <c r="AC27" s="3" t="s">
        <v>342</v>
      </c>
      <c r="AE27" s="3" t="str">
        <f>[1]Country!E26</f>
        <v>BT</v>
      </c>
      <c r="AF27" s="3" t="str">
        <f>[1]Country!C26</f>
        <v>Bhutan</v>
      </c>
      <c r="AH27" s="3" t="str">
        <f t="shared" si="4"/>
        <v/>
      </c>
      <c r="AJ27" s="2" t="str">
        <f>IF([1]IMM!N26="","",[1]IMM!N26)</f>
        <v/>
      </c>
      <c r="AK27" s="16" t="str">
        <f t="shared" si="5"/>
        <v/>
      </c>
      <c r="AL27" s="16" t="str">
        <f t="shared" si="6"/>
        <v/>
      </c>
      <c r="AM27" s="2" t="str">
        <f t="shared" si="7"/>
        <v/>
      </c>
      <c r="AN27" s="16" t="str">
        <f t="shared" si="8"/>
        <v/>
      </c>
    </row>
    <row r="28" spans="4:40">
      <c r="D28" s="13" t="e">
        <f>#REF!</f>
        <v>#REF!</v>
      </c>
      <c r="G28" s="17" t="s">
        <v>984</v>
      </c>
      <c r="H28" s="3" t="s">
        <v>991</v>
      </c>
      <c r="I28" s="3"/>
      <c r="L28" s="2" t="s">
        <v>992</v>
      </c>
      <c r="M28" s="2" t="s">
        <v>993</v>
      </c>
      <c r="N28" s="18" t="s">
        <v>994</v>
      </c>
      <c r="R28" s="2" t="str">
        <f>IF(ISERROR(VLOOKUP([1]IMM!F27,Table8[[#All],[Column2]:[Column3]],2,FALSE)),"",(VLOOKUP([1]IMM!F27,Table8[[#All],[Column2]:[Column3]],2,FALSE)))</f>
        <v/>
      </c>
      <c r="U28" s="2" t="str">
        <f>IF([1]IMM!P27="","",[1]IMM!P27)</f>
        <v/>
      </c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16" t="str">
        <f t="shared" si="3"/>
        <v/>
      </c>
      <c r="Z28" s="16"/>
      <c r="AB28" s="19" t="s">
        <v>995</v>
      </c>
      <c r="AC28" s="3" t="s">
        <v>348</v>
      </c>
      <c r="AE28" s="3" t="str">
        <f>[1]Country!E27</f>
        <v>BO</v>
      </c>
      <c r="AF28" s="3" t="str">
        <f>[1]Country!C27</f>
        <v>Bolivia</v>
      </c>
      <c r="AH28" s="3" t="str">
        <f t="shared" si="4"/>
        <v/>
      </c>
      <c r="AJ28" s="2" t="str">
        <f>IF([1]IMM!N27="","",[1]IMM!N27)</f>
        <v/>
      </c>
      <c r="AK28" s="16" t="str">
        <f t="shared" si="5"/>
        <v/>
      </c>
      <c r="AL28" s="16" t="str">
        <f t="shared" si="6"/>
        <v/>
      </c>
      <c r="AM28" s="2" t="str">
        <f t="shared" si="7"/>
        <v/>
      </c>
      <c r="AN28" s="16" t="str">
        <f t="shared" si="8"/>
        <v/>
      </c>
    </row>
    <row r="29" spans="4:40">
      <c r="D29" s="13" t="e">
        <f>#REF!</f>
        <v>#REF!</v>
      </c>
      <c r="G29" s="17" t="s">
        <v>994</v>
      </c>
      <c r="H29" s="3" t="s">
        <v>996</v>
      </c>
      <c r="I29" s="3" t="s">
        <v>997</v>
      </c>
      <c r="L29" s="2" t="s">
        <v>998</v>
      </c>
      <c r="M29" s="2" t="s">
        <v>999</v>
      </c>
      <c r="N29" s="18"/>
      <c r="R29" s="2" t="str">
        <f>IF(ISERROR(VLOOKUP([1]IMM!F28,Table8[[#All],[Column2]:[Column3]],2,FALSE)),"",(VLOOKUP([1]IMM!F28,Table8[[#All],[Column2]:[Column3]],2,FALSE)))</f>
        <v/>
      </c>
      <c r="U29" s="2" t="str">
        <f>IF([1]IMM!P28="","",[1]IMM!P28)</f>
        <v/>
      </c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16" t="str">
        <f t="shared" si="3"/>
        <v/>
      </c>
      <c r="Z29" s="16"/>
      <c r="AB29" s="19" t="s">
        <v>1000</v>
      </c>
      <c r="AC29" s="3" t="s">
        <v>351</v>
      </c>
      <c r="AE29" s="3" t="str">
        <f>[1]Country!E28</f>
        <v>BQ</v>
      </c>
      <c r="AF29" s="3" t="str">
        <f>[1]Country!C28</f>
        <v>Bonaire, Saba, St Eustatius</v>
      </c>
      <c r="AH29" s="3" t="str">
        <f t="shared" si="4"/>
        <v/>
      </c>
      <c r="AJ29" s="2" t="str">
        <f>IF([1]IMM!N28="","",[1]IMM!N28)</f>
        <v/>
      </c>
      <c r="AK29" s="16" t="str">
        <f t="shared" si="5"/>
        <v/>
      </c>
      <c r="AL29" s="16" t="str">
        <f t="shared" si="6"/>
        <v/>
      </c>
      <c r="AM29" s="2" t="str">
        <f t="shared" si="7"/>
        <v/>
      </c>
      <c r="AN29" s="16" t="str">
        <f t="shared" si="8"/>
        <v/>
      </c>
    </row>
    <row r="30" spans="4:40">
      <c r="D30" s="13" t="e">
        <f>#REF!</f>
        <v>#REF!</v>
      </c>
      <c r="G30" s="17" t="s">
        <v>1001</v>
      </c>
      <c r="H30" s="3" t="s">
        <v>1002</v>
      </c>
      <c r="I30" s="3" t="s">
        <v>1003</v>
      </c>
      <c r="L30" s="2" t="s">
        <v>1004</v>
      </c>
      <c r="M30" s="2" t="s">
        <v>1005</v>
      </c>
      <c r="N30" s="18" t="s">
        <v>1006</v>
      </c>
      <c r="R30" s="2" t="str">
        <f>IF(ISERROR(VLOOKUP([1]IMM!F29,Table8[[#All],[Column2]:[Column3]],2,FALSE)),"",(VLOOKUP([1]IMM!F29,Table8[[#All],[Column2]:[Column3]],2,FALSE)))</f>
        <v/>
      </c>
      <c r="U30" s="2" t="str">
        <f>IF([1]IMM!P29="","",[1]IMM!P29)</f>
        <v/>
      </c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16" t="str">
        <f t="shared" si="3"/>
        <v/>
      </c>
      <c r="Z30" s="16"/>
      <c r="AB30" s="19" t="s">
        <v>1007</v>
      </c>
      <c r="AC30" s="3" t="s">
        <v>354</v>
      </c>
      <c r="AE30" s="3" t="str">
        <f>[1]Country!E29</f>
        <v>BA</v>
      </c>
      <c r="AF30" s="3" t="str">
        <f>[1]Country!C29</f>
        <v>Bosnia Herzegovina</v>
      </c>
      <c r="AH30" s="3" t="str">
        <f t="shared" si="4"/>
        <v/>
      </c>
      <c r="AJ30" s="2" t="str">
        <f>IF([1]IMM!N29="","",[1]IMM!N29)</f>
        <v/>
      </c>
      <c r="AK30" s="16" t="str">
        <f t="shared" si="5"/>
        <v/>
      </c>
      <c r="AL30" s="16" t="str">
        <f t="shared" si="6"/>
        <v/>
      </c>
      <c r="AM30" s="2" t="str">
        <f t="shared" si="7"/>
        <v/>
      </c>
      <c r="AN30" s="16" t="str">
        <f t="shared" si="8"/>
        <v/>
      </c>
    </row>
    <row r="31" spans="4:40">
      <c r="D31" s="13" t="e">
        <f>#REF!</f>
        <v>#REF!</v>
      </c>
      <c r="G31" s="17" t="s">
        <v>1008</v>
      </c>
      <c r="H31" s="3" t="s">
        <v>1009</v>
      </c>
      <c r="I31" s="3" t="s">
        <v>1010</v>
      </c>
      <c r="L31" s="2" t="s">
        <v>1011</v>
      </c>
      <c r="M31" s="2" t="s">
        <v>1012</v>
      </c>
      <c r="N31" s="18" t="s">
        <v>1001</v>
      </c>
      <c r="R31" s="2" t="str">
        <f>IF(ISERROR(VLOOKUP([1]IMM!F30,Table8[[#All],[Column2]:[Column3]],2,FALSE)),"",(VLOOKUP([1]IMM!F30,Table8[[#All],[Column2]:[Column3]],2,FALSE)))</f>
        <v/>
      </c>
      <c r="U31" s="2" t="str">
        <f>IF([1]IMM!P30="","",[1]IMM!P30)</f>
        <v/>
      </c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16" t="str">
        <f t="shared" si="3"/>
        <v/>
      </c>
      <c r="Z31" s="16"/>
      <c r="AB31" s="19" t="s">
        <v>1013</v>
      </c>
      <c r="AC31" s="3" t="s">
        <v>366</v>
      </c>
      <c r="AE31" s="3" t="str">
        <f>[1]Country!E30</f>
        <v>BW</v>
      </c>
      <c r="AF31" s="3" t="str">
        <f>[1]Country!C30</f>
        <v>Botswana</v>
      </c>
      <c r="AH31" s="3" t="str">
        <f t="shared" si="4"/>
        <v/>
      </c>
      <c r="AJ31" s="2" t="str">
        <f>IF([1]IMM!N30="","",[1]IMM!N30)</f>
        <v/>
      </c>
      <c r="AK31" s="16" t="str">
        <f t="shared" si="5"/>
        <v/>
      </c>
      <c r="AL31" s="16" t="str">
        <f t="shared" si="6"/>
        <v/>
      </c>
      <c r="AM31" s="2" t="str">
        <f t="shared" si="7"/>
        <v/>
      </c>
      <c r="AN31" s="16" t="str">
        <f t="shared" si="8"/>
        <v/>
      </c>
    </row>
    <row r="32" spans="4:40">
      <c r="D32" s="13" t="e">
        <f>#REF!</f>
        <v>#REF!</v>
      </c>
      <c r="G32" s="17" t="s">
        <v>1014</v>
      </c>
      <c r="H32" s="3" t="s">
        <v>1015</v>
      </c>
      <c r="I32" s="3" t="s">
        <v>1016</v>
      </c>
      <c r="L32" s="2" t="s">
        <v>1017</v>
      </c>
      <c r="M32" s="2" t="s">
        <v>1018</v>
      </c>
      <c r="N32" s="18" t="s">
        <v>1019</v>
      </c>
      <c r="R32" s="2" t="str">
        <f>IF(ISERROR(VLOOKUP([1]IMM!F31,Table8[[#All],[Column2]:[Column3]],2,FALSE)),"",(VLOOKUP([1]IMM!F31,Table8[[#All],[Column2]:[Column3]],2,FALSE)))</f>
        <v/>
      </c>
      <c r="U32" s="2" t="str">
        <f>IF([1]IMM!P31="","",[1]IMM!P31)</f>
        <v/>
      </c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16" t="str">
        <f t="shared" si="3"/>
        <v/>
      </c>
      <c r="Z32" s="16"/>
      <c r="AB32" s="19" t="s">
        <v>1020</v>
      </c>
      <c r="AC32" s="3" t="s">
        <v>369</v>
      </c>
      <c r="AE32" s="3" t="str">
        <f>[1]Country!E31</f>
        <v>BV</v>
      </c>
      <c r="AF32" s="3" t="str">
        <f>[1]Country!C31</f>
        <v>Bouvet Island</v>
      </c>
      <c r="AH32" s="3" t="str">
        <f t="shared" si="4"/>
        <v/>
      </c>
      <c r="AJ32" s="2" t="str">
        <f>IF([1]IMM!N31="","",[1]IMM!N31)</f>
        <v/>
      </c>
      <c r="AK32" s="16" t="str">
        <f t="shared" si="5"/>
        <v/>
      </c>
      <c r="AL32" s="16" t="str">
        <f t="shared" si="6"/>
        <v/>
      </c>
      <c r="AM32" s="2" t="str">
        <f t="shared" si="7"/>
        <v/>
      </c>
      <c r="AN32" s="16" t="str">
        <f t="shared" si="8"/>
        <v/>
      </c>
    </row>
    <row r="33" spans="4:40">
      <c r="D33" s="13" t="e">
        <f>#REF!</f>
        <v>#REF!</v>
      </c>
      <c r="G33" s="17" t="s">
        <v>87</v>
      </c>
      <c r="H33" s="3" t="s">
        <v>89</v>
      </c>
      <c r="I33" s="3" t="s">
        <v>89</v>
      </c>
      <c r="L33" s="2" t="s">
        <v>1021</v>
      </c>
      <c r="M33" s="2" t="s">
        <v>1022</v>
      </c>
      <c r="N33" s="18" t="s">
        <v>1008</v>
      </c>
      <c r="R33" s="2" t="str">
        <f>IF(ISERROR(VLOOKUP([1]IMM!F32,Table8[[#All],[Column2]:[Column3]],2,FALSE)),"",(VLOOKUP([1]IMM!F32,Table8[[#All],[Column2]:[Column3]],2,FALSE)))</f>
        <v/>
      </c>
      <c r="U33" s="2" t="str">
        <f>IF([1]IMM!P32="","",[1]IMM!P32)</f>
        <v/>
      </c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16" t="str">
        <f t="shared" si="3"/>
        <v/>
      </c>
      <c r="Z33" s="16"/>
      <c r="AB33" s="19" t="s">
        <v>1023</v>
      </c>
      <c r="AC33" s="3" t="s">
        <v>387</v>
      </c>
      <c r="AE33" s="3" t="str">
        <f>[1]Country!E32</f>
        <v>BR</v>
      </c>
      <c r="AF33" s="3" t="str">
        <f>[1]Country!C32</f>
        <v>Brazil</v>
      </c>
      <c r="AH33" s="3" t="str">
        <f t="shared" si="4"/>
        <v>BRA</v>
      </c>
      <c r="AJ33" s="2" t="str">
        <f>IF([1]IMM!N32="","",[1]IMM!N32)</f>
        <v/>
      </c>
      <c r="AK33" s="16" t="str">
        <f t="shared" si="5"/>
        <v/>
      </c>
      <c r="AL33" s="16" t="str">
        <f t="shared" si="6"/>
        <v/>
      </c>
      <c r="AM33" s="2" t="str">
        <f t="shared" si="7"/>
        <v/>
      </c>
      <c r="AN33" s="16" t="str">
        <f t="shared" si="8"/>
        <v/>
      </c>
    </row>
    <row r="34" spans="4:40">
      <c r="D34" s="13" t="e">
        <f>#REF!</f>
        <v>#REF!</v>
      </c>
      <c r="G34" s="17" t="s">
        <v>1024</v>
      </c>
      <c r="H34" s="3" t="s">
        <v>1025</v>
      </c>
      <c r="I34" s="3" t="s">
        <v>1026</v>
      </c>
      <c r="L34" s="2" t="s">
        <v>1027</v>
      </c>
      <c r="M34" s="2" t="s">
        <v>1028</v>
      </c>
      <c r="N34" s="18"/>
      <c r="R34" s="2" t="str">
        <f>IF(ISERROR(VLOOKUP([1]IMM!F33,Table8[[#All],[Column2]:[Column3]],2,FALSE)),"",(VLOOKUP([1]IMM!F33,Table8[[#All],[Column2]:[Column3]],2,FALSE)))</f>
        <v/>
      </c>
      <c r="U34" s="2" t="str">
        <f>IF([1]IMM!P33="","",[1]IMM!P33)</f>
        <v/>
      </c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16" t="str">
        <f t="shared" si="3"/>
        <v/>
      </c>
      <c r="Z34" s="16"/>
      <c r="AB34" s="19" t="s">
        <v>1029</v>
      </c>
      <c r="AC34" s="3" t="s">
        <v>417</v>
      </c>
      <c r="AE34" s="3" t="str">
        <f>[1]Country!E33</f>
        <v>IO</v>
      </c>
      <c r="AF34" s="3" t="str">
        <f>[1]Country!C33</f>
        <v>British Indian Ocean Territory</v>
      </c>
      <c r="AH34" s="3" t="str">
        <f t="shared" si="4"/>
        <v/>
      </c>
      <c r="AJ34" s="2" t="str">
        <f>IF([1]IMM!N33="","",[1]IMM!N33)</f>
        <v/>
      </c>
      <c r="AK34" s="16" t="str">
        <f t="shared" si="5"/>
        <v/>
      </c>
      <c r="AL34" s="16" t="str">
        <f t="shared" si="6"/>
        <v/>
      </c>
      <c r="AM34" s="2" t="str">
        <f t="shared" si="7"/>
        <v/>
      </c>
      <c r="AN34" s="16" t="str">
        <f t="shared" si="8"/>
        <v/>
      </c>
    </row>
    <row r="35" spans="4:40">
      <c r="D35" s="13" t="e">
        <f>#REF!</f>
        <v>#REF!</v>
      </c>
      <c r="G35" s="17" t="s">
        <v>1030</v>
      </c>
      <c r="H35" s="3" t="s">
        <v>1031</v>
      </c>
      <c r="I35" s="3" t="s">
        <v>1032</v>
      </c>
      <c r="L35" s="2" t="s">
        <v>1033</v>
      </c>
      <c r="M35" s="2" t="s">
        <v>1034</v>
      </c>
      <c r="N35" s="18" t="s">
        <v>1024</v>
      </c>
      <c r="R35" s="2" t="str">
        <f>IF(ISERROR(VLOOKUP([1]IMM!F34,Table8[[#All],[Column2]:[Column3]],2,FALSE)),"",(VLOOKUP([1]IMM!F34,Table8[[#All],[Column2]:[Column3]],2,FALSE)))</f>
        <v/>
      </c>
      <c r="U35" s="2" t="str">
        <f>IF([1]IMM!P34="","",[1]IMM!P34)</f>
        <v/>
      </c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16" t="str">
        <f t="shared" si="3"/>
        <v/>
      </c>
      <c r="Z35" s="16"/>
      <c r="AB35" s="19" t="s">
        <v>1035</v>
      </c>
      <c r="AC35" s="3" t="s">
        <v>375</v>
      </c>
      <c r="AE35" s="3" t="str">
        <f>[1]Country!E34</f>
        <v>BN</v>
      </c>
      <c r="AF35" s="3" t="str">
        <f>[1]Country!C34</f>
        <v>Brunei Darussalam</v>
      </c>
      <c r="AH35" s="3" t="str">
        <f t="shared" si="4"/>
        <v/>
      </c>
      <c r="AJ35" s="2" t="str">
        <f>IF([1]IMM!N34="","",[1]IMM!N34)</f>
        <v/>
      </c>
      <c r="AK35" s="16" t="str">
        <f t="shared" si="5"/>
        <v/>
      </c>
      <c r="AL35" s="16" t="str">
        <f t="shared" si="6"/>
        <v/>
      </c>
      <c r="AM35" s="2" t="str">
        <f t="shared" si="7"/>
        <v/>
      </c>
      <c r="AN35" s="16" t="str">
        <f t="shared" si="8"/>
        <v/>
      </c>
    </row>
    <row r="36" spans="4:40">
      <c r="D36" s="13" t="e">
        <f>#REF!</f>
        <v>#REF!</v>
      </c>
      <c r="G36" s="17" t="s">
        <v>1036</v>
      </c>
      <c r="H36" s="3" t="s">
        <v>1037</v>
      </c>
      <c r="I36" s="3" t="s">
        <v>1038</v>
      </c>
      <c r="L36" s="2" t="s">
        <v>1039</v>
      </c>
      <c r="M36" s="2" t="s">
        <v>1040</v>
      </c>
      <c r="N36" s="18" t="s">
        <v>1030</v>
      </c>
      <c r="R36" s="2" t="str">
        <f>IF(ISERROR(VLOOKUP([1]IMM!F35,Table8[[#All],[Column2]:[Column3]],2,FALSE)),"",(VLOOKUP([1]IMM!F35,Table8[[#All],[Column2]:[Column3]],2,FALSE)))</f>
        <v/>
      </c>
      <c r="U36" s="2" t="str">
        <f>IF([1]IMM!P35="","",[1]IMM!P35)</f>
        <v/>
      </c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16" t="str">
        <f t="shared" si="3"/>
        <v/>
      </c>
      <c r="Z36" s="16"/>
      <c r="AB36" s="19" t="s">
        <v>1041</v>
      </c>
      <c r="AC36" s="3" t="s">
        <v>420</v>
      </c>
      <c r="AE36" s="3" t="str">
        <f>[1]Country!E35</f>
        <v>BG</v>
      </c>
      <c r="AF36" s="3" t="str">
        <f>[1]Country!C35</f>
        <v>Bulgaria</v>
      </c>
      <c r="AH36" s="3" t="str">
        <f t="shared" si="4"/>
        <v/>
      </c>
      <c r="AJ36" s="2" t="str">
        <f>IF([1]IMM!N35="","",[1]IMM!N35)</f>
        <v/>
      </c>
      <c r="AK36" s="16" t="str">
        <f t="shared" si="5"/>
        <v/>
      </c>
      <c r="AL36" s="16" t="str">
        <f t="shared" si="6"/>
        <v/>
      </c>
      <c r="AM36" s="2" t="str">
        <f t="shared" si="7"/>
        <v/>
      </c>
      <c r="AN36" s="16" t="str">
        <f t="shared" si="8"/>
        <v/>
      </c>
    </row>
    <row r="37" spans="4:40">
      <c r="D37" s="13" t="e">
        <f>#REF!</f>
        <v>#REF!</v>
      </c>
      <c r="G37" s="17" t="s">
        <v>99</v>
      </c>
      <c r="H37" s="3" t="s">
        <v>100</v>
      </c>
      <c r="I37" s="3" t="s">
        <v>1042</v>
      </c>
      <c r="L37" s="2" t="s">
        <v>1043</v>
      </c>
      <c r="M37" s="2" t="s">
        <v>1044</v>
      </c>
      <c r="N37" s="18" t="s">
        <v>1045</v>
      </c>
      <c r="R37" s="2" t="str">
        <f>IF(ISERROR(VLOOKUP([1]IMM!F36,Table8[[#All],[Column2]:[Column3]],2,FALSE)),"",(VLOOKUP([1]IMM!F36,Table8[[#All],[Column2]:[Column3]],2,FALSE)))</f>
        <v/>
      </c>
      <c r="U37" s="2" t="str">
        <f>IF([1]IMM!P36="","",[1]IMM!P36)</f>
        <v/>
      </c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16" t="str">
        <f t="shared" si="3"/>
        <v/>
      </c>
      <c r="Z37" s="16"/>
      <c r="AB37" s="19" t="s">
        <v>1046</v>
      </c>
      <c r="AC37" s="3" t="s">
        <v>414</v>
      </c>
      <c r="AE37" s="3" t="str">
        <f>[1]Country!E36</f>
        <v>BF</v>
      </c>
      <c r="AF37" s="3" t="str">
        <f>[1]Country!C36</f>
        <v>Burkina Fasa</v>
      </c>
      <c r="AH37" s="3" t="str">
        <f t="shared" si="4"/>
        <v/>
      </c>
      <c r="AJ37" s="2" t="str">
        <f>IF([1]IMM!N36="","",[1]IMM!N36)</f>
        <v/>
      </c>
      <c r="AK37" s="16" t="str">
        <f t="shared" si="5"/>
        <v/>
      </c>
      <c r="AL37" s="16" t="str">
        <f t="shared" si="6"/>
        <v/>
      </c>
      <c r="AM37" s="2" t="str">
        <f t="shared" si="7"/>
        <v/>
      </c>
      <c r="AN37" s="16" t="str">
        <f t="shared" si="8"/>
        <v/>
      </c>
    </row>
    <row r="38" spans="4:40">
      <c r="D38" s="13" t="e">
        <f>#REF!</f>
        <v>#REF!</v>
      </c>
      <c r="G38" s="17" t="s">
        <v>979</v>
      </c>
      <c r="H38" s="3" t="s">
        <v>1047</v>
      </c>
      <c r="I38" s="3" t="s">
        <v>1048</v>
      </c>
      <c r="L38" s="2" t="s">
        <v>1049</v>
      </c>
      <c r="M38" s="2" t="s">
        <v>1050</v>
      </c>
      <c r="N38" s="18" t="s">
        <v>1051</v>
      </c>
      <c r="R38" s="2" t="str">
        <f>IF(ISERROR(VLOOKUP([1]IMM!F37,Table8[[#All],[Column2]:[Column3]],2,FALSE)),"",(VLOOKUP([1]IMM!F37,Table8[[#All],[Column2]:[Column3]],2,FALSE)))</f>
        <v/>
      </c>
      <c r="U38" s="2" t="str">
        <f>IF([1]IMM!P37="","",[1]IMM!P37)</f>
        <v/>
      </c>
      <c r="V38" s="2" t="str">
        <f t="shared" si="0"/>
        <v/>
      </c>
      <c r="W38" s="2" t="str">
        <f t="shared" si="1"/>
        <v/>
      </c>
      <c r="X38" s="2" t="str">
        <f t="shared" si="2"/>
        <v/>
      </c>
      <c r="Y38" s="16" t="str">
        <f t="shared" si="3"/>
        <v/>
      </c>
      <c r="Z38" s="16"/>
      <c r="AB38" s="19" t="s">
        <v>1052</v>
      </c>
      <c r="AC38" s="3" t="s">
        <v>426</v>
      </c>
      <c r="AE38" s="3" t="str">
        <f>[1]Country!E37</f>
        <v>BI</v>
      </c>
      <c r="AF38" s="3" t="str">
        <f>[1]Country!C37</f>
        <v>Burundi</v>
      </c>
      <c r="AH38" s="3" t="str">
        <f t="shared" si="4"/>
        <v/>
      </c>
      <c r="AJ38" s="2" t="str">
        <f>IF([1]IMM!N37="","",[1]IMM!N37)</f>
        <v/>
      </c>
      <c r="AK38" s="16" t="str">
        <f t="shared" si="5"/>
        <v/>
      </c>
      <c r="AL38" s="16" t="str">
        <f t="shared" si="6"/>
        <v/>
      </c>
      <c r="AM38" s="2" t="str">
        <f t="shared" si="7"/>
        <v/>
      </c>
      <c r="AN38" s="16" t="str">
        <f t="shared" si="8"/>
        <v/>
      </c>
    </row>
    <row r="39" spans="4:40">
      <c r="D39" s="13" t="e">
        <f>#REF!</f>
        <v>#REF!</v>
      </c>
      <c r="G39" s="17" t="s">
        <v>1051</v>
      </c>
      <c r="H39" s="3" t="s">
        <v>1053</v>
      </c>
      <c r="I39" s="3" t="s">
        <v>1054</v>
      </c>
      <c r="L39" s="2" t="s">
        <v>1055</v>
      </c>
      <c r="M39" s="2" t="s">
        <v>894</v>
      </c>
      <c r="N39" s="18" t="s">
        <v>1056</v>
      </c>
      <c r="R39" s="2" t="str">
        <f>IF(ISERROR(VLOOKUP([1]IMM!F38,Table8[[#All],[Column2]:[Column3]],2,FALSE)),"",(VLOOKUP([1]IMM!F38,Table8[[#All],[Column2]:[Column3]],2,FALSE)))</f>
        <v/>
      </c>
      <c r="U39" s="2" t="str">
        <f>IF([1]IMM!P38="","",[1]IMM!P38)</f>
        <v/>
      </c>
      <c r="V39" s="2" t="str">
        <f t="shared" si="0"/>
        <v/>
      </c>
      <c r="W39" s="2" t="str">
        <f t="shared" si="1"/>
        <v/>
      </c>
      <c r="X39" s="2" t="str">
        <f t="shared" si="2"/>
        <v/>
      </c>
      <c r="Y39" s="16" t="str">
        <f t="shared" si="3"/>
        <v/>
      </c>
      <c r="Z39" s="16"/>
      <c r="AB39" s="19" t="s">
        <v>1057</v>
      </c>
      <c r="AC39" s="3" t="s">
        <v>438</v>
      </c>
      <c r="AE39" s="3" t="str">
        <f>[1]Country!E38</f>
        <v>KH</v>
      </c>
      <c r="AF39" s="3" t="str">
        <f>[1]Country!C38</f>
        <v>Cambodia</v>
      </c>
      <c r="AH39" s="3" t="str">
        <f t="shared" si="4"/>
        <v>KHM</v>
      </c>
      <c r="AJ39" s="2" t="str">
        <f>IF([1]IMM!N38="","",[1]IMM!N38)</f>
        <v/>
      </c>
      <c r="AK39" s="16" t="str">
        <f t="shared" si="5"/>
        <v/>
      </c>
      <c r="AL39" s="16" t="str">
        <f t="shared" si="6"/>
        <v/>
      </c>
      <c r="AM39" s="2" t="str">
        <f t="shared" si="7"/>
        <v/>
      </c>
      <c r="AN39" s="16" t="str">
        <f t="shared" si="8"/>
        <v/>
      </c>
    </row>
    <row r="40" spans="4:40">
      <c r="D40" s="13" t="e">
        <f>#REF!</f>
        <v>#REF!</v>
      </c>
      <c r="G40" s="17" t="s">
        <v>1058</v>
      </c>
      <c r="H40" s="3" t="s">
        <v>1059</v>
      </c>
      <c r="I40" s="3" t="s">
        <v>1060</v>
      </c>
      <c r="L40" s="2" t="s">
        <v>1061</v>
      </c>
      <c r="M40" s="2" t="s">
        <v>1062</v>
      </c>
      <c r="N40" s="18" t="s">
        <v>1063</v>
      </c>
      <c r="R40" s="2" t="str">
        <f>IF(ISERROR(VLOOKUP([1]IMM!F39,Table8[[#All],[Column2]:[Column3]],2,FALSE)),"",(VLOOKUP([1]IMM!F39,Table8[[#All],[Column2]:[Column3]],2,FALSE)))</f>
        <v/>
      </c>
      <c r="U40" s="2" t="str">
        <f>IF([1]IMM!P39="","",[1]IMM!P39)</f>
        <v/>
      </c>
      <c r="V40" s="2" t="str">
        <f t="shared" si="0"/>
        <v/>
      </c>
      <c r="W40" s="2" t="str">
        <f t="shared" si="1"/>
        <v/>
      </c>
      <c r="X40" s="2" t="str">
        <f t="shared" si="2"/>
        <v/>
      </c>
      <c r="Y40" s="16" t="str">
        <f t="shared" si="3"/>
        <v/>
      </c>
      <c r="Z40" s="16"/>
      <c r="AB40" s="19" t="s">
        <v>1064</v>
      </c>
      <c r="AC40" s="3" t="s">
        <v>447</v>
      </c>
      <c r="AE40" s="3" t="str">
        <f>[1]Country!E39</f>
        <v>CM</v>
      </c>
      <c r="AF40" s="3" t="str">
        <f>[1]Country!C39</f>
        <v>Cameroon</v>
      </c>
      <c r="AH40" s="3" t="str">
        <f t="shared" si="4"/>
        <v/>
      </c>
      <c r="AJ40" s="2" t="str">
        <f>IF([1]IMM!N39="","",[1]IMM!N39)</f>
        <v/>
      </c>
      <c r="AK40" s="16" t="str">
        <f t="shared" si="5"/>
        <v/>
      </c>
      <c r="AL40" s="16" t="str">
        <f t="shared" si="6"/>
        <v/>
      </c>
      <c r="AM40" s="2" t="str">
        <f t="shared" si="7"/>
        <v/>
      </c>
      <c r="AN40" s="16" t="str">
        <f t="shared" si="8"/>
        <v/>
      </c>
    </row>
    <row r="41" spans="4:40">
      <c r="D41" s="13" t="e">
        <f>#REF!</f>
        <v>#REF!</v>
      </c>
      <c r="G41" s="17" t="s">
        <v>1065</v>
      </c>
      <c r="H41" s="3" t="s">
        <v>112</v>
      </c>
      <c r="I41" s="3" t="s">
        <v>1066</v>
      </c>
      <c r="L41" s="2" t="s">
        <v>1067</v>
      </c>
      <c r="M41" s="2" t="s">
        <v>901</v>
      </c>
      <c r="N41" s="18" t="s">
        <v>1068</v>
      </c>
      <c r="R41" s="2" t="str">
        <f>IF(ISERROR(VLOOKUP([1]IMM!F40,Table8[[#All],[Column2]:[Column3]],2,FALSE)),"",(VLOOKUP([1]IMM!F40,Table8[[#All],[Column2]:[Column3]],2,FALSE)))</f>
        <v/>
      </c>
      <c r="U41" s="2" t="str">
        <f>IF([1]IMM!P40="","",[1]IMM!P40)</f>
        <v/>
      </c>
      <c r="V41" s="2" t="str">
        <f t="shared" si="0"/>
        <v/>
      </c>
      <c r="W41" s="2" t="str">
        <f t="shared" si="1"/>
        <v/>
      </c>
      <c r="X41" s="2" t="str">
        <f t="shared" si="2"/>
        <v/>
      </c>
      <c r="Y41" s="16" t="str">
        <f t="shared" si="3"/>
        <v/>
      </c>
      <c r="Z41" s="16"/>
      <c r="AB41" s="19" t="s">
        <v>1069</v>
      </c>
      <c r="AC41" s="3" t="s">
        <v>450</v>
      </c>
      <c r="AE41" s="3" t="str">
        <f>[1]Country!E40</f>
        <v>CA</v>
      </c>
      <c r="AF41" s="3" t="str">
        <f>[1]Country!C40</f>
        <v>Canada</v>
      </c>
      <c r="AH41" s="3" t="str">
        <f t="shared" si="4"/>
        <v>CAN</v>
      </c>
      <c r="AJ41" s="2" t="str">
        <f>IF([1]IMM!N40="","",[1]IMM!N40)</f>
        <v/>
      </c>
      <c r="AK41" s="16" t="str">
        <f t="shared" si="5"/>
        <v/>
      </c>
      <c r="AL41" s="16" t="str">
        <f t="shared" si="6"/>
        <v/>
      </c>
      <c r="AM41" s="2" t="str">
        <f t="shared" si="7"/>
        <v/>
      </c>
      <c r="AN41" s="16" t="str">
        <f t="shared" si="8"/>
        <v/>
      </c>
    </row>
    <row r="42" spans="4:40">
      <c r="D42" s="13" t="e">
        <f>#REF!</f>
        <v>#REF!</v>
      </c>
      <c r="G42" s="17" t="s">
        <v>1045</v>
      </c>
      <c r="H42" s="3" t="s">
        <v>115</v>
      </c>
      <c r="I42" s="3" t="s">
        <v>1070</v>
      </c>
      <c r="L42" s="2" t="s">
        <v>1071</v>
      </c>
      <c r="M42" s="2" t="s">
        <v>1072</v>
      </c>
      <c r="N42" s="18" t="s">
        <v>1073</v>
      </c>
      <c r="R42" s="2" t="str">
        <f>IF(ISERROR(VLOOKUP([1]IMM!F41,Table8[[#All],[Column2]:[Column3]],2,FALSE)),"",(VLOOKUP([1]IMM!F41,Table8[[#All],[Column2]:[Column3]],2,FALSE)))</f>
        <v/>
      </c>
      <c r="U42" s="2" t="str">
        <f>IF([1]IMM!P41="","",[1]IMM!P41)</f>
        <v/>
      </c>
      <c r="V42" s="2" t="str">
        <f t="shared" si="0"/>
        <v/>
      </c>
      <c r="W42" s="2" t="str">
        <f t="shared" si="1"/>
        <v/>
      </c>
      <c r="X42" s="2" t="str">
        <f t="shared" si="2"/>
        <v/>
      </c>
      <c r="Y42" s="16" t="str">
        <f t="shared" si="3"/>
        <v/>
      </c>
      <c r="Z42" s="16"/>
      <c r="AB42" s="19" t="s">
        <v>1074</v>
      </c>
      <c r="AC42" s="3" t="s">
        <v>96</v>
      </c>
      <c r="AE42" s="3" t="str">
        <f>[1]Country!E41</f>
        <v>CV</v>
      </c>
      <c r="AF42" s="3" t="str">
        <f>[1]Country!C41</f>
        <v>Cape Verde</v>
      </c>
      <c r="AH42" s="3" t="str">
        <f t="shared" si="4"/>
        <v/>
      </c>
      <c r="AJ42" s="2" t="str">
        <f>IF([1]IMM!N41="","",[1]IMM!N41)</f>
        <v/>
      </c>
      <c r="AK42" s="16" t="str">
        <f t="shared" si="5"/>
        <v/>
      </c>
      <c r="AL42" s="16" t="str">
        <f t="shared" si="6"/>
        <v/>
      </c>
      <c r="AM42" s="2" t="str">
        <f t="shared" si="7"/>
        <v/>
      </c>
      <c r="AN42" s="16" t="str">
        <f t="shared" si="8"/>
        <v/>
      </c>
    </row>
    <row r="43" spans="4:40">
      <c r="D43" s="13" t="e">
        <f>#REF!</f>
        <v>#REF!</v>
      </c>
      <c r="G43" s="17" t="s">
        <v>1006</v>
      </c>
      <c r="H43" s="3" t="s">
        <v>1075</v>
      </c>
      <c r="I43" s="3" t="s">
        <v>1076</v>
      </c>
      <c r="L43" s="2" t="s">
        <v>1077</v>
      </c>
      <c r="M43" s="2" t="s">
        <v>1078</v>
      </c>
      <c r="N43" s="18" t="s">
        <v>1079</v>
      </c>
      <c r="R43" s="2" t="str">
        <f>IF(ISERROR(VLOOKUP([1]IMM!F42,Table8[[#All],[Column2]:[Column3]],2,FALSE)),"",(VLOOKUP([1]IMM!F42,Table8[[#All],[Column2]:[Column3]],2,FALSE)))</f>
        <v/>
      </c>
      <c r="U43" s="2" t="str">
        <f>IF([1]IMM!P42="","",[1]IMM!P42)</f>
        <v/>
      </c>
      <c r="V43" s="2" t="str">
        <f t="shared" si="0"/>
        <v/>
      </c>
      <c r="W43" s="2" t="str">
        <f t="shared" si="1"/>
        <v/>
      </c>
      <c r="X43" s="2" t="str">
        <f t="shared" si="2"/>
        <v/>
      </c>
      <c r="Y43" s="16" t="str">
        <f t="shared" si="3"/>
        <v/>
      </c>
      <c r="Z43" s="16"/>
      <c r="AB43" s="19" t="s">
        <v>1080</v>
      </c>
      <c r="AC43" s="3" t="s">
        <v>210</v>
      </c>
      <c r="AE43" s="3" t="str">
        <f>[1]Country!E42</f>
        <v>KY</v>
      </c>
      <c r="AF43" s="3" t="str">
        <f>[1]Country!C42</f>
        <v>Cayman Islands</v>
      </c>
      <c r="AH43" s="3" t="str">
        <f t="shared" si="4"/>
        <v/>
      </c>
      <c r="AJ43" s="2" t="str">
        <f>IF([1]IMM!N42="","",[1]IMM!N42)</f>
        <v/>
      </c>
      <c r="AK43" s="16" t="str">
        <f t="shared" si="5"/>
        <v/>
      </c>
      <c r="AL43" s="16" t="str">
        <f t="shared" si="6"/>
        <v/>
      </c>
      <c r="AM43" s="2" t="str">
        <f t="shared" si="7"/>
        <v/>
      </c>
      <c r="AN43" s="16" t="str">
        <f t="shared" si="8"/>
        <v/>
      </c>
    </row>
    <row r="44" spans="4:40">
      <c r="D44" s="13" t="e">
        <f>#REF!</f>
        <v>#REF!</v>
      </c>
      <c r="G44" s="17" t="s">
        <v>963</v>
      </c>
      <c r="H44" s="3" t="s">
        <v>1081</v>
      </c>
      <c r="I44" s="3" t="s">
        <v>1082</v>
      </c>
      <c r="L44" s="2" t="s">
        <v>1083</v>
      </c>
      <c r="M44" s="2" t="s">
        <v>1084</v>
      </c>
      <c r="N44" s="18" t="s">
        <v>1085</v>
      </c>
      <c r="R44" s="2" t="str">
        <f>IF(ISERROR(VLOOKUP([1]IMM!F43,Table8[[#All],[Column2]:[Column3]],2,FALSE)),"",(VLOOKUP([1]IMM!F43,Table8[[#All],[Column2]:[Column3]],2,FALSE)))</f>
        <v/>
      </c>
      <c r="U44" s="2" t="str">
        <f>IF([1]IMM!P43="","",[1]IMM!P43)</f>
        <v/>
      </c>
      <c r="V44" s="2" t="str">
        <f t="shared" si="0"/>
        <v/>
      </c>
      <c r="W44" s="2" t="str">
        <f t="shared" si="1"/>
        <v/>
      </c>
      <c r="X44" s="2" t="str">
        <f t="shared" si="2"/>
        <v/>
      </c>
      <c r="Y44" s="16" t="str">
        <f t="shared" si="3"/>
        <v/>
      </c>
      <c r="Z44" s="16"/>
      <c r="AB44" s="19" t="s">
        <v>1086</v>
      </c>
      <c r="AC44" s="3" t="s">
        <v>501</v>
      </c>
      <c r="AE44" s="3" t="str">
        <f>[1]Country!E43</f>
        <v>CF</v>
      </c>
      <c r="AF44" s="3" t="str">
        <f>[1]Country!C43</f>
        <v>Central African Republic</v>
      </c>
      <c r="AH44" s="3" t="str">
        <f t="shared" si="4"/>
        <v/>
      </c>
      <c r="AJ44" s="2" t="str">
        <f>IF([1]IMM!N43="","",[1]IMM!N43)</f>
        <v/>
      </c>
      <c r="AK44" s="16" t="str">
        <f t="shared" si="5"/>
        <v/>
      </c>
      <c r="AL44" s="16" t="str">
        <f t="shared" si="6"/>
        <v/>
      </c>
      <c r="AM44" s="2" t="str">
        <f t="shared" si="7"/>
        <v/>
      </c>
      <c r="AN44" s="16" t="str">
        <f t="shared" si="8"/>
        <v/>
      </c>
    </row>
    <row r="45" spans="4:40">
      <c r="D45" s="13" t="e">
        <f>#REF!</f>
        <v>#REF!</v>
      </c>
      <c r="G45" s="17" t="s">
        <v>1019</v>
      </c>
      <c r="H45" s="3" t="s">
        <v>125</v>
      </c>
      <c r="I45" s="3" t="s">
        <v>125</v>
      </c>
      <c r="L45" s="2" t="s">
        <v>1087</v>
      </c>
      <c r="M45" s="2" t="s">
        <v>1088</v>
      </c>
      <c r="N45" s="18" t="s">
        <v>1089</v>
      </c>
      <c r="R45" s="2" t="str">
        <f>IF(ISERROR(VLOOKUP([1]IMM!F44,Table8[[#All],[Column2]:[Column3]],2,FALSE)),"",(VLOOKUP([1]IMM!F44,Table8[[#All],[Column2]:[Column3]],2,FALSE)))</f>
        <v/>
      </c>
      <c r="U45" s="2" t="str">
        <f>IF([1]IMM!P44="","",[1]IMM!P44)</f>
        <v/>
      </c>
      <c r="V45" s="2" t="str">
        <f t="shared" si="0"/>
        <v/>
      </c>
      <c r="W45" s="2" t="str">
        <f t="shared" si="1"/>
        <v/>
      </c>
      <c r="X45" s="2" t="str">
        <f t="shared" si="2"/>
        <v/>
      </c>
      <c r="Y45" s="16" t="str">
        <f t="shared" si="3"/>
        <v/>
      </c>
      <c r="Z45" s="16"/>
      <c r="AB45" s="19" t="s">
        <v>1090</v>
      </c>
      <c r="AC45" s="3" t="s">
        <v>513</v>
      </c>
      <c r="AE45" s="3" t="str">
        <f>[1]Country!E44</f>
        <v>TD</v>
      </c>
      <c r="AF45" s="3" t="str">
        <f>[1]Country!C44</f>
        <v>Chad</v>
      </c>
      <c r="AH45" s="3" t="str">
        <f t="shared" si="4"/>
        <v/>
      </c>
      <c r="AJ45" s="2" t="str">
        <f>IF([1]IMM!N44="","",[1]IMM!N44)</f>
        <v/>
      </c>
      <c r="AK45" s="16" t="str">
        <f t="shared" si="5"/>
        <v/>
      </c>
      <c r="AL45" s="16" t="str">
        <f t="shared" si="6"/>
        <v/>
      </c>
      <c r="AM45" s="2" t="str">
        <f t="shared" si="7"/>
        <v/>
      </c>
      <c r="AN45" s="16" t="str">
        <f t="shared" si="8"/>
        <v/>
      </c>
    </row>
    <row r="46" spans="4:40">
      <c r="D46" s="13" t="e">
        <f>#REF!</f>
        <v>#REF!</v>
      </c>
      <c r="G46" s="17" t="s">
        <v>1056</v>
      </c>
      <c r="H46" s="3" t="s">
        <v>1091</v>
      </c>
      <c r="I46" s="3" t="s">
        <v>1092</v>
      </c>
      <c r="L46" s="2" t="s">
        <v>1093</v>
      </c>
      <c r="M46" s="2" t="s">
        <v>907</v>
      </c>
      <c r="N46" s="18" t="s">
        <v>1094</v>
      </c>
      <c r="R46" s="2" t="str">
        <f>IF(ISERROR(VLOOKUP([1]IMM!F45,Table8[[#All],[Column2]:[Column3]],2,FALSE)),"",(VLOOKUP([1]IMM!F45,Table8[[#All],[Column2]:[Column3]],2,FALSE)))</f>
        <v/>
      </c>
      <c r="U46" s="2" t="str">
        <f>IF([1]IMM!P45="","",[1]IMM!P45)</f>
        <v/>
      </c>
      <c r="V46" s="2" t="str">
        <f t="shared" si="0"/>
        <v/>
      </c>
      <c r="W46" s="2" t="str">
        <f t="shared" si="1"/>
        <v/>
      </c>
      <c r="X46" s="2" t="str">
        <f t="shared" si="2"/>
        <v/>
      </c>
      <c r="Y46" s="16" t="str">
        <f t="shared" si="3"/>
        <v/>
      </c>
      <c r="Z46" s="16"/>
      <c r="AB46" s="19" t="s">
        <v>1095</v>
      </c>
      <c r="AC46" s="3" t="s">
        <v>552</v>
      </c>
      <c r="AE46" s="3" t="str">
        <f>[1]Country!E45</f>
        <v>CL</v>
      </c>
      <c r="AF46" s="3" t="str">
        <f>[1]Country!C45</f>
        <v>Chile</v>
      </c>
      <c r="AH46" s="3" t="str">
        <f t="shared" si="4"/>
        <v>CHL</v>
      </c>
      <c r="AJ46" s="2" t="str">
        <f>IF([1]IMM!N45="","",[1]IMM!N45)</f>
        <v/>
      </c>
      <c r="AK46" s="16" t="str">
        <f t="shared" si="5"/>
        <v/>
      </c>
      <c r="AL46" s="16" t="str">
        <f t="shared" si="6"/>
        <v/>
      </c>
      <c r="AM46" s="2" t="str">
        <f t="shared" si="7"/>
        <v/>
      </c>
      <c r="AN46" s="16" t="str">
        <f t="shared" si="8"/>
        <v/>
      </c>
    </row>
    <row r="47" spans="4:40">
      <c r="D47" s="13" t="e">
        <f>#REF!</f>
        <v>#REF!</v>
      </c>
      <c r="G47" s="17" t="s">
        <v>1063</v>
      </c>
      <c r="H47" s="3" t="s">
        <v>1096</v>
      </c>
      <c r="I47" s="3" t="s">
        <v>1097</v>
      </c>
      <c r="L47" s="2" t="s">
        <v>1098</v>
      </c>
      <c r="M47" s="2" t="s">
        <v>914</v>
      </c>
      <c r="N47" s="18" t="s">
        <v>1099</v>
      </c>
      <c r="R47" s="2" t="str">
        <f>IF(ISERROR(VLOOKUP([1]IMM!F46,Table8[[#All],[Column2]:[Column3]],2,FALSE)),"",(VLOOKUP([1]IMM!F46,Table8[[#All],[Column2]:[Column3]],2,FALSE)))</f>
        <v/>
      </c>
      <c r="U47" s="2" t="str">
        <f>IF([1]IMM!P46="","",[1]IMM!P46)</f>
        <v/>
      </c>
      <c r="V47" s="2" t="str">
        <f t="shared" si="0"/>
        <v/>
      </c>
      <c r="W47" s="2" t="str">
        <f t="shared" si="1"/>
        <v/>
      </c>
      <c r="X47" s="2" t="str">
        <f t="shared" si="2"/>
        <v/>
      </c>
      <c r="Y47" s="16" t="str">
        <f t="shared" si="3"/>
        <v/>
      </c>
      <c r="Z47" s="16"/>
      <c r="AB47" s="19" t="s">
        <v>1100</v>
      </c>
      <c r="AC47" s="3" t="s">
        <v>555</v>
      </c>
      <c r="AE47" s="3" t="str">
        <f>[1]Country!E46</f>
        <v>CN</v>
      </c>
      <c r="AF47" s="3" t="str">
        <f>[1]Country!C46</f>
        <v>China</v>
      </c>
      <c r="AH47" s="3" t="str">
        <f t="shared" si="4"/>
        <v>CHN</v>
      </c>
      <c r="AJ47" s="2" t="str">
        <f>IF([1]IMM!N46="","",[1]IMM!N46)</f>
        <v/>
      </c>
      <c r="AK47" s="16" t="str">
        <f t="shared" si="5"/>
        <v/>
      </c>
      <c r="AL47" s="16" t="str">
        <f t="shared" si="6"/>
        <v/>
      </c>
      <c r="AM47" s="2" t="str">
        <f t="shared" si="7"/>
        <v/>
      </c>
      <c r="AN47" s="16" t="str">
        <f t="shared" si="8"/>
        <v/>
      </c>
    </row>
    <row r="48" spans="4:40">
      <c r="D48" s="13" t="e">
        <f>#REF!</f>
        <v>#REF!</v>
      </c>
      <c r="G48" s="17" t="s">
        <v>1068</v>
      </c>
      <c r="H48" s="3" t="s">
        <v>1101</v>
      </c>
      <c r="I48" s="3" t="s">
        <v>1102</v>
      </c>
      <c r="L48" s="2" t="s">
        <v>1103</v>
      </c>
      <c r="M48" s="2" t="s">
        <v>1104</v>
      </c>
      <c r="N48" s="18" t="s">
        <v>1105</v>
      </c>
      <c r="R48" s="2" t="str">
        <f>IF(ISERROR(VLOOKUP([1]IMM!F47,Table8[[#All],[Column2]:[Column3]],2,FALSE)),"",(VLOOKUP([1]IMM!F47,Table8[[#All],[Column2]:[Column3]],2,FALSE)))</f>
        <v/>
      </c>
      <c r="U48" s="2" t="str">
        <f>IF([1]IMM!P47="","",[1]IMM!P47)</f>
        <v/>
      </c>
      <c r="V48" s="2" t="str">
        <f t="shared" si="0"/>
        <v/>
      </c>
      <c r="W48" s="2" t="str">
        <f t="shared" si="1"/>
        <v/>
      </c>
      <c r="X48" s="2" t="str">
        <f t="shared" si="2"/>
        <v/>
      </c>
      <c r="Y48" s="16" t="str">
        <f t="shared" si="3"/>
        <v/>
      </c>
      <c r="Z48" s="16"/>
      <c r="AB48" s="19" t="s">
        <v>1106</v>
      </c>
      <c r="AC48" s="3" t="s">
        <v>558</v>
      </c>
      <c r="AE48" s="3" t="str">
        <f>[1]Country!E47</f>
        <v>CX</v>
      </c>
      <c r="AF48" s="3" t="str">
        <f>[1]Country!C47</f>
        <v>Christmas Island</v>
      </c>
      <c r="AH48" s="3" t="str">
        <f t="shared" si="4"/>
        <v/>
      </c>
      <c r="AJ48" s="2" t="str">
        <f>IF([1]IMM!N47="","",[1]IMM!N47)</f>
        <v/>
      </c>
      <c r="AK48" s="16" t="str">
        <f t="shared" si="5"/>
        <v/>
      </c>
      <c r="AL48" s="16" t="str">
        <f t="shared" si="6"/>
        <v/>
      </c>
      <c r="AM48" s="2" t="str">
        <f t="shared" si="7"/>
        <v/>
      </c>
      <c r="AN48" s="16" t="str">
        <f t="shared" si="8"/>
        <v/>
      </c>
    </row>
    <row r="49" spans="4:40">
      <c r="D49" s="13" t="e">
        <f>#REF!</f>
        <v>#REF!</v>
      </c>
      <c r="G49" s="17" t="s">
        <v>138</v>
      </c>
      <c r="H49" s="3" t="s">
        <v>1107</v>
      </c>
      <c r="I49" s="3" t="s">
        <v>1108</v>
      </c>
      <c r="L49" s="2" t="s">
        <v>1109</v>
      </c>
      <c r="M49" s="2" t="s">
        <v>1110</v>
      </c>
      <c r="N49" s="18" t="s">
        <v>1111</v>
      </c>
      <c r="R49" s="2" t="str">
        <f>IF(ISERROR(VLOOKUP([1]IMM!F48,Table8[[#All],[Column2]:[Column3]],2,FALSE)),"",(VLOOKUP([1]IMM!F48,Table8[[#All],[Column2]:[Column3]],2,FALSE)))</f>
        <v/>
      </c>
      <c r="U49" s="2" t="str">
        <f>IF([1]IMM!P48="","",[1]IMM!P48)</f>
        <v/>
      </c>
      <c r="V49" s="2" t="str">
        <f t="shared" si="0"/>
        <v/>
      </c>
      <c r="W49" s="2" t="str">
        <f t="shared" si="1"/>
        <v/>
      </c>
      <c r="X49" s="2" t="str">
        <f t="shared" si="2"/>
        <v/>
      </c>
      <c r="Y49" s="16" t="str">
        <f t="shared" si="3"/>
        <v/>
      </c>
      <c r="Z49" s="16"/>
      <c r="AB49" s="19" t="s">
        <v>1112</v>
      </c>
      <c r="AC49" s="3" t="s">
        <v>582</v>
      </c>
      <c r="AE49" s="3" t="str">
        <f>[1]Country!E48</f>
        <v>CC</v>
      </c>
      <c r="AF49" s="3" t="str">
        <f>[1]Country!C48</f>
        <v>Cocos (Keeling) Islands</v>
      </c>
      <c r="AH49" s="3" t="str">
        <f t="shared" si="4"/>
        <v/>
      </c>
      <c r="AJ49" s="2" t="str">
        <f>IF([1]IMM!N48="","",[1]IMM!N48)</f>
        <v/>
      </c>
      <c r="AK49" s="16" t="str">
        <f t="shared" si="5"/>
        <v/>
      </c>
      <c r="AL49" s="16" t="str">
        <f t="shared" si="6"/>
        <v/>
      </c>
      <c r="AM49" s="2" t="str">
        <f t="shared" si="7"/>
        <v/>
      </c>
      <c r="AN49" s="16" t="str">
        <f t="shared" si="8"/>
        <v/>
      </c>
    </row>
    <row r="50" spans="4:40">
      <c r="D50" s="13" t="e">
        <f>#REF!</f>
        <v>#REF!</v>
      </c>
      <c r="G50" s="17" t="s">
        <v>1079</v>
      </c>
      <c r="H50" s="3" t="s">
        <v>1113</v>
      </c>
      <c r="I50" s="3" t="s">
        <v>1114</v>
      </c>
      <c r="L50" s="2" t="s">
        <v>1115</v>
      </c>
      <c r="M50" s="2" t="s">
        <v>919</v>
      </c>
      <c r="N50" s="18" t="s">
        <v>1116</v>
      </c>
      <c r="R50" s="2" t="str">
        <f>IF(ISERROR(VLOOKUP([1]IMM!F49,Table8[[#All],[Column2]:[Column3]],2,FALSE)),"",(VLOOKUP([1]IMM!F49,Table8[[#All],[Column2]:[Column3]],2,FALSE)))</f>
        <v/>
      </c>
      <c r="U50" s="2" t="str">
        <f>IF([1]IMM!P49="","",[1]IMM!P49)</f>
        <v/>
      </c>
      <c r="V50" s="2" t="str">
        <f t="shared" si="0"/>
        <v/>
      </c>
      <c r="W50" s="2" t="str">
        <f t="shared" si="1"/>
        <v/>
      </c>
      <c r="X50" s="2" t="str">
        <f t="shared" si="2"/>
        <v/>
      </c>
      <c r="Y50" s="16" t="str">
        <f t="shared" si="3"/>
        <v/>
      </c>
      <c r="Z50" s="16"/>
      <c r="AB50" s="19" t="s">
        <v>1117</v>
      </c>
      <c r="AC50" s="3" t="s">
        <v>681</v>
      </c>
      <c r="AE50" s="3" t="str">
        <f>[1]Country!E49</f>
        <v>CO</v>
      </c>
      <c r="AF50" s="3" t="str">
        <f>[1]Country!C49</f>
        <v>Colombia</v>
      </c>
      <c r="AH50" s="3" t="str">
        <f t="shared" si="4"/>
        <v>COL</v>
      </c>
      <c r="AJ50" s="2" t="str">
        <f>IF([1]IMM!N49="","",[1]IMM!N49)</f>
        <v/>
      </c>
      <c r="AK50" s="16" t="str">
        <f t="shared" si="5"/>
        <v/>
      </c>
      <c r="AL50" s="16" t="str">
        <f t="shared" si="6"/>
        <v/>
      </c>
      <c r="AM50" s="2" t="str">
        <f t="shared" si="7"/>
        <v/>
      </c>
      <c r="AN50" s="16" t="str">
        <f t="shared" si="8"/>
        <v/>
      </c>
    </row>
    <row r="51" spans="4:40">
      <c r="D51" s="13" t="e">
        <f>#REF!</f>
        <v>#REF!</v>
      </c>
      <c r="G51" s="17" t="s">
        <v>1085</v>
      </c>
      <c r="H51" s="3" t="s">
        <v>1118</v>
      </c>
      <c r="I51" s="3" t="s">
        <v>1119</v>
      </c>
      <c r="L51" s="2" t="s">
        <v>1120</v>
      </c>
      <c r="M51" s="2" t="s">
        <v>1121</v>
      </c>
      <c r="N51" s="18" t="s">
        <v>1122</v>
      </c>
      <c r="R51" s="2" t="str">
        <f>IF(ISERROR(VLOOKUP([1]IMM!F50,Table8[[#All],[Column2]:[Column3]],2,FALSE)),"",(VLOOKUP([1]IMM!F50,Table8[[#All],[Column2]:[Column3]],2,FALSE)))</f>
        <v/>
      </c>
      <c r="U51" s="2" t="str">
        <f>IF([1]IMM!P50="","",[1]IMM!P50)</f>
        <v/>
      </c>
      <c r="V51" s="2" t="str">
        <f t="shared" si="0"/>
        <v/>
      </c>
      <c r="W51" s="2" t="str">
        <f t="shared" si="1"/>
        <v/>
      </c>
      <c r="X51" s="2" t="str">
        <f t="shared" si="2"/>
        <v/>
      </c>
      <c r="Y51" s="16" t="str">
        <f t="shared" si="3"/>
        <v/>
      </c>
      <c r="Z51" s="16"/>
      <c r="AB51" s="19" t="s">
        <v>1123</v>
      </c>
      <c r="AC51" s="3" t="s">
        <v>585</v>
      </c>
      <c r="AE51" s="3" t="str">
        <f>[1]Country!E50</f>
        <v>KM</v>
      </c>
      <c r="AF51" s="3" t="str">
        <f>[1]Country!C50</f>
        <v>Comoros</v>
      </c>
      <c r="AH51" s="3" t="str">
        <f t="shared" si="4"/>
        <v/>
      </c>
      <c r="AJ51" s="2" t="str">
        <f>IF([1]IMM!N50="","",[1]IMM!N50)</f>
        <v/>
      </c>
      <c r="AK51" s="16" t="str">
        <f t="shared" si="5"/>
        <v/>
      </c>
      <c r="AL51" s="16" t="str">
        <f t="shared" si="6"/>
        <v/>
      </c>
      <c r="AM51" s="2" t="str">
        <f t="shared" si="7"/>
        <v/>
      </c>
      <c r="AN51" s="16" t="str">
        <f t="shared" si="8"/>
        <v/>
      </c>
    </row>
    <row r="52" spans="4:40">
      <c r="D52" s="13" t="e">
        <f>#REF!</f>
        <v>#REF!</v>
      </c>
      <c r="G52" s="17" t="s">
        <v>1124</v>
      </c>
      <c r="H52" s="3" t="s">
        <v>1125</v>
      </c>
      <c r="I52" s="3" t="s">
        <v>1126</v>
      </c>
      <c r="L52" s="2" t="s">
        <v>1127</v>
      </c>
      <c r="M52" s="2" t="s">
        <v>1128</v>
      </c>
      <c r="N52" s="18" t="s">
        <v>1129</v>
      </c>
      <c r="R52" s="2" t="str">
        <f>IF(ISERROR(VLOOKUP([1]IMM!F51,Table8[[#All],[Column2]:[Column3]],2,FALSE)),"",(VLOOKUP([1]IMM!F51,Table8[[#All],[Column2]:[Column3]],2,FALSE)))</f>
        <v/>
      </c>
      <c r="U52" s="2" t="str">
        <f>IF([1]IMM!P51="","",[1]IMM!P51)</f>
        <v/>
      </c>
      <c r="V52" s="2" t="str">
        <f t="shared" si="0"/>
        <v/>
      </c>
      <c r="W52" s="2" t="str">
        <f t="shared" si="1"/>
        <v/>
      </c>
      <c r="X52" s="2" t="str">
        <f t="shared" si="2"/>
        <v/>
      </c>
      <c r="Y52" s="16" t="str">
        <f t="shared" si="3"/>
        <v/>
      </c>
      <c r="Z52" s="16"/>
      <c r="AB52" s="19" t="s">
        <v>1130</v>
      </c>
      <c r="AC52" s="3" t="s">
        <v>594</v>
      </c>
      <c r="AE52" s="3" t="str">
        <f>[1]Country!E51</f>
        <v>CG</v>
      </c>
      <c r="AF52" s="3" t="str">
        <f>[1]Country!C51</f>
        <v>Congo</v>
      </c>
      <c r="AH52" s="3" t="str">
        <f t="shared" si="4"/>
        <v/>
      </c>
      <c r="AJ52" s="2" t="str">
        <f>IF([1]IMM!N51="","",[1]IMM!N51)</f>
        <v/>
      </c>
      <c r="AK52" s="16" t="str">
        <f t="shared" si="5"/>
        <v/>
      </c>
      <c r="AL52" s="16" t="str">
        <f t="shared" si="6"/>
        <v/>
      </c>
      <c r="AM52" s="2" t="str">
        <f t="shared" si="7"/>
        <v/>
      </c>
      <c r="AN52" s="16" t="str">
        <f t="shared" si="8"/>
        <v/>
      </c>
    </row>
    <row r="53" spans="4:40">
      <c r="D53" s="13" t="e">
        <f>#REF!</f>
        <v>#REF!</v>
      </c>
      <c r="G53" s="17" t="s">
        <v>1089</v>
      </c>
      <c r="H53" s="3" t="s">
        <v>1131</v>
      </c>
      <c r="I53" s="3" t="s">
        <v>1132</v>
      </c>
      <c r="L53" s="2" t="s">
        <v>866</v>
      </c>
      <c r="M53" s="2" t="s">
        <v>1133</v>
      </c>
      <c r="N53" s="18"/>
      <c r="R53" s="2" t="str">
        <f>IF(ISERROR(VLOOKUP([1]IMM!F52,Table8[[#All],[Column2]:[Column3]],2,FALSE)),"",(VLOOKUP([1]IMM!F52,Table8[[#All],[Column2]:[Column3]],2,FALSE)))</f>
        <v/>
      </c>
      <c r="U53" s="2" t="str">
        <f>IF([1]IMM!P52="","",[1]IMM!P52)</f>
        <v/>
      </c>
      <c r="V53" s="2" t="str">
        <f t="shared" si="0"/>
        <v/>
      </c>
      <c r="W53" s="2" t="str">
        <f t="shared" si="1"/>
        <v/>
      </c>
      <c r="X53" s="2" t="str">
        <f t="shared" si="2"/>
        <v/>
      </c>
      <c r="Y53" s="16" t="str">
        <f t="shared" si="3"/>
        <v/>
      </c>
      <c r="Z53" s="16"/>
      <c r="AB53" s="19" t="s">
        <v>1134</v>
      </c>
      <c r="AC53" s="3" t="s">
        <v>609</v>
      </c>
      <c r="AE53" s="3" t="str">
        <f>[1]Country!E52</f>
        <v>CD</v>
      </c>
      <c r="AF53" s="3" t="str">
        <f>[1]Country!C52</f>
        <v>Congo, The Democratic Republic of the</v>
      </c>
      <c r="AH53" s="3" t="str">
        <f t="shared" si="4"/>
        <v/>
      </c>
      <c r="AJ53" s="2" t="str">
        <f>IF([1]IMM!N52="","",[1]IMM!N52)</f>
        <v/>
      </c>
      <c r="AK53" s="16" t="str">
        <f t="shared" si="5"/>
        <v/>
      </c>
      <c r="AL53" s="16" t="str">
        <f t="shared" si="6"/>
        <v/>
      </c>
      <c r="AM53" s="2" t="str">
        <f t="shared" si="7"/>
        <v/>
      </c>
      <c r="AN53" s="16" t="str">
        <f t="shared" si="8"/>
        <v/>
      </c>
    </row>
    <row r="54" spans="4:40">
      <c r="D54" s="13" t="e">
        <f>#REF!</f>
        <v>#REF!</v>
      </c>
      <c r="G54" s="17" t="s">
        <v>1094</v>
      </c>
      <c r="H54" s="3" t="s">
        <v>1135</v>
      </c>
      <c r="I54" s="3" t="s">
        <v>1136</v>
      </c>
      <c r="L54" s="2" t="s">
        <v>1137</v>
      </c>
      <c r="M54" s="2" t="s">
        <v>1138</v>
      </c>
      <c r="N54" s="18" t="s">
        <v>1139</v>
      </c>
      <c r="R54" s="2" t="str">
        <f>IF(ISERROR(VLOOKUP([1]IMM!F53,Table8[[#All],[Column2]:[Column3]],2,FALSE)),"",(VLOOKUP([1]IMM!F53,Table8[[#All],[Column2]:[Column3]],2,FALSE)))</f>
        <v/>
      </c>
      <c r="U54" s="2" t="str">
        <f>IF([1]IMM!P53="","",[1]IMM!P53)</f>
        <v/>
      </c>
      <c r="V54" s="2" t="str">
        <f t="shared" si="0"/>
        <v/>
      </c>
      <c r="W54" s="2" t="str">
        <f t="shared" si="1"/>
        <v/>
      </c>
      <c r="X54" s="2" t="str">
        <f t="shared" si="2"/>
        <v/>
      </c>
      <c r="Y54" s="16" t="str">
        <f t="shared" si="3"/>
        <v/>
      </c>
      <c r="Z54" s="16"/>
      <c r="AB54" s="19" t="s">
        <v>1140</v>
      </c>
      <c r="AC54" s="3" t="s">
        <v>615</v>
      </c>
      <c r="AE54" s="3" t="str">
        <f>[1]Country!E53</f>
        <v>CK</v>
      </c>
      <c r="AF54" s="3" t="str">
        <f>[1]Country!C53</f>
        <v>Cook Island</v>
      </c>
      <c r="AH54" s="3" t="str">
        <f t="shared" si="4"/>
        <v/>
      </c>
      <c r="AJ54" s="2" t="str">
        <f>IF([1]IMM!N53="","",[1]IMM!N53)</f>
        <v/>
      </c>
      <c r="AK54" s="16" t="str">
        <f t="shared" si="5"/>
        <v/>
      </c>
      <c r="AL54" s="16" t="str">
        <f t="shared" si="6"/>
        <v/>
      </c>
      <c r="AM54" s="2" t="str">
        <f t="shared" si="7"/>
        <v/>
      </c>
      <c r="AN54" s="16" t="str">
        <f t="shared" si="8"/>
        <v/>
      </c>
    </row>
    <row r="55" spans="4:40">
      <c r="D55" s="13" t="e">
        <f>#REF!</f>
        <v>#REF!</v>
      </c>
      <c r="G55" s="17" t="s">
        <v>1099</v>
      </c>
      <c r="H55" s="3" t="s">
        <v>1141</v>
      </c>
      <c r="I55" s="3" t="s">
        <v>1142</v>
      </c>
      <c r="L55" s="2" t="s">
        <v>1143</v>
      </c>
      <c r="M55" s="2" t="s">
        <v>1144</v>
      </c>
      <c r="N55" s="18" t="s">
        <v>1145</v>
      </c>
      <c r="R55" s="2" t="str">
        <f>IF(ISERROR(VLOOKUP([1]IMM!F54,Table8[[#All],[Column2]:[Column3]],2,FALSE)),"",(VLOOKUP([1]IMM!F54,Table8[[#All],[Column2]:[Column3]],2,FALSE)))</f>
        <v/>
      </c>
      <c r="U55" s="2" t="str">
        <f>IF([1]IMM!P54="","",[1]IMM!P54)</f>
        <v/>
      </c>
      <c r="V55" s="2" t="str">
        <f t="shared" si="0"/>
        <v/>
      </c>
      <c r="W55" s="2" t="str">
        <f t="shared" si="1"/>
        <v/>
      </c>
      <c r="X55" s="2" t="str">
        <f t="shared" si="2"/>
        <v/>
      </c>
      <c r="Y55" s="16" t="str">
        <f t="shared" si="3"/>
        <v/>
      </c>
      <c r="Z55" s="16"/>
      <c r="AB55" s="19" t="s">
        <v>1146</v>
      </c>
      <c r="AC55" s="3" t="s">
        <v>618</v>
      </c>
      <c r="AE55" s="3" t="str">
        <f>[1]Country!E54</f>
        <v>CR</v>
      </c>
      <c r="AF55" s="3" t="str">
        <f>[1]Country!C54</f>
        <v>Costa Rica</v>
      </c>
      <c r="AH55" s="3" t="str">
        <f t="shared" si="4"/>
        <v/>
      </c>
      <c r="AJ55" s="2" t="str">
        <f>IF([1]IMM!N54="","",[1]IMM!N54)</f>
        <v/>
      </c>
      <c r="AK55" s="16" t="str">
        <f t="shared" si="5"/>
        <v/>
      </c>
      <c r="AL55" s="16" t="str">
        <f t="shared" si="6"/>
        <v/>
      </c>
      <c r="AM55" s="2" t="str">
        <f t="shared" si="7"/>
        <v/>
      </c>
      <c r="AN55" s="16" t="str">
        <f t="shared" si="8"/>
        <v/>
      </c>
    </row>
    <row r="56" spans="4:40">
      <c r="D56" s="13" t="e">
        <f>#REF!</f>
        <v>#REF!</v>
      </c>
      <c r="G56" s="17" t="s">
        <v>1116</v>
      </c>
      <c r="H56" s="3" t="s">
        <v>1147</v>
      </c>
      <c r="I56" s="3" t="s">
        <v>1148</v>
      </c>
      <c r="L56" s="2" t="s">
        <v>1149</v>
      </c>
      <c r="M56" s="2" t="s">
        <v>1150</v>
      </c>
      <c r="N56" s="18"/>
      <c r="R56" s="2" t="str">
        <f>IF(ISERROR(VLOOKUP([1]IMM!F55,Table8[[#All],[Column2]:[Column3]],2,FALSE)),"",(VLOOKUP([1]IMM!F55,Table8[[#All],[Column2]:[Column3]],2,FALSE)))</f>
        <v/>
      </c>
      <c r="U56" s="2" t="str">
        <f>IF([1]IMM!P55="","",[1]IMM!P55)</f>
        <v/>
      </c>
      <c r="V56" s="2" t="str">
        <f t="shared" si="0"/>
        <v/>
      </c>
      <c r="W56" s="2" t="str">
        <f t="shared" si="1"/>
        <v/>
      </c>
      <c r="X56" s="2" t="str">
        <f t="shared" si="2"/>
        <v/>
      </c>
      <c r="Y56" s="16" t="str">
        <f t="shared" si="3"/>
        <v/>
      </c>
      <c r="Z56" s="16"/>
      <c r="AB56" s="19" t="s">
        <v>1151</v>
      </c>
      <c r="AC56" s="3" t="s">
        <v>147</v>
      </c>
      <c r="AE56" s="3" t="str">
        <f>[1]Country!E55</f>
        <v>CI</v>
      </c>
      <c r="AF56" s="3" t="str">
        <f>[1]Country!C55</f>
        <v>Cote D'Ivoire</v>
      </c>
      <c r="AH56" s="3" t="str">
        <f t="shared" si="4"/>
        <v/>
      </c>
      <c r="AJ56" s="2" t="str">
        <f>IF([1]IMM!N55="","",[1]IMM!N55)</f>
        <v/>
      </c>
      <c r="AK56" s="16" t="str">
        <f t="shared" si="5"/>
        <v/>
      </c>
      <c r="AL56" s="16" t="str">
        <f t="shared" si="6"/>
        <v/>
      </c>
      <c r="AM56" s="2" t="str">
        <f t="shared" si="7"/>
        <v/>
      </c>
      <c r="AN56" s="16" t="str">
        <f t="shared" si="8"/>
        <v/>
      </c>
    </row>
    <row r="57" spans="4:40">
      <c r="D57" s="13" t="e">
        <f>#REF!</f>
        <v>#REF!</v>
      </c>
      <c r="G57" s="17" t="s">
        <v>1129</v>
      </c>
      <c r="H57" s="3" t="s">
        <v>1152</v>
      </c>
      <c r="I57" s="3" t="s">
        <v>1153</v>
      </c>
      <c r="L57" s="2" t="s">
        <v>1154</v>
      </c>
      <c r="M57" s="2" t="s">
        <v>924</v>
      </c>
      <c r="N57" s="18" t="s">
        <v>1155</v>
      </c>
      <c r="R57" s="2" t="str">
        <f>IF(ISERROR(VLOOKUP([1]IMM!F56,Table8[[#All],[Column2]:[Column3]],2,FALSE)),"",(VLOOKUP([1]IMM!F56,Table8[[#All],[Column2]:[Column3]],2,FALSE)))</f>
        <v/>
      </c>
      <c r="U57" s="2" t="str">
        <f>IF([1]IMM!P56="","",[1]IMM!P56)</f>
        <v/>
      </c>
      <c r="V57" s="2" t="str">
        <f t="shared" si="0"/>
        <v/>
      </c>
      <c r="W57" s="2" t="str">
        <f t="shared" si="1"/>
        <v/>
      </c>
      <c r="X57" s="2" t="str">
        <f t="shared" si="2"/>
        <v/>
      </c>
      <c r="Y57" s="16" t="str">
        <f t="shared" si="3"/>
        <v/>
      </c>
      <c r="Z57" s="16"/>
      <c r="AB57" s="19" t="s">
        <v>1156</v>
      </c>
      <c r="AC57" s="3" t="s">
        <v>633</v>
      </c>
      <c r="AE57" s="3" t="str">
        <f>[1]Country!E56</f>
        <v>HR</v>
      </c>
      <c r="AF57" s="3" t="str">
        <f>[1]Country!C56</f>
        <v>Croatia</v>
      </c>
      <c r="AH57" s="3" t="str">
        <f t="shared" si="4"/>
        <v>HRV</v>
      </c>
      <c r="AJ57" s="2" t="str">
        <f>IF([1]IMM!N56="","",[1]IMM!N56)</f>
        <v/>
      </c>
      <c r="AK57" s="16" t="str">
        <f t="shared" si="5"/>
        <v/>
      </c>
      <c r="AL57" s="16" t="str">
        <f t="shared" si="6"/>
        <v/>
      </c>
      <c r="AM57" s="2" t="str">
        <f t="shared" si="7"/>
        <v/>
      </c>
      <c r="AN57" s="16" t="str">
        <f t="shared" si="8"/>
        <v/>
      </c>
    </row>
    <row r="58" spans="4:40">
      <c r="D58" s="13" t="e">
        <f>#REF!</f>
        <v>#REF!</v>
      </c>
      <c r="G58" s="17" t="s">
        <v>1145</v>
      </c>
      <c r="H58" s="3" t="s">
        <v>1157</v>
      </c>
      <c r="I58" s="3" t="s">
        <v>1158</v>
      </c>
      <c r="L58" s="2" t="s">
        <v>1159</v>
      </c>
      <c r="M58" s="2" t="s">
        <v>1160</v>
      </c>
      <c r="N58" s="18" t="s">
        <v>1161</v>
      </c>
      <c r="R58" s="2" t="str">
        <f>IF(ISERROR(VLOOKUP([1]IMM!F57,Table8[[#All],[Column2]:[Column3]],2,FALSE)),"",(VLOOKUP([1]IMM!F57,Table8[[#All],[Column2]:[Column3]],2,FALSE)))</f>
        <v/>
      </c>
      <c r="U58" s="2" t="str">
        <f>IF([1]IMM!P57="","",[1]IMM!P57)</f>
        <v/>
      </c>
      <c r="V58" s="2" t="str">
        <f t="shared" si="0"/>
        <v/>
      </c>
      <c r="W58" s="2" t="str">
        <f t="shared" si="1"/>
        <v/>
      </c>
      <c r="X58" s="2" t="str">
        <f t="shared" si="2"/>
        <v/>
      </c>
      <c r="Y58" s="16" t="str">
        <f t="shared" si="3"/>
        <v/>
      </c>
      <c r="Z58" s="16"/>
      <c r="AB58" s="19" t="s">
        <v>1162</v>
      </c>
      <c r="AC58" s="3" t="s">
        <v>636</v>
      </c>
      <c r="AE58" s="3" t="str">
        <f>[1]Country!E57</f>
        <v>CU</v>
      </c>
      <c r="AF58" s="3" t="str">
        <f>[1]Country!C57</f>
        <v>Cuba</v>
      </c>
      <c r="AH58" s="3" t="str">
        <f t="shared" si="4"/>
        <v/>
      </c>
      <c r="AJ58" s="2" t="str">
        <f>IF([1]IMM!N57="","",[1]IMM!N57)</f>
        <v/>
      </c>
      <c r="AK58" s="16" t="str">
        <f t="shared" si="5"/>
        <v/>
      </c>
      <c r="AL58" s="16" t="str">
        <f t="shared" si="6"/>
        <v/>
      </c>
      <c r="AM58" s="2" t="str">
        <f t="shared" si="7"/>
        <v/>
      </c>
      <c r="AN58" s="16" t="str">
        <f t="shared" si="8"/>
        <v/>
      </c>
    </row>
    <row r="59" spans="4:40">
      <c r="D59" s="13" t="e">
        <f>#REF!</f>
        <v>#REF!</v>
      </c>
      <c r="G59" s="17" t="s">
        <v>1161</v>
      </c>
      <c r="H59" s="3" t="s">
        <v>1163</v>
      </c>
      <c r="I59" s="3" t="s">
        <v>1164</v>
      </c>
      <c r="L59" s="2" t="s">
        <v>1165</v>
      </c>
      <c r="M59" s="2" t="s">
        <v>1166</v>
      </c>
      <c r="N59" s="18" t="s">
        <v>171</v>
      </c>
      <c r="R59" s="2" t="str">
        <f>IF(ISERROR(VLOOKUP([1]IMM!F58,Table8[[#All],[Column2]:[Column3]],2,FALSE)),"",(VLOOKUP([1]IMM!F58,Table8[[#All],[Column2]:[Column3]],2,FALSE)))</f>
        <v/>
      </c>
      <c r="U59" s="2" t="str">
        <f>IF([1]IMM!P58="","",[1]IMM!P58)</f>
        <v/>
      </c>
      <c r="V59" s="2" t="str">
        <f t="shared" si="0"/>
        <v/>
      </c>
      <c r="W59" s="2" t="str">
        <f t="shared" si="1"/>
        <v/>
      </c>
      <c r="X59" s="2" t="str">
        <f t="shared" si="2"/>
        <v/>
      </c>
      <c r="Y59" s="16" t="str">
        <f t="shared" si="3"/>
        <v/>
      </c>
      <c r="Z59" s="16"/>
      <c r="AB59" s="19" t="s">
        <v>1167</v>
      </c>
      <c r="AC59" s="3" t="s">
        <v>639</v>
      </c>
      <c r="AE59" s="3" t="str">
        <f>[1]Country!E58</f>
        <v>CW</v>
      </c>
      <c r="AF59" s="3" t="str">
        <f>[1]Country!C58</f>
        <v>Curacao</v>
      </c>
      <c r="AH59" s="3" t="str">
        <f t="shared" si="4"/>
        <v/>
      </c>
      <c r="AJ59" s="2" t="str">
        <f>IF([1]IMM!N58="","",[1]IMM!N58)</f>
        <v/>
      </c>
      <c r="AK59" s="16" t="str">
        <f t="shared" si="5"/>
        <v/>
      </c>
      <c r="AL59" s="16" t="str">
        <f t="shared" si="6"/>
        <v/>
      </c>
      <c r="AM59" s="2" t="str">
        <f t="shared" si="7"/>
        <v/>
      </c>
      <c r="AN59" s="16" t="str">
        <f t="shared" si="8"/>
        <v/>
      </c>
    </row>
    <row r="60" spans="4:40">
      <c r="D60" s="13" t="e">
        <f>#REF!</f>
        <v>#REF!</v>
      </c>
      <c r="G60" s="17" t="s">
        <v>171</v>
      </c>
      <c r="H60" s="3" t="s">
        <v>1168</v>
      </c>
      <c r="I60" s="3" t="s">
        <v>1169</v>
      </c>
      <c r="L60" s="2" t="s">
        <v>1170</v>
      </c>
      <c r="M60" s="2" t="s">
        <v>1171</v>
      </c>
      <c r="N60" s="18" t="s">
        <v>1172</v>
      </c>
      <c r="R60" s="2" t="str">
        <f>IF(ISERROR(VLOOKUP([1]IMM!F59,Table8[[#All],[Column2]:[Column3]],2,FALSE)),"",(VLOOKUP([1]IMM!F59,Table8[[#All],[Column2]:[Column3]],2,FALSE)))</f>
        <v/>
      </c>
      <c r="U60" s="2" t="str">
        <f>IF([1]IMM!P59="","",[1]IMM!P59)</f>
        <v/>
      </c>
      <c r="V60" s="2" t="str">
        <f t="shared" si="0"/>
        <v/>
      </c>
      <c r="W60" s="2" t="str">
        <f t="shared" si="1"/>
        <v/>
      </c>
      <c r="X60" s="2" t="str">
        <f t="shared" si="2"/>
        <v/>
      </c>
      <c r="Y60" s="16" t="str">
        <f t="shared" si="3"/>
        <v/>
      </c>
      <c r="Z60" s="16"/>
      <c r="AB60" s="19" t="s">
        <v>1173</v>
      </c>
      <c r="AC60" s="3" t="s">
        <v>687</v>
      </c>
      <c r="AE60" s="3" t="str">
        <f>[1]Country!E59</f>
        <v>CY</v>
      </c>
      <c r="AF60" s="3" t="str">
        <f>[1]Country!C59</f>
        <v>Cyprus</v>
      </c>
      <c r="AH60" s="3" t="str">
        <f t="shared" si="4"/>
        <v/>
      </c>
      <c r="AJ60" s="2" t="str">
        <f>IF([1]IMM!N59="","",[1]IMM!N59)</f>
        <v/>
      </c>
      <c r="AK60" s="16" t="str">
        <f t="shared" si="5"/>
        <v/>
      </c>
      <c r="AL60" s="16" t="str">
        <f t="shared" si="6"/>
        <v/>
      </c>
      <c r="AM60" s="2" t="str">
        <f t="shared" si="7"/>
        <v/>
      </c>
      <c r="AN60" s="16" t="str">
        <f t="shared" si="8"/>
        <v/>
      </c>
    </row>
    <row r="61" spans="4:40">
      <c r="D61" s="13" t="e">
        <f>#REF!</f>
        <v>#REF!</v>
      </c>
      <c r="G61" s="17" t="s">
        <v>1172</v>
      </c>
      <c r="H61" s="3" t="s">
        <v>1174</v>
      </c>
      <c r="I61" s="3" t="s">
        <v>1175</v>
      </c>
      <c r="L61" s="2" t="s">
        <v>1176</v>
      </c>
      <c r="M61" s="2" t="s">
        <v>929</v>
      </c>
      <c r="N61" s="18" t="s">
        <v>1177</v>
      </c>
      <c r="R61" s="2" t="str">
        <f>IF(ISERROR(VLOOKUP([1]IMM!F60,Table8[[#All],[Column2]:[Column3]],2,FALSE)),"",(VLOOKUP([1]IMM!F60,Table8[[#All],[Column2]:[Column3]],2,FALSE)))</f>
        <v/>
      </c>
      <c r="U61" s="2" t="str">
        <f>IF([1]IMM!P60="","",[1]IMM!P60)</f>
        <v/>
      </c>
      <c r="V61" s="2" t="str">
        <f t="shared" si="0"/>
        <v/>
      </c>
      <c r="W61" s="2" t="str">
        <f t="shared" si="1"/>
        <v/>
      </c>
      <c r="X61" s="2" t="str">
        <f t="shared" si="2"/>
        <v/>
      </c>
      <c r="Y61" s="16" t="str">
        <f t="shared" si="3"/>
        <v/>
      </c>
      <c r="Z61" s="16"/>
      <c r="AB61" s="19" t="s">
        <v>1178</v>
      </c>
      <c r="AC61" s="3"/>
      <c r="AE61" s="3" t="str">
        <f>[1]Country!E60</f>
        <v>CZ</v>
      </c>
      <c r="AF61" s="3" t="str">
        <f>[1]Country!C60</f>
        <v>Czech Republic</v>
      </c>
      <c r="AH61" s="3" t="str">
        <f t="shared" si="4"/>
        <v>CZE</v>
      </c>
      <c r="AJ61" s="2" t="str">
        <f>IF([1]IMM!N60="","",[1]IMM!N60)</f>
        <v/>
      </c>
      <c r="AK61" s="16" t="str">
        <f t="shared" si="5"/>
        <v/>
      </c>
      <c r="AL61" s="16" t="str">
        <f t="shared" si="6"/>
        <v/>
      </c>
      <c r="AM61" s="2" t="str">
        <f t="shared" si="7"/>
        <v/>
      </c>
      <c r="AN61" s="16" t="str">
        <f t="shared" si="8"/>
        <v/>
      </c>
    </row>
    <row r="62" spans="4:40">
      <c r="D62" s="13" t="e">
        <f>#REF!</f>
        <v>#REF!</v>
      </c>
      <c r="G62" s="17" t="s">
        <v>1177</v>
      </c>
      <c r="H62" s="3" t="s">
        <v>1179</v>
      </c>
      <c r="I62" s="3" t="s">
        <v>1180</v>
      </c>
      <c r="L62" s="2" t="s">
        <v>1181</v>
      </c>
      <c r="M62" s="2" t="s">
        <v>933</v>
      </c>
      <c r="N62" s="18" t="s">
        <v>1182</v>
      </c>
      <c r="R62" s="2" t="str">
        <f>IF(ISERROR(VLOOKUP([1]IMM!F61,Table8[[#All],[Column2]:[Column3]],2,FALSE)),"",(VLOOKUP([1]IMM!F61,Table8[[#All],[Column2]:[Column3]],2,FALSE)))</f>
        <v/>
      </c>
      <c r="U62" s="2" t="str">
        <f>IF([1]IMM!P61="","",[1]IMM!P61)</f>
        <v/>
      </c>
      <c r="V62" s="2" t="str">
        <f t="shared" si="0"/>
        <v/>
      </c>
      <c r="W62" s="2" t="str">
        <f t="shared" si="1"/>
        <v/>
      </c>
      <c r="X62" s="2" t="str">
        <f t="shared" si="2"/>
        <v/>
      </c>
      <c r="Y62" s="16" t="str">
        <f t="shared" si="3"/>
        <v/>
      </c>
      <c r="Z62" s="16"/>
      <c r="AB62" s="19" t="s">
        <v>1183</v>
      </c>
      <c r="AC62" s="3" t="s">
        <v>705</v>
      </c>
      <c r="AE62" s="3" t="str">
        <f>[1]Country!E61</f>
        <v>DK</v>
      </c>
      <c r="AF62" s="3" t="str">
        <f>[1]Country!C61</f>
        <v>Denmark</v>
      </c>
      <c r="AH62" s="3" t="str">
        <f t="shared" si="4"/>
        <v>DNK</v>
      </c>
      <c r="AJ62" s="2" t="str">
        <f>IF([1]IMM!N61="","",[1]IMM!N61)</f>
        <v/>
      </c>
      <c r="AK62" s="16" t="str">
        <f t="shared" si="5"/>
        <v/>
      </c>
      <c r="AL62" s="16" t="str">
        <f t="shared" si="6"/>
        <v/>
      </c>
      <c r="AM62" s="2" t="str">
        <f t="shared" si="7"/>
        <v/>
      </c>
      <c r="AN62" s="16" t="str">
        <f t="shared" si="8"/>
        <v/>
      </c>
    </row>
    <row r="63" spans="4:40">
      <c r="D63" s="13" t="e">
        <f>#REF!</f>
        <v>#REF!</v>
      </c>
      <c r="G63" s="17" t="s">
        <v>1073</v>
      </c>
      <c r="H63" s="3" t="s">
        <v>1184</v>
      </c>
      <c r="I63" s="3" t="s">
        <v>1185</v>
      </c>
      <c r="L63" s="2" t="s">
        <v>1186</v>
      </c>
      <c r="M63" s="2" t="s">
        <v>1187</v>
      </c>
      <c r="N63" s="18" t="s">
        <v>1188</v>
      </c>
      <c r="R63" s="2" t="str">
        <f>IF(ISERROR(VLOOKUP([1]IMM!F62,Table8[[#All],[Column2]:[Column3]],2,FALSE)),"",(VLOOKUP([1]IMM!F62,Table8[[#All],[Column2]:[Column3]],2,FALSE)))</f>
        <v/>
      </c>
      <c r="U63" s="2" t="str">
        <f>IF([1]IMM!P62="","",[1]IMM!P62)</f>
        <v/>
      </c>
      <c r="V63" s="2" t="str">
        <f t="shared" si="0"/>
        <v/>
      </c>
      <c r="W63" s="2" t="str">
        <f t="shared" si="1"/>
        <v/>
      </c>
      <c r="X63" s="2" t="str">
        <f t="shared" si="2"/>
        <v/>
      </c>
      <c r="Y63" s="16" t="str">
        <f t="shared" si="3"/>
        <v/>
      </c>
      <c r="Z63" s="16"/>
      <c r="AB63" s="19" t="s">
        <v>12</v>
      </c>
      <c r="AC63" s="3" t="s">
        <v>12</v>
      </c>
      <c r="AE63" s="3" t="str">
        <f>[1]Country!E62</f>
        <v>DJ</v>
      </c>
      <c r="AF63" s="3" t="str">
        <f>[1]Country!C62</f>
        <v>Djibouti</v>
      </c>
      <c r="AH63" s="3" t="str">
        <f t="shared" si="4"/>
        <v/>
      </c>
      <c r="AJ63" s="2" t="str">
        <f>IF([1]IMM!N62="","",[1]IMM!N62)</f>
        <v/>
      </c>
      <c r="AK63" s="16" t="str">
        <f t="shared" si="5"/>
        <v/>
      </c>
      <c r="AL63" s="16" t="str">
        <f t="shared" si="6"/>
        <v/>
      </c>
      <c r="AM63" s="2" t="str">
        <f t="shared" si="7"/>
        <v/>
      </c>
      <c r="AN63" s="16" t="str">
        <f t="shared" si="8"/>
        <v/>
      </c>
    </row>
    <row r="64" spans="4:40">
      <c r="D64" s="13" t="e">
        <f>#REF!</f>
        <v>#REF!</v>
      </c>
      <c r="G64" s="17" t="s">
        <v>1122</v>
      </c>
      <c r="H64" s="3" t="s">
        <v>1189</v>
      </c>
      <c r="I64" s="3" t="s">
        <v>1190</v>
      </c>
      <c r="L64" s="2" t="s">
        <v>1191</v>
      </c>
      <c r="M64" s="2" t="s">
        <v>1192</v>
      </c>
      <c r="N64" s="18" t="s">
        <v>1193</v>
      </c>
      <c r="R64" s="2" t="str">
        <f>IF(ISERROR(VLOOKUP([1]IMM!F63,Table8[[#All],[Column2]:[Column3]],2,FALSE)),"",(VLOOKUP([1]IMM!F63,Table8[[#All],[Column2]:[Column3]],2,FALSE)))</f>
        <v/>
      </c>
      <c r="U64" s="2" t="str">
        <f>IF([1]IMM!P63="","",[1]IMM!P63)</f>
        <v/>
      </c>
      <c r="V64" s="2" t="str">
        <f t="shared" si="0"/>
        <v/>
      </c>
      <c r="W64" s="2" t="str">
        <f t="shared" si="1"/>
        <v/>
      </c>
      <c r="X64" s="2" t="str">
        <f t="shared" si="2"/>
        <v/>
      </c>
      <c r="Y64" s="16" t="str">
        <f t="shared" si="3"/>
        <v/>
      </c>
      <c r="Z64" s="16"/>
      <c r="AB64" s="19" t="s">
        <v>1194</v>
      </c>
      <c r="AC64" s="3" t="s">
        <v>741</v>
      </c>
      <c r="AE64" s="3" t="str">
        <f>[1]Country!E63</f>
        <v>DM</v>
      </c>
      <c r="AF64" s="3" t="str">
        <f>[1]Country!C63</f>
        <v>Dominica</v>
      </c>
      <c r="AH64" s="3" t="str">
        <f t="shared" si="4"/>
        <v/>
      </c>
      <c r="AJ64" s="2" t="str">
        <f>IF([1]IMM!N63="","",[1]IMM!N63)</f>
        <v/>
      </c>
      <c r="AK64" s="16" t="str">
        <f t="shared" si="5"/>
        <v/>
      </c>
      <c r="AL64" s="16" t="str">
        <f t="shared" si="6"/>
        <v/>
      </c>
      <c r="AM64" s="2" t="str">
        <f t="shared" si="7"/>
        <v/>
      </c>
      <c r="AN64" s="16" t="str">
        <f t="shared" si="8"/>
        <v/>
      </c>
    </row>
    <row r="65" spans="4:40">
      <c r="D65" s="13" t="e">
        <f>#REF!</f>
        <v>#REF!</v>
      </c>
      <c r="G65" s="17" t="s">
        <v>1139</v>
      </c>
      <c r="H65" s="3" t="s">
        <v>187</v>
      </c>
      <c r="I65" s="3" t="s">
        <v>1195</v>
      </c>
      <c r="L65" s="2" t="s">
        <v>1196</v>
      </c>
      <c r="M65" s="2" t="s">
        <v>1197</v>
      </c>
      <c r="N65" s="18" t="s">
        <v>1198</v>
      </c>
      <c r="R65" s="2" t="str">
        <f>IF(ISERROR(VLOOKUP([1]IMM!F64,Table8[[#All],[Column2]:[Column3]],2,FALSE)),"",(VLOOKUP([1]IMM!F64,Table8[[#All],[Column2]:[Column3]],2,FALSE)))</f>
        <v/>
      </c>
      <c r="U65" s="2" t="str">
        <f>IF([1]IMM!P64="","",[1]IMM!P64)</f>
        <v/>
      </c>
      <c r="V65" s="2" t="str">
        <f t="shared" si="0"/>
        <v/>
      </c>
      <c r="W65" s="2" t="str">
        <f t="shared" si="1"/>
        <v/>
      </c>
      <c r="X65" s="2" t="str">
        <f t="shared" si="2"/>
        <v/>
      </c>
      <c r="Y65" s="16" t="str">
        <f t="shared" si="3"/>
        <v/>
      </c>
      <c r="Z65" s="16"/>
      <c r="AB65" s="19" t="s">
        <v>1199</v>
      </c>
      <c r="AC65" s="3" t="s">
        <v>744</v>
      </c>
      <c r="AE65" s="3" t="str">
        <f>[1]Country!E64</f>
        <v>DO</v>
      </c>
      <c r="AF65" s="3" t="str">
        <f>[1]Country!C64</f>
        <v>Dominican Republic</v>
      </c>
      <c r="AH65" s="3" t="str">
        <f t="shared" si="4"/>
        <v/>
      </c>
      <c r="AJ65" s="2" t="str">
        <f>IF([1]IMM!N64="","",[1]IMM!N64)</f>
        <v/>
      </c>
      <c r="AK65" s="16" t="str">
        <f t="shared" si="5"/>
        <v/>
      </c>
      <c r="AL65" s="16" t="str">
        <f t="shared" si="6"/>
        <v/>
      </c>
      <c r="AM65" s="2" t="str">
        <f t="shared" si="7"/>
        <v/>
      </c>
      <c r="AN65" s="16" t="str">
        <f t="shared" si="8"/>
        <v/>
      </c>
    </row>
    <row r="66" spans="4:40">
      <c r="D66" s="13" t="e">
        <f>#REF!</f>
        <v>#REF!</v>
      </c>
      <c r="G66" s="17" t="s">
        <v>1155</v>
      </c>
      <c r="H66" s="3" t="s">
        <v>1200</v>
      </c>
      <c r="I66" s="3" t="s">
        <v>1201</v>
      </c>
      <c r="L66" s="2" t="s">
        <v>1202</v>
      </c>
      <c r="M66" s="2" t="s">
        <v>1203</v>
      </c>
      <c r="N66" s="18" t="s">
        <v>1204</v>
      </c>
      <c r="R66" s="2" t="str">
        <f>IF(ISERROR(VLOOKUP([1]IMM!F65,Table8[[#All],[Column2]:[Column3]],2,FALSE)),"",(VLOOKUP([1]IMM!F65,Table8[[#All],[Column2]:[Column3]],2,FALSE)))</f>
        <v/>
      </c>
      <c r="U66" s="2" t="str">
        <f>IF([1]IMM!P65="","",[1]IMM!P65)</f>
        <v/>
      </c>
      <c r="V66" s="2" t="str">
        <f t="shared" si="0"/>
        <v/>
      </c>
      <c r="W66" s="2" t="str">
        <f t="shared" si="1"/>
        <v/>
      </c>
      <c r="X66" s="2" t="str">
        <f t="shared" si="2"/>
        <v/>
      </c>
      <c r="Y66" s="16" t="str">
        <f t="shared" si="3"/>
        <v/>
      </c>
      <c r="Z66" s="16"/>
      <c r="AB66" s="19" t="s">
        <v>1205</v>
      </c>
      <c r="AC66" s="3" t="s">
        <v>765</v>
      </c>
      <c r="AE66" s="3" t="str">
        <f>[1]Country!E65</f>
        <v>TP</v>
      </c>
      <c r="AF66" s="3" t="str">
        <f>[1]Country!C65</f>
        <v>East Timor</v>
      </c>
      <c r="AH66" s="3" t="str">
        <f t="shared" si="4"/>
        <v/>
      </c>
      <c r="AJ66" s="2" t="str">
        <f>IF([1]IMM!N65="","",[1]IMM!N65)</f>
        <v/>
      </c>
      <c r="AK66" s="16" t="str">
        <f t="shared" si="5"/>
        <v/>
      </c>
      <c r="AL66" s="16" t="str">
        <f t="shared" si="6"/>
        <v/>
      </c>
      <c r="AM66" s="2" t="str">
        <f t="shared" si="7"/>
        <v/>
      </c>
      <c r="AN66" s="16" t="str">
        <f t="shared" si="8"/>
        <v/>
      </c>
    </row>
    <row r="67" spans="4:40">
      <c r="D67" s="13" t="e">
        <f>#REF!</f>
        <v>#REF!</v>
      </c>
      <c r="G67" s="17" t="s">
        <v>1111</v>
      </c>
      <c r="H67" s="3" t="s">
        <v>194</v>
      </c>
      <c r="I67" s="3" t="s">
        <v>194</v>
      </c>
      <c r="L67" s="2" t="s">
        <v>1206</v>
      </c>
      <c r="M67" s="2" t="s">
        <v>1207</v>
      </c>
      <c r="N67" s="18" t="s">
        <v>1208</v>
      </c>
      <c r="R67" s="2" t="str">
        <f>IF(ISERROR(VLOOKUP([1]IMM!F66,Table8[[#All],[Column2]:[Column3]],2,FALSE)),"",(VLOOKUP([1]IMM!F66,Table8[[#All],[Column2]:[Column3]],2,FALSE)))</f>
        <v/>
      </c>
      <c r="U67" s="2" t="str">
        <f>IF([1]IMM!P66="","",[1]IMM!P66)</f>
        <v/>
      </c>
      <c r="V67" s="2" t="str">
        <f t="shared" si="0"/>
        <v/>
      </c>
      <c r="W67" s="2" t="str">
        <f t="shared" si="1"/>
        <v/>
      </c>
      <c r="X67" s="2" t="str">
        <f t="shared" si="2"/>
        <v/>
      </c>
      <c r="Y67" s="16" t="str">
        <f t="shared" si="3"/>
        <v/>
      </c>
      <c r="Z67" s="16"/>
      <c r="AB67" s="19" t="s">
        <v>1207</v>
      </c>
      <c r="AC67" s="3" t="s">
        <v>231</v>
      </c>
      <c r="AE67" s="3" t="str">
        <f>[1]Country!E66</f>
        <v>EC</v>
      </c>
      <c r="AF67" s="3" t="str">
        <f>[1]Country!C66</f>
        <v>Ecuador</v>
      </c>
      <c r="AH67" s="3" t="str">
        <f t="shared" si="4"/>
        <v/>
      </c>
      <c r="AJ67" s="2" t="str">
        <f>IF([1]IMM!N66="","",[1]IMM!N66)</f>
        <v/>
      </c>
      <c r="AK67" s="16" t="str">
        <f t="shared" si="5"/>
        <v/>
      </c>
      <c r="AL67" s="16" t="str">
        <f t="shared" si="6"/>
        <v/>
      </c>
      <c r="AM67" s="2" t="str">
        <f t="shared" si="7"/>
        <v/>
      </c>
      <c r="AN67" s="16" t="str">
        <f t="shared" si="8"/>
        <v/>
      </c>
    </row>
    <row r="68" spans="4:40">
      <c r="D68" s="13" t="e">
        <f>#REF!</f>
        <v>#REF!</v>
      </c>
      <c r="G68" s="17" t="s">
        <v>1105</v>
      </c>
      <c r="H68" s="3" t="s">
        <v>197</v>
      </c>
      <c r="I68" s="3" t="s">
        <v>197</v>
      </c>
      <c r="L68" s="2" t="s">
        <v>1209</v>
      </c>
      <c r="M68" s="2" t="s">
        <v>1210</v>
      </c>
      <c r="N68" s="18" t="s">
        <v>1211</v>
      </c>
      <c r="R68" s="2" t="str">
        <f>IF(ISERROR(VLOOKUP([1]IMM!F67,Table8[[#All],[Column2]:[Column3]],2,FALSE)),"",(VLOOKUP([1]IMM!F67,Table8[[#All],[Column2]:[Column3]],2,FALSE)))</f>
        <v/>
      </c>
      <c r="U68" s="2" t="str">
        <f>IF([1]IMM!P67="","",[1]IMM!P67)</f>
        <v/>
      </c>
      <c r="V68" s="2" t="str">
        <f t="shared" ref="V68:V131" si="9">LEFT(U68,2)</f>
        <v/>
      </c>
      <c r="W68" s="2" t="str">
        <f t="shared" ref="W68:W131" si="10">MID(U68,4,2)</f>
        <v/>
      </c>
      <c r="X68" s="2" t="str">
        <f t="shared" ref="X68:X131" si="11">RIGHT(U68,4)</f>
        <v/>
      </c>
      <c r="Y68" s="16" t="str">
        <f t="shared" ref="Y68:Y131" si="12">IFERROR(DATE(X68,V68,W68),"")</f>
        <v/>
      </c>
      <c r="Z68" s="16"/>
      <c r="AB68" s="19" t="s">
        <v>1212</v>
      </c>
      <c r="AC68" s="3" t="s">
        <v>243</v>
      </c>
      <c r="AE68" s="3" t="str">
        <f>[1]Country!E67</f>
        <v>EG</v>
      </c>
      <c r="AF68" s="3" t="str">
        <f>[1]Country!C67</f>
        <v>Egypt</v>
      </c>
      <c r="AH68" s="3" t="str">
        <f t="shared" ref="AH68:AH131" si="13">IFERROR(VLOOKUP(AF68,$AB$3:$AC$100,2,),"")</f>
        <v>EGY</v>
      </c>
      <c r="AJ68" s="2" t="str">
        <f>IF([1]IMM!N67="","",[1]IMM!N67)</f>
        <v/>
      </c>
      <c r="AK68" s="16" t="str">
        <f t="shared" ref="AK68:AK131" si="14">LEFT(AJ68,2)</f>
        <v/>
      </c>
      <c r="AL68" s="16" t="str">
        <f t="shared" ref="AL68:AL131" si="15">MID(AJ68,4,2)</f>
        <v/>
      </c>
      <c r="AM68" s="2" t="str">
        <f t="shared" ref="AM68:AM131" si="16">RIGHT(AJ68,4)</f>
        <v/>
      </c>
      <c r="AN68" s="16" t="str">
        <f t="shared" ref="AN68:AN131" si="17">IFERROR(DATE(AM68,AK68,AL68),"")</f>
        <v/>
      </c>
    </row>
    <row r="69" spans="4:40">
      <c r="D69" s="13" t="e">
        <f>#REF!</f>
        <v>#REF!</v>
      </c>
      <c r="G69" s="17" t="s">
        <v>201</v>
      </c>
      <c r="H69" s="3" t="s">
        <v>202</v>
      </c>
      <c r="I69" s="3" t="s">
        <v>203</v>
      </c>
      <c r="L69" s="2" t="s">
        <v>1213</v>
      </c>
      <c r="M69" s="2" t="s">
        <v>1214</v>
      </c>
      <c r="N69" s="18" t="s">
        <v>1215</v>
      </c>
      <c r="R69" s="2" t="str">
        <f>IF(ISERROR(VLOOKUP([1]IMM!F68,Table8[[#All],[Column2]:[Column3]],2,FALSE)),"",(VLOOKUP([1]IMM!F68,Table8[[#All],[Column2]:[Column3]],2,FALSE)))</f>
        <v/>
      </c>
      <c r="U69" s="2" t="str">
        <f>IF([1]IMM!P68="","",[1]IMM!P68)</f>
        <v/>
      </c>
      <c r="V69" s="2" t="str">
        <f t="shared" si="9"/>
        <v/>
      </c>
      <c r="W69" s="2" t="str">
        <f t="shared" si="10"/>
        <v/>
      </c>
      <c r="X69" s="2" t="str">
        <f t="shared" si="11"/>
        <v/>
      </c>
      <c r="Y69" s="16" t="str">
        <f t="shared" si="12"/>
        <v/>
      </c>
      <c r="Z69" s="16"/>
      <c r="AB69" s="19" t="s">
        <v>1216</v>
      </c>
      <c r="AC69" s="3" t="s">
        <v>345</v>
      </c>
      <c r="AE69" s="3" t="str">
        <f>[1]Country!E68</f>
        <v>SV</v>
      </c>
      <c r="AF69" s="3" t="str">
        <f>[1]Country!C68</f>
        <v>El Salvador</v>
      </c>
      <c r="AH69" s="3" t="str">
        <f>IFERROR(VLOOKUP(AF69,$AB$3:$AC$100,2,),"")</f>
        <v>SLV</v>
      </c>
      <c r="AJ69" s="2" t="str">
        <f>IF([1]IMM!N68="","",[1]IMM!N68)</f>
        <v/>
      </c>
      <c r="AK69" s="16" t="str">
        <f t="shared" si="14"/>
        <v/>
      </c>
      <c r="AL69" s="16" t="str">
        <f t="shared" si="15"/>
        <v/>
      </c>
      <c r="AM69" s="2" t="str">
        <f t="shared" si="16"/>
        <v/>
      </c>
      <c r="AN69" s="16" t="str">
        <f t="shared" si="17"/>
        <v/>
      </c>
    </row>
    <row r="70" spans="4:40">
      <c r="D70" s="13" t="e">
        <f>#REF!</f>
        <v>#REF!</v>
      </c>
      <c r="G70" s="17" t="s">
        <v>1182</v>
      </c>
      <c r="H70" s="3" t="s">
        <v>1217</v>
      </c>
      <c r="I70" s="3" t="s">
        <v>1218</v>
      </c>
      <c r="L70" s="2" t="s">
        <v>1219</v>
      </c>
      <c r="M70" s="2" t="s">
        <v>1220</v>
      </c>
      <c r="N70" s="18" t="s">
        <v>1221</v>
      </c>
      <c r="R70" s="2" t="str">
        <f>IF(ISERROR(VLOOKUP([1]IMM!F69,Table8[[#All],[Column2]:[Column3]],2,FALSE)),"",(VLOOKUP([1]IMM!F69,Table8[[#All],[Column2]:[Column3]],2,FALSE)))</f>
        <v/>
      </c>
      <c r="U70" s="2" t="str">
        <f>IF([1]IMM!P69="","",[1]IMM!P69)</f>
        <v/>
      </c>
      <c r="V70" s="2" t="str">
        <f t="shared" si="9"/>
        <v/>
      </c>
      <c r="W70" s="2" t="str">
        <f t="shared" si="10"/>
        <v/>
      </c>
      <c r="X70" s="2" t="str">
        <f t="shared" si="11"/>
        <v/>
      </c>
      <c r="Y70" s="16" t="str">
        <f t="shared" si="12"/>
        <v/>
      </c>
      <c r="Z70" s="16"/>
      <c r="AB70" s="19" t="s">
        <v>1222</v>
      </c>
      <c r="AC70" s="3" t="s">
        <v>516</v>
      </c>
      <c r="AE70" s="3" t="str">
        <f>[1]Country!E69</f>
        <v>GQ</v>
      </c>
      <c r="AF70" s="3" t="str">
        <f>[1]Country!C69</f>
        <v>Equatorial Guinea</v>
      </c>
      <c r="AH70" s="3" t="str">
        <f t="shared" si="13"/>
        <v/>
      </c>
      <c r="AJ70" s="2" t="str">
        <f>IF([1]IMM!N69="","",[1]IMM!N69)</f>
        <v/>
      </c>
      <c r="AK70" s="16" t="str">
        <f t="shared" si="14"/>
        <v/>
      </c>
      <c r="AL70" s="16" t="str">
        <f t="shared" si="15"/>
        <v/>
      </c>
      <c r="AM70" s="2" t="str">
        <f t="shared" si="16"/>
        <v/>
      </c>
      <c r="AN70" s="16" t="str">
        <f t="shared" si="17"/>
        <v/>
      </c>
    </row>
    <row r="71" spans="4:40">
      <c r="D71" s="13" t="e">
        <f>#REF!</f>
        <v>#REF!</v>
      </c>
      <c r="G71" s="17" t="s">
        <v>1198</v>
      </c>
      <c r="H71" s="3" t="s">
        <v>1223</v>
      </c>
      <c r="I71" s="3" t="s">
        <v>1224</v>
      </c>
      <c r="L71" s="2" t="s">
        <v>1225</v>
      </c>
      <c r="M71" s="2" t="s">
        <v>1212</v>
      </c>
      <c r="N71" s="18" t="s">
        <v>1226</v>
      </c>
      <c r="R71" s="2" t="str">
        <f>IF(ISERROR(VLOOKUP([1]IMM!F70,Table8[[#All],[Column2]:[Column3]],2,FALSE)),"",(VLOOKUP([1]IMM!F70,Table8[[#All],[Column2]:[Column3]],2,FALSE)))</f>
        <v/>
      </c>
      <c r="U71" s="2" t="str">
        <f>IF([1]IMM!P70="","",[1]IMM!P70)</f>
        <v/>
      </c>
      <c r="V71" s="2" t="str">
        <f t="shared" si="9"/>
        <v/>
      </c>
      <c r="W71" s="2" t="str">
        <f t="shared" si="10"/>
        <v/>
      </c>
      <c r="X71" s="2" t="str">
        <f t="shared" si="11"/>
        <v/>
      </c>
      <c r="Y71" s="16" t="str">
        <f t="shared" si="12"/>
        <v/>
      </c>
      <c r="Z71" s="16"/>
      <c r="AB71" s="19" t="s">
        <v>1064</v>
      </c>
      <c r="AC71" s="3" t="s">
        <v>447</v>
      </c>
      <c r="AE71" s="3" t="str">
        <f>[1]Country!E70</f>
        <v>ER</v>
      </c>
      <c r="AF71" s="3" t="str">
        <f>[1]Country!C70</f>
        <v>Eritrea</v>
      </c>
      <c r="AH71" s="3" t="str">
        <f t="shared" si="13"/>
        <v/>
      </c>
      <c r="AJ71" s="2" t="str">
        <f>IF([1]IMM!N70="","",[1]IMM!N70)</f>
        <v/>
      </c>
      <c r="AK71" s="16" t="str">
        <f t="shared" si="14"/>
        <v/>
      </c>
      <c r="AL71" s="16" t="str">
        <f t="shared" si="15"/>
        <v/>
      </c>
      <c r="AM71" s="2" t="str">
        <f t="shared" si="16"/>
        <v/>
      </c>
      <c r="AN71" s="16" t="str">
        <f t="shared" si="17"/>
        <v/>
      </c>
    </row>
    <row r="72" spans="4:40">
      <c r="D72" s="13" t="e">
        <f>#REF!</f>
        <v>#REF!</v>
      </c>
      <c r="G72" s="17" t="s">
        <v>1227</v>
      </c>
      <c r="H72" s="3" t="s">
        <v>1228</v>
      </c>
      <c r="I72" s="3" t="s">
        <v>1229</v>
      </c>
      <c r="L72" s="2" t="s">
        <v>1230</v>
      </c>
      <c r="M72" s="2" t="s">
        <v>938</v>
      </c>
      <c r="N72" s="18" t="s">
        <v>1231</v>
      </c>
      <c r="R72" s="2" t="str">
        <f>IF(ISERROR(VLOOKUP([1]IMM!F71,Table8[[#All],[Column2]:[Column3]],2,FALSE)),"",(VLOOKUP([1]IMM!F71,Table8[[#All],[Column2]:[Column3]],2,FALSE)))</f>
        <v/>
      </c>
      <c r="U72" s="2" t="str">
        <f>IF([1]IMM!P71="","",[1]IMM!P71)</f>
        <v/>
      </c>
      <c r="V72" s="2" t="str">
        <f t="shared" si="9"/>
        <v/>
      </c>
      <c r="W72" s="2" t="str">
        <f t="shared" si="10"/>
        <v/>
      </c>
      <c r="X72" s="2" t="str">
        <f t="shared" si="11"/>
        <v/>
      </c>
      <c r="Y72" s="16" t="str">
        <f t="shared" si="12"/>
        <v/>
      </c>
      <c r="Z72" s="16"/>
      <c r="AB72" s="19" t="s">
        <v>1232</v>
      </c>
      <c r="AC72" s="3" t="s">
        <v>372</v>
      </c>
      <c r="AE72" s="3" t="str">
        <f>[1]Country!E71</f>
        <v>EE</v>
      </c>
      <c r="AF72" s="3" t="str">
        <f>[1]Country!C71</f>
        <v>Estonia</v>
      </c>
      <c r="AH72" s="3" t="str">
        <f t="shared" si="13"/>
        <v>EST</v>
      </c>
      <c r="AJ72" s="2" t="str">
        <f>IF([1]IMM!N71="","",[1]IMM!N71)</f>
        <v/>
      </c>
      <c r="AK72" s="16" t="str">
        <f t="shared" si="14"/>
        <v/>
      </c>
      <c r="AL72" s="16" t="str">
        <f t="shared" si="15"/>
        <v/>
      </c>
      <c r="AM72" s="2" t="str">
        <f t="shared" si="16"/>
        <v/>
      </c>
      <c r="AN72" s="16" t="str">
        <f t="shared" si="17"/>
        <v/>
      </c>
    </row>
    <row r="73" spans="4:40">
      <c r="D73" s="13" t="e">
        <f>#REF!</f>
        <v>#REF!</v>
      </c>
      <c r="G73" s="17" t="s">
        <v>1233</v>
      </c>
      <c r="H73" s="3" t="s">
        <v>214</v>
      </c>
      <c r="I73" s="3" t="s">
        <v>215</v>
      </c>
      <c r="L73" s="2" t="s">
        <v>1234</v>
      </c>
      <c r="M73" s="2" t="s">
        <v>1235</v>
      </c>
      <c r="N73" s="18" t="s">
        <v>1236</v>
      </c>
      <c r="R73" s="2" t="str">
        <f>IF(ISERROR(VLOOKUP([1]IMM!F72,Table8[[#All],[Column2]:[Column3]],2,FALSE)),"",(VLOOKUP([1]IMM!F72,Table8[[#All],[Column2]:[Column3]],2,FALSE)))</f>
        <v/>
      </c>
      <c r="U73" s="2" t="str">
        <f>IF([1]IMM!P72="","",[1]IMM!P72)</f>
        <v/>
      </c>
      <c r="V73" s="2" t="str">
        <f t="shared" si="9"/>
        <v/>
      </c>
      <c r="W73" s="2" t="str">
        <f t="shared" si="10"/>
        <v/>
      </c>
      <c r="X73" s="2" t="str">
        <f t="shared" si="11"/>
        <v/>
      </c>
      <c r="Y73" s="16" t="str">
        <f t="shared" si="12"/>
        <v/>
      </c>
      <c r="Z73" s="16"/>
      <c r="AB73" s="19" t="s">
        <v>1237</v>
      </c>
      <c r="AC73" s="3" t="s">
        <v>378</v>
      </c>
      <c r="AE73" s="3" t="str">
        <f>[1]Country!E72</f>
        <v>ET</v>
      </c>
      <c r="AF73" s="3" t="str">
        <f>[1]Country!C72</f>
        <v>Ethiopia</v>
      </c>
      <c r="AH73" s="3" t="str">
        <f t="shared" si="13"/>
        <v>ETH</v>
      </c>
      <c r="AJ73" s="2" t="str">
        <f>IF([1]IMM!N72="","",[1]IMM!N72)</f>
        <v/>
      </c>
      <c r="AK73" s="16" t="str">
        <f t="shared" si="14"/>
        <v/>
      </c>
      <c r="AL73" s="16" t="str">
        <f t="shared" si="15"/>
        <v/>
      </c>
      <c r="AM73" s="2" t="str">
        <f t="shared" si="16"/>
        <v/>
      </c>
      <c r="AN73" s="16" t="str">
        <f t="shared" si="17"/>
        <v/>
      </c>
    </row>
    <row r="74" spans="4:40">
      <c r="D74" s="13" t="e">
        <f>#REF!</f>
        <v>#REF!</v>
      </c>
      <c r="G74" s="17" t="s">
        <v>216</v>
      </c>
      <c r="H74" s="3" t="s">
        <v>217</v>
      </c>
      <c r="I74" s="3" t="s">
        <v>218</v>
      </c>
      <c r="L74" s="2" t="s">
        <v>1238</v>
      </c>
      <c r="M74" s="2" t="s">
        <v>1239</v>
      </c>
      <c r="N74" s="18" t="s">
        <v>1240</v>
      </c>
      <c r="R74" s="2" t="str">
        <f>IF(ISERROR(VLOOKUP([1]IMM!F73,Table8[[#All],[Column2]:[Column3]],2,FALSE)),"",(VLOOKUP([1]IMM!F73,Table8[[#All],[Column2]:[Column3]],2,FALSE)))</f>
        <v/>
      </c>
      <c r="U74" s="2" t="str">
        <f>IF([1]IMM!P73="","",[1]IMM!P73)</f>
        <v/>
      </c>
      <c r="V74" s="2" t="str">
        <f t="shared" si="9"/>
        <v/>
      </c>
      <c r="W74" s="2" t="str">
        <f t="shared" si="10"/>
        <v/>
      </c>
      <c r="X74" s="2" t="str">
        <f t="shared" si="11"/>
        <v/>
      </c>
      <c r="Y74" s="16" t="str">
        <f t="shared" si="12"/>
        <v/>
      </c>
      <c r="Z74" s="16"/>
      <c r="AB74" s="19" t="s">
        <v>1241</v>
      </c>
      <c r="AC74" s="3" t="s">
        <v>534</v>
      </c>
      <c r="AE74" s="3" t="str">
        <f>[1]Country!E73</f>
        <v>FK</v>
      </c>
      <c r="AF74" s="3" t="str">
        <f>[1]Country!C73</f>
        <v>Falkland Islands</v>
      </c>
      <c r="AH74" s="3" t="str">
        <f t="shared" si="13"/>
        <v/>
      </c>
      <c r="AJ74" s="2" t="str">
        <f>IF([1]IMM!N73="","",[1]IMM!N73)</f>
        <v/>
      </c>
      <c r="AK74" s="16" t="str">
        <f t="shared" si="14"/>
        <v/>
      </c>
      <c r="AL74" s="16" t="str">
        <f t="shared" si="15"/>
        <v/>
      </c>
      <c r="AM74" s="2" t="str">
        <f t="shared" si="16"/>
        <v/>
      </c>
      <c r="AN74" s="16" t="str">
        <f t="shared" si="17"/>
        <v/>
      </c>
    </row>
    <row r="75" spans="4:40">
      <c r="D75" s="13" t="e">
        <f>#REF!</f>
        <v>#REF!</v>
      </c>
      <c r="G75" s="17" t="s">
        <v>1188</v>
      </c>
      <c r="H75" s="3" t="s">
        <v>1242</v>
      </c>
      <c r="I75" s="3" t="s">
        <v>1243</v>
      </c>
      <c r="L75" s="2" t="s">
        <v>1244</v>
      </c>
      <c r="M75" s="2" t="s">
        <v>1245</v>
      </c>
      <c r="N75" s="18" t="s">
        <v>1246</v>
      </c>
      <c r="R75" s="2" t="str">
        <f>IF(ISERROR(VLOOKUP([1]IMM!F74,Table8[[#All],[Column2]:[Column3]],2,FALSE)),"",(VLOOKUP([1]IMM!F74,Table8[[#All],[Column2]:[Column3]],2,FALSE)))</f>
        <v/>
      </c>
      <c r="U75" s="2" t="str">
        <f>IF([1]IMM!P74="","",[1]IMM!P74)</f>
        <v/>
      </c>
      <c r="V75" s="2" t="str">
        <f t="shared" si="9"/>
        <v/>
      </c>
      <c r="W75" s="2" t="str">
        <f t="shared" si="10"/>
        <v/>
      </c>
      <c r="X75" s="2" t="str">
        <f t="shared" si="11"/>
        <v/>
      </c>
      <c r="Y75" s="16" t="str">
        <f t="shared" si="12"/>
        <v/>
      </c>
      <c r="Z75" s="16"/>
      <c r="AB75" s="19" t="s">
        <v>1247</v>
      </c>
      <c r="AC75" s="3" t="s">
        <v>474</v>
      </c>
      <c r="AE75" s="3" t="str">
        <f>[1]Country!E74</f>
        <v>FO</v>
      </c>
      <c r="AF75" s="3" t="str">
        <f>[1]Country!C74</f>
        <v>Faroe Islands</v>
      </c>
      <c r="AH75" s="3" t="str">
        <f t="shared" si="13"/>
        <v/>
      </c>
      <c r="AJ75" s="2" t="str">
        <f>IF([1]IMM!N74="","",[1]IMM!N74)</f>
        <v/>
      </c>
      <c r="AK75" s="16" t="str">
        <f t="shared" si="14"/>
        <v/>
      </c>
      <c r="AL75" s="16" t="str">
        <f t="shared" si="15"/>
        <v/>
      </c>
      <c r="AM75" s="2" t="str">
        <f t="shared" si="16"/>
        <v/>
      </c>
      <c r="AN75" s="16" t="str">
        <f t="shared" si="17"/>
        <v/>
      </c>
    </row>
    <row r="76" spans="4:40">
      <c r="D76" s="13" t="e">
        <f>#REF!</f>
        <v>#REF!</v>
      </c>
      <c r="G76" s="17" t="s">
        <v>1193</v>
      </c>
      <c r="H76" s="3" t="s">
        <v>1248</v>
      </c>
      <c r="I76" s="3" t="s">
        <v>1249</v>
      </c>
      <c r="L76" s="2" t="s">
        <v>1250</v>
      </c>
      <c r="M76" s="2" t="s">
        <v>941</v>
      </c>
      <c r="N76" s="18" t="s">
        <v>1251</v>
      </c>
      <c r="R76" s="2" t="str">
        <f>IF(ISERROR(VLOOKUP([1]IMM!F75,Table8[[#All],[Column2]:[Column3]],2,FALSE)),"",(VLOOKUP([1]IMM!F75,Table8[[#All],[Column2]:[Column3]],2,FALSE)))</f>
        <v/>
      </c>
      <c r="U76" s="2" t="str">
        <f>IF([1]IMM!P75="","",[1]IMM!P75)</f>
        <v/>
      </c>
      <c r="V76" s="2" t="str">
        <f t="shared" si="9"/>
        <v/>
      </c>
      <c r="W76" s="2" t="str">
        <f t="shared" si="10"/>
        <v/>
      </c>
      <c r="X76" s="2" t="str">
        <f t="shared" si="11"/>
        <v/>
      </c>
      <c r="Y76" s="16" t="str">
        <f t="shared" si="12"/>
        <v/>
      </c>
      <c r="Z76" s="16"/>
      <c r="AB76" s="19" t="s">
        <v>1252</v>
      </c>
      <c r="AC76" s="3" t="s">
        <v>489</v>
      </c>
      <c r="AE76" s="3" t="str">
        <f>[1]Country!E75</f>
        <v>FJ</v>
      </c>
      <c r="AF76" s="3" t="str">
        <f>[1]Country!C75</f>
        <v>Fiji</v>
      </c>
      <c r="AH76" s="3" t="str">
        <f t="shared" si="13"/>
        <v/>
      </c>
      <c r="AJ76" s="2" t="str">
        <f>IF([1]IMM!N75="","",[1]IMM!N75)</f>
        <v/>
      </c>
      <c r="AK76" s="16" t="str">
        <f t="shared" si="14"/>
        <v/>
      </c>
      <c r="AL76" s="16" t="str">
        <f t="shared" si="15"/>
        <v/>
      </c>
      <c r="AM76" s="2" t="str">
        <f t="shared" si="16"/>
        <v/>
      </c>
      <c r="AN76" s="16" t="str">
        <f t="shared" si="17"/>
        <v/>
      </c>
    </row>
    <row r="77" spans="4:40">
      <c r="D77" s="13" t="e">
        <f>#REF!</f>
        <v>#REF!</v>
      </c>
      <c r="G77" s="17" t="s">
        <v>225</v>
      </c>
      <c r="H77" s="3" t="s">
        <v>227</v>
      </c>
      <c r="I77" s="3" t="s">
        <v>227</v>
      </c>
      <c r="L77" s="2" t="s">
        <v>1253</v>
      </c>
      <c r="M77" s="2" t="s">
        <v>1254</v>
      </c>
      <c r="N77" s="18" t="s">
        <v>1255</v>
      </c>
      <c r="R77" s="2" t="str">
        <f>IF(ISERROR(VLOOKUP([1]IMM!F76,Table8[[#All],[Column2]:[Column3]],2,FALSE)),"",(VLOOKUP([1]IMM!F76,Table8[[#All],[Column2]:[Column3]],2,FALSE)))</f>
        <v/>
      </c>
      <c r="U77" s="2" t="str">
        <f>IF([1]IMM!P76="","",[1]IMM!P76)</f>
        <v/>
      </c>
      <c r="V77" s="2" t="str">
        <f t="shared" si="9"/>
        <v/>
      </c>
      <c r="W77" s="2" t="str">
        <f t="shared" si="10"/>
        <v/>
      </c>
      <c r="X77" s="2" t="str">
        <f t="shared" si="11"/>
        <v/>
      </c>
      <c r="Y77" s="16" t="str">
        <f t="shared" si="12"/>
        <v/>
      </c>
      <c r="Z77" s="16"/>
      <c r="AB77" s="19" t="s">
        <v>1256</v>
      </c>
      <c r="AC77" s="3" t="s">
        <v>564</v>
      </c>
      <c r="AE77" s="3" t="str">
        <f>[1]Country!E76</f>
        <v>FI</v>
      </c>
      <c r="AF77" s="3" t="str">
        <f>[1]Country!C76</f>
        <v>Finland</v>
      </c>
      <c r="AH77" s="3" t="str">
        <f t="shared" si="13"/>
        <v>FIN</v>
      </c>
      <c r="AJ77" s="2" t="str">
        <f>IF([1]IMM!N76="","",[1]IMM!N76)</f>
        <v/>
      </c>
      <c r="AK77" s="16" t="str">
        <f t="shared" si="14"/>
        <v/>
      </c>
      <c r="AL77" s="16" t="str">
        <f t="shared" si="15"/>
        <v/>
      </c>
      <c r="AM77" s="2" t="str">
        <f t="shared" si="16"/>
        <v/>
      </c>
      <c r="AN77" s="16" t="str">
        <f t="shared" si="17"/>
        <v/>
      </c>
    </row>
    <row r="78" spans="4:40">
      <c r="D78" s="13" t="e">
        <f>#REF!</f>
        <v>#REF!</v>
      </c>
      <c r="G78" s="17" t="s">
        <v>1204</v>
      </c>
      <c r="H78" s="3" t="s">
        <v>1257</v>
      </c>
      <c r="I78" s="3" t="s">
        <v>1258</v>
      </c>
      <c r="L78" s="2" t="s">
        <v>1259</v>
      </c>
      <c r="M78" s="2" t="s">
        <v>1254</v>
      </c>
      <c r="N78" s="18"/>
      <c r="R78" s="2" t="str">
        <f>IF(ISERROR(VLOOKUP([1]IMM!F77,Table8[[#All],[Column2]:[Column3]],2,FALSE)),"",(VLOOKUP([1]IMM!F77,Table8[[#All],[Column2]:[Column3]],2,FALSE)))</f>
        <v/>
      </c>
      <c r="U78" s="2" t="str">
        <f>IF([1]IMM!P77="","",[1]IMM!P77)</f>
        <v/>
      </c>
      <c r="V78" s="2" t="str">
        <f t="shared" si="9"/>
        <v/>
      </c>
      <c r="W78" s="2" t="str">
        <f t="shared" si="10"/>
        <v/>
      </c>
      <c r="X78" s="2" t="str">
        <f t="shared" si="11"/>
        <v/>
      </c>
      <c r="Y78" s="16" t="str">
        <f t="shared" si="12"/>
        <v/>
      </c>
      <c r="Z78" s="16"/>
      <c r="AB78" s="19" t="s">
        <v>1260</v>
      </c>
      <c r="AC78" s="3" t="s">
        <v>540</v>
      </c>
      <c r="AE78" s="3" t="str">
        <f>[1]Country!E77</f>
        <v>FR</v>
      </c>
      <c r="AF78" s="3" t="str">
        <f>[1]Country!C77</f>
        <v>France</v>
      </c>
      <c r="AH78" s="3" t="str">
        <f t="shared" si="13"/>
        <v>FRA</v>
      </c>
      <c r="AJ78" s="2" t="str">
        <f>IF([1]IMM!N77="","",[1]IMM!N77)</f>
        <v/>
      </c>
      <c r="AK78" s="16" t="str">
        <f t="shared" si="14"/>
        <v/>
      </c>
      <c r="AL78" s="16" t="str">
        <f t="shared" si="15"/>
        <v/>
      </c>
      <c r="AM78" s="2" t="str">
        <f t="shared" si="16"/>
        <v/>
      </c>
      <c r="AN78" s="16" t="str">
        <f t="shared" si="17"/>
        <v/>
      </c>
    </row>
    <row r="79" spans="4:40">
      <c r="D79" s="13" t="e">
        <f>#REF!</f>
        <v>#REF!</v>
      </c>
      <c r="G79" s="17" t="s">
        <v>1208</v>
      </c>
      <c r="H79" s="3" t="s">
        <v>1261</v>
      </c>
      <c r="I79" s="3" t="s">
        <v>1262</v>
      </c>
      <c r="L79" s="2" t="s">
        <v>1263</v>
      </c>
      <c r="M79" s="2" t="s">
        <v>1264</v>
      </c>
      <c r="N79" s="18" t="s">
        <v>1265</v>
      </c>
      <c r="R79" s="2" t="str">
        <f>IF(ISERROR(VLOOKUP([1]IMM!F78,Table8[[#All],[Column2]:[Column3]],2,FALSE)),"",(VLOOKUP([1]IMM!F78,Table8[[#All],[Column2]:[Column3]],2,FALSE)))</f>
        <v/>
      </c>
      <c r="U79" s="2" t="str">
        <f>IF([1]IMM!P78="","",[1]IMM!P78)</f>
        <v/>
      </c>
      <c r="V79" s="2" t="str">
        <f t="shared" si="9"/>
        <v/>
      </c>
      <c r="W79" s="2" t="str">
        <f t="shared" si="10"/>
        <v/>
      </c>
      <c r="X79" s="2" t="str">
        <f t="shared" si="11"/>
        <v/>
      </c>
      <c r="Y79" s="16" t="str">
        <f t="shared" si="12"/>
        <v/>
      </c>
      <c r="Z79" s="16"/>
      <c r="AB79" s="19" t="s">
        <v>1266</v>
      </c>
      <c r="AC79" s="3" t="s">
        <v>666</v>
      </c>
      <c r="AE79" s="3" t="str">
        <f>[1]Country!E78</f>
        <v>FX</v>
      </c>
      <c r="AF79" s="3" t="str">
        <f>[1]Country!C78</f>
        <v>France</v>
      </c>
      <c r="AH79" s="3" t="str">
        <f t="shared" si="13"/>
        <v>FRA</v>
      </c>
      <c r="AJ79" s="2" t="str">
        <f>IF([1]IMM!N78="","",[1]IMM!N78)</f>
        <v/>
      </c>
      <c r="AK79" s="16" t="str">
        <f t="shared" si="14"/>
        <v/>
      </c>
      <c r="AL79" s="16" t="str">
        <f t="shared" si="15"/>
        <v/>
      </c>
      <c r="AM79" s="2" t="str">
        <f t="shared" si="16"/>
        <v/>
      </c>
      <c r="AN79" s="16" t="str">
        <f t="shared" si="17"/>
        <v/>
      </c>
    </row>
    <row r="80" spans="4:40">
      <c r="D80" s="13" t="e">
        <f>#REF!</f>
        <v>#REF!</v>
      </c>
      <c r="G80" s="17" t="s">
        <v>1226</v>
      </c>
      <c r="H80" s="3" t="s">
        <v>1267</v>
      </c>
      <c r="I80" s="3" t="s">
        <v>1268</v>
      </c>
      <c r="L80" s="2" t="s">
        <v>1269</v>
      </c>
      <c r="M80" s="2" t="s">
        <v>1270</v>
      </c>
      <c r="N80" s="18" t="s">
        <v>1271</v>
      </c>
      <c r="R80" s="2" t="str">
        <f>IF(ISERROR(VLOOKUP([1]IMM!F79,Table8[[#All],[Column2]:[Column3]],2,FALSE)),"",(VLOOKUP([1]IMM!F79,Table8[[#All],[Column2]:[Column3]],2,FALSE)))</f>
        <v/>
      </c>
      <c r="U80" s="2" t="str">
        <f>IF([1]IMM!P79="","",[1]IMM!P79)</f>
        <v/>
      </c>
      <c r="V80" s="2" t="str">
        <f t="shared" si="9"/>
        <v/>
      </c>
      <c r="W80" s="2" t="str">
        <f t="shared" si="10"/>
        <v/>
      </c>
      <c r="X80" s="2" t="str">
        <f t="shared" si="11"/>
        <v/>
      </c>
      <c r="Y80" s="16" t="str">
        <f t="shared" si="12"/>
        <v/>
      </c>
      <c r="Z80" s="16"/>
      <c r="AB80" s="19" t="s">
        <v>1272</v>
      </c>
      <c r="AC80" s="3" t="s">
        <v>663</v>
      </c>
      <c r="AE80" s="3" t="str">
        <f>[1]Country!E79</f>
        <v>GF</v>
      </c>
      <c r="AF80" s="3" t="str">
        <f>[1]Country!C79</f>
        <v>French Guiana</v>
      </c>
      <c r="AH80" s="3" t="str">
        <f t="shared" si="13"/>
        <v/>
      </c>
      <c r="AJ80" s="2" t="str">
        <f>IF([1]IMM!N79="","",[1]IMM!N79)</f>
        <v/>
      </c>
      <c r="AK80" s="16" t="str">
        <f t="shared" si="14"/>
        <v/>
      </c>
      <c r="AL80" s="16" t="str">
        <f t="shared" si="15"/>
        <v/>
      </c>
      <c r="AM80" s="2" t="str">
        <f t="shared" si="16"/>
        <v/>
      </c>
      <c r="AN80" s="16" t="str">
        <f t="shared" si="17"/>
        <v/>
      </c>
    </row>
    <row r="81" spans="4:40">
      <c r="D81" s="13" t="e">
        <f>#REF!</f>
        <v>#REF!</v>
      </c>
      <c r="G81" s="17" t="s">
        <v>1231</v>
      </c>
      <c r="H81" s="3" t="s">
        <v>1273</v>
      </c>
      <c r="I81" s="3" t="s">
        <v>1274</v>
      </c>
      <c r="L81" s="2" t="s">
        <v>1275</v>
      </c>
      <c r="M81" s="2" t="s">
        <v>1276</v>
      </c>
      <c r="N81" s="18"/>
      <c r="R81" s="2" t="str">
        <f>IF(ISERROR(VLOOKUP([1]IMM!F80,Table8[[#All],[Column2]:[Column3]],2,FALSE)),"",(VLOOKUP([1]IMM!F80,Table8[[#All],[Column2]:[Column3]],2,FALSE)))</f>
        <v/>
      </c>
      <c r="U81" s="2" t="str">
        <f>IF([1]IMM!P80="","",[1]IMM!P80)</f>
        <v/>
      </c>
      <c r="V81" s="2" t="str">
        <f t="shared" si="9"/>
        <v/>
      </c>
      <c r="W81" s="2" t="str">
        <f t="shared" si="10"/>
        <v/>
      </c>
      <c r="X81" s="2" t="str">
        <f t="shared" si="11"/>
        <v/>
      </c>
      <c r="Y81" s="16" t="str">
        <f t="shared" si="12"/>
        <v/>
      </c>
      <c r="Z81" s="16"/>
      <c r="AB81" s="19" t="s">
        <v>1277</v>
      </c>
      <c r="AC81" s="3" t="s">
        <v>690</v>
      </c>
      <c r="AE81" s="3" t="str">
        <f>[1]Country!E80</f>
        <v>PF</v>
      </c>
      <c r="AF81" s="3" t="str">
        <f>[1]Country!C80</f>
        <v>French Polynesia</v>
      </c>
      <c r="AH81" s="3" t="str">
        <f t="shared" si="13"/>
        <v/>
      </c>
      <c r="AJ81" s="2" t="str">
        <f>IF([1]IMM!N80="","",[1]IMM!N80)</f>
        <v/>
      </c>
      <c r="AK81" s="16" t="str">
        <f t="shared" si="14"/>
        <v/>
      </c>
      <c r="AL81" s="16" t="str">
        <f t="shared" si="15"/>
        <v/>
      </c>
      <c r="AM81" s="2" t="str">
        <f t="shared" si="16"/>
        <v/>
      </c>
      <c r="AN81" s="16" t="str">
        <f t="shared" si="17"/>
        <v/>
      </c>
    </row>
    <row r="82" spans="4:40">
      <c r="D82" s="13" t="e">
        <f>#REF!</f>
        <v>#REF!</v>
      </c>
      <c r="G82" s="17" t="s">
        <v>1211</v>
      </c>
      <c r="H82" s="3" t="s">
        <v>1278</v>
      </c>
      <c r="I82" s="3" t="s">
        <v>1279</v>
      </c>
      <c r="L82" s="2" t="s">
        <v>1280</v>
      </c>
      <c r="M82" s="2" t="s">
        <v>1281</v>
      </c>
      <c r="N82" s="18" t="s">
        <v>1282</v>
      </c>
      <c r="R82" s="2" t="str">
        <f>IF(ISERROR(VLOOKUP([1]IMM!F81,Table8[[#All],[Column2]:[Column3]],2,FALSE)),"",(VLOOKUP([1]IMM!F81,Table8[[#All],[Column2]:[Column3]],2,FALSE)))</f>
        <v/>
      </c>
      <c r="U82" s="2" t="str">
        <f>IF([1]IMM!P81="","",[1]IMM!P81)</f>
        <v/>
      </c>
      <c r="V82" s="2" t="str">
        <f t="shared" si="9"/>
        <v/>
      </c>
      <c r="W82" s="2" t="str">
        <f t="shared" si="10"/>
        <v/>
      </c>
      <c r="X82" s="2" t="str">
        <f t="shared" si="11"/>
        <v/>
      </c>
      <c r="Y82" s="16" t="str">
        <f t="shared" si="12"/>
        <v/>
      </c>
      <c r="Z82" s="16"/>
      <c r="AB82" s="19" t="s">
        <v>1283</v>
      </c>
      <c r="AC82" s="3" t="s">
        <v>792</v>
      </c>
      <c r="AE82" s="3" t="str">
        <f>[1]Country!E81</f>
        <v>TF</v>
      </c>
      <c r="AF82" s="3" t="str">
        <f>[1]Country!C81</f>
        <v>French Southern Territories</v>
      </c>
      <c r="AH82" s="3" t="str">
        <f t="shared" si="13"/>
        <v/>
      </c>
      <c r="AJ82" s="2" t="str">
        <f>IF([1]IMM!N81="","",[1]IMM!N81)</f>
        <v/>
      </c>
      <c r="AK82" s="16" t="str">
        <f t="shared" si="14"/>
        <v/>
      </c>
      <c r="AL82" s="16" t="str">
        <f t="shared" si="15"/>
        <v/>
      </c>
      <c r="AM82" s="2" t="str">
        <f t="shared" si="16"/>
        <v/>
      </c>
      <c r="AN82" s="16" t="str">
        <f t="shared" si="17"/>
        <v/>
      </c>
    </row>
    <row r="83" spans="4:40">
      <c r="D83" s="13" t="e">
        <f>#REF!</f>
        <v>#REF!</v>
      </c>
      <c r="G83" s="17" t="s">
        <v>1215</v>
      </c>
      <c r="H83" s="3" t="s">
        <v>1284</v>
      </c>
      <c r="I83" s="3" t="s">
        <v>1285</v>
      </c>
      <c r="L83" s="2" t="s">
        <v>1286</v>
      </c>
      <c r="M83" s="2" t="s">
        <v>1287</v>
      </c>
      <c r="N83" s="18" t="s">
        <v>1288</v>
      </c>
      <c r="R83" s="2" t="str">
        <f>IF(ISERROR(VLOOKUP([1]IMM!F82,Table8[[#All],[Column2]:[Column3]],2,FALSE)),"",(VLOOKUP([1]IMM!F82,Table8[[#All],[Column2]:[Column3]],2,FALSE)))</f>
        <v/>
      </c>
      <c r="U83" s="2" t="str">
        <f>IF([1]IMM!P82="","",[1]IMM!P82)</f>
        <v/>
      </c>
      <c r="V83" s="2" t="str">
        <f t="shared" si="9"/>
        <v/>
      </c>
      <c r="W83" s="2" t="str">
        <f t="shared" si="10"/>
        <v/>
      </c>
      <c r="X83" s="2" t="str">
        <f t="shared" si="11"/>
        <v/>
      </c>
      <c r="Y83" s="16" t="str">
        <f t="shared" si="12"/>
        <v/>
      </c>
      <c r="Z83" s="16"/>
      <c r="AB83" s="19" t="s">
        <v>1289</v>
      </c>
      <c r="AC83" s="3" t="s">
        <v>444</v>
      </c>
      <c r="AE83" s="3" t="str">
        <f>[1]Country!E82</f>
        <v>GA</v>
      </c>
      <c r="AF83" s="3" t="str">
        <f>[1]Country!C82</f>
        <v>Gabon</v>
      </c>
      <c r="AH83" s="3" t="str">
        <f t="shared" si="13"/>
        <v/>
      </c>
      <c r="AJ83" s="2" t="str">
        <f>IF([1]IMM!N82="","",[1]IMM!N82)</f>
        <v/>
      </c>
      <c r="AK83" s="16" t="str">
        <f t="shared" si="14"/>
        <v/>
      </c>
      <c r="AL83" s="16" t="str">
        <f t="shared" si="15"/>
        <v/>
      </c>
      <c r="AM83" s="2" t="str">
        <f t="shared" si="16"/>
        <v/>
      </c>
      <c r="AN83" s="16" t="str">
        <f t="shared" si="17"/>
        <v/>
      </c>
    </row>
    <row r="84" spans="4:40">
      <c r="D84" s="13" t="e">
        <f>#REF!</f>
        <v>#REF!</v>
      </c>
      <c r="G84" s="17" t="s">
        <v>1290</v>
      </c>
      <c r="H84" s="3" t="s">
        <v>1267</v>
      </c>
      <c r="I84" s="3" t="s">
        <v>1268</v>
      </c>
      <c r="L84" s="2" t="s">
        <v>1291</v>
      </c>
      <c r="M84" s="2" t="s">
        <v>1292</v>
      </c>
      <c r="N84" s="18" t="s">
        <v>1293</v>
      </c>
      <c r="R84" s="2" t="str">
        <f>IF(ISERROR(VLOOKUP([1]IMM!F83,Table8[[#All],[Column2]:[Column3]],2,FALSE)),"",(VLOOKUP([1]IMM!F83,Table8[[#All],[Column2]:[Column3]],2,FALSE)))</f>
        <v/>
      </c>
      <c r="U84" s="2" t="str">
        <f>IF([1]IMM!P83="","",[1]IMM!P83)</f>
        <v/>
      </c>
      <c r="V84" s="2" t="str">
        <f t="shared" si="9"/>
        <v/>
      </c>
      <c r="W84" s="2" t="str">
        <f t="shared" si="10"/>
        <v/>
      </c>
      <c r="X84" s="2" t="str">
        <f t="shared" si="11"/>
        <v/>
      </c>
      <c r="Y84" s="16" t="str">
        <f t="shared" si="12"/>
        <v/>
      </c>
      <c r="Z84" s="16"/>
      <c r="AB84" s="3" t="s">
        <v>1294</v>
      </c>
      <c r="AC84" s="3" t="s">
        <v>12</v>
      </c>
      <c r="AE84" s="3" t="str">
        <f>[1]Country!E83</f>
        <v>GM</v>
      </c>
      <c r="AF84" s="3" t="str">
        <f>[1]Country!C83</f>
        <v>Gambia</v>
      </c>
      <c r="AH84" s="3" t="str">
        <f t="shared" si="13"/>
        <v/>
      </c>
      <c r="AJ84" s="2" t="str">
        <f>IF([1]IMM!N83="","",[1]IMM!N83)</f>
        <v/>
      </c>
      <c r="AK84" s="16" t="str">
        <f t="shared" si="14"/>
        <v/>
      </c>
      <c r="AL84" s="16" t="str">
        <f t="shared" si="15"/>
        <v/>
      </c>
      <c r="AM84" s="2" t="str">
        <f t="shared" si="16"/>
        <v/>
      </c>
      <c r="AN84" s="16" t="str">
        <f t="shared" si="17"/>
        <v/>
      </c>
    </row>
    <row r="85" spans="4:40">
      <c r="D85" s="13" t="e">
        <f>#REF!</f>
        <v>#REF!</v>
      </c>
      <c r="G85" s="17" t="s">
        <v>1221</v>
      </c>
      <c r="H85" s="3" t="s">
        <v>247</v>
      </c>
      <c r="I85" s="3" t="s">
        <v>1295</v>
      </c>
      <c r="L85" s="2" t="s">
        <v>1296</v>
      </c>
      <c r="M85" s="2" t="s">
        <v>952</v>
      </c>
      <c r="N85" s="18" t="s">
        <v>1297</v>
      </c>
      <c r="R85" s="2" t="str">
        <f>IF(ISERROR(VLOOKUP([1]IMM!F84,Table8[[#All],[Column2]:[Column3]],2,FALSE)),"",(VLOOKUP([1]IMM!F84,Table8[[#All],[Column2]:[Column3]],2,FALSE)))</f>
        <v/>
      </c>
      <c r="U85" s="2" t="str">
        <f>IF([1]IMM!P84="","",[1]IMM!P84)</f>
        <v/>
      </c>
      <c r="V85" s="2" t="str">
        <f t="shared" si="9"/>
        <v/>
      </c>
      <c r="W85" s="2" t="str">
        <f t="shared" si="10"/>
        <v/>
      </c>
      <c r="X85" s="2" t="str">
        <f t="shared" si="11"/>
        <v/>
      </c>
      <c r="Y85" s="16" t="str">
        <f t="shared" si="12"/>
        <v/>
      </c>
      <c r="Z85" s="16"/>
      <c r="AB85" s="2" t="s">
        <v>1254</v>
      </c>
      <c r="AC85" s="2" t="s">
        <v>261</v>
      </c>
      <c r="AE85" s="3" t="str">
        <f>[1]Country!E84</f>
        <v>GE</v>
      </c>
      <c r="AF85" s="3" t="str">
        <f>[1]Country!C84</f>
        <v>Georgia</v>
      </c>
      <c r="AH85" s="3" t="str">
        <f t="shared" si="13"/>
        <v>GEO</v>
      </c>
      <c r="AJ85" s="2" t="str">
        <f>IF([1]IMM!N84="","",[1]IMM!N84)</f>
        <v/>
      </c>
      <c r="AK85" s="16" t="str">
        <f t="shared" si="14"/>
        <v/>
      </c>
      <c r="AL85" s="16" t="str">
        <f t="shared" si="15"/>
        <v/>
      </c>
      <c r="AM85" s="2" t="str">
        <f t="shared" si="16"/>
        <v/>
      </c>
      <c r="AN85" s="16" t="str">
        <f t="shared" si="17"/>
        <v/>
      </c>
    </row>
    <row r="86" spans="4:40">
      <c r="D86" s="13" t="e">
        <f>#REF!</f>
        <v>#REF!</v>
      </c>
      <c r="G86" s="17" t="s">
        <v>1298</v>
      </c>
      <c r="H86" s="3" t="s">
        <v>1299</v>
      </c>
      <c r="I86" s="3" t="s">
        <v>1300</v>
      </c>
      <c r="L86" s="2" t="s">
        <v>1301</v>
      </c>
      <c r="M86" s="2" t="s">
        <v>1302</v>
      </c>
      <c r="N86" s="18" t="s">
        <v>1303</v>
      </c>
      <c r="R86" s="2" t="str">
        <f>IF(ISERROR(VLOOKUP([1]IMM!F85,Table8[[#All],[Column2]:[Column3]],2,FALSE)),"",(VLOOKUP([1]IMM!F85,Table8[[#All],[Column2]:[Column3]],2,FALSE)))</f>
        <v/>
      </c>
      <c r="U86" s="2" t="str">
        <f>IF([1]IMM!P85="","",[1]IMM!P85)</f>
        <v/>
      </c>
      <c r="V86" s="2" t="str">
        <f t="shared" si="9"/>
        <v/>
      </c>
      <c r="W86" s="2" t="str">
        <f t="shared" si="10"/>
        <v/>
      </c>
      <c r="X86" s="2" t="str">
        <f t="shared" si="11"/>
        <v/>
      </c>
      <c r="Y86" s="16" t="str">
        <f t="shared" si="12"/>
        <v/>
      </c>
      <c r="Z86" s="16"/>
      <c r="AB86" s="2" t="s">
        <v>952</v>
      </c>
      <c r="AC86" s="2" t="s">
        <v>276</v>
      </c>
      <c r="AE86" s="3" t="str">
        <f>[1]Country!E85</f>
        <v>DE</v>
      </c>
      <c r="AF86" s="3" t="str">
        <f>[1]Country!C85</f>
        <v>Germany</v>
      </c>
      <c r="AH86" s="3" t="str">
        <f t="shared" si="13"/>
        <v>DEU</v>
      </c>
      <c r="AJ86" s="2" t="str">
        <f>IF([1]IMM!N85="","",[1]IMM!N85)</f>
        <v/>
      </c>
      <c r="AK86" s="16" t="str">
        <f t="shared" si="14"/>
        <v/>
      </c>
      <c r="AL86" s="16" t="str">
        <f t="shared" si="15"/>
        <v/>
      </c>
      <c r="AM86" s="2" t="str">
        <f t="shared" si="16"/>
        <v/>
      </c>
      <c r="AN86" s="16" t="str">
        <f t="shared" si="17"/>
        <v/>
      </c>
    </row>
    <row r="87" spans="4:40">
      <c r="D87" s="13" t="e">
        <f>#REF!</f>
        <v>#REF!</v>
      </c>
      <c r="G87" s="17" t="s">
        <v>1240</v>
      </c>
      <c r="H87" s="3" t="s">
        <v>1304</v>
      </c>
      <c r="I87" s="3" t="s">
        <v>1305</v>
      </c>
      <c r="L87" s="2" t="s">
        <v>1306</v>
      </c>
      <c r="M87" s="2" t="s">
        <v>1307</v>
      </c>
      <c r="N87" s="18" t="s">
        <v>1308</v>
      </c>
      <c r="R87" s="2" t="str">
        <f>IF(ISERROR(VLOOKUP([1]IMM!F86,Table8[[#All],[Column2]:[Column3]],2,FALSE)),"",(VLOOKUP([1]IMM!F86,Table8[[#All],[Column2]:[Column3]],2,FALSE)))</f>
        <v/>
      </c>
      <c r="U87" s="2" t="str">
        <f>IF([1]IMM!P86="","",[1]IMM!P86)</f>
        <v/>
      </c>
      <c r="V87" s="2" t="str">
        <f t="shared" si="9"/>
        <v/>
      </c>
      <c r="W87" s="2" t="str">
        <f t="shared" si="10"/>
        <v/>
      </c>
      <c r="X87" s="2" t="str">
        <f t="shared" si="11"/>
        <v/>
      </c>
      <c r="Y87" s="16" t="str">
        <f t="shared" si="12"/>
        <v/>
      </c>
      <c r="Z87" s="16"/>
      <c r="AB87" s="2" t="s">
        <v>869</v>
      </c>
      <c r="AC87" s="2" t="s">
        <v>24</v>
      </c>
      <c r="AE87" s="3" t="str">
        <f>[1]Country!E86</f>
        <v>GH</v>
      </c>
      <c r="AF87" s="3" t="str">
        <f>[1]Country!C86</f>
        <v>Ghana</v>
      </c>
      <c r="AH87" s="3" t="str">
        <f t="shared" si="13"/>
        <v/>
      </c>
      <c r="AJ87" s="2" t="str">
        <f>IF([1]IMM!N86="","",[1]IMM!N86)</f>
        <v/>
      </c>
      <c r="AK87" s="16" t="str">
        <f t="shared" si="14"/>
        <v/>
      </c>
      <c r="AL87" s="16" t="str">
        <f t="shared" si="15"/>
        <v/>
      </c>
      <c r="AM87" s="2" t="str">
        <f t="shared" si="16"/>
        <v/>
      </c>
      <c r="AN87" s="16" t="str">
        <f t="shared" si="17"/>
        <v/>
      </c>
    </row>
    <row r="88" spans="4:40">
      <c r="D88" s="13" t="e">
        <f>#REF!</f>
        <v>#REF!</v>
      </c>
      <c r="G88" s="17" t="s">
        <v>1246</v>
      </c>
      <c r="H88" s="3" t="s">
        <v>1309</v>
      </c>
      <c r="I88" s="3" t="s">
        <v>1310</v>
      </c>
      <c r="L88" s="2" t="s">
        <v>1311</v>
      </c>
      <c r="M88" s="2" t="s">
        <v>956</v>
      </c>
      <c r="N88" s="18" t="s">
        <v>1014</v>
      </c>
      <c r="R88" s="2" t="str">
        <f>IF(ISERROR(VLOOKUP([1]IMM!F87,Table8[[#All],[Column2]:[Column3]],2,FALSE)),"",(VLOOKUP([1]IMM!F87,Table8[[#All],[Column2]:[Column3]],2,FALSE)))</f>
        <v/>
      </c>
      <c r="U88" s="2" t="str">
        <f>IF([1]IMM!P87="","",[1]IMM!P87)</f>
        <v/>
      </c>
      <c r="V88" s="2" t="str">
        <f t="shared" si="9"/>
        <v/>
      </c>
      <c r="W88" s="2" t="str">
        <f t="shared" si="10"/>
        <v/>
      </c>
      <c r="X88" s="2" t="str">
        <f t="shared" si="11"/>
        <v/>
      </c>
      <c r="Y88" s="16" t="str">
        <f t="shared" si="12"/>
        <v/>
      </c>
      <c r="Z88" s="16"/>
      <c r="AB88" s="2" t="s">
        <v>1312</v>
      </c>
      <c r="AC88" s="2" t="s">
        <v>84</v>
      </c>
      <c r="AE88" s="3" t="str">
        <f>[1]Country!E87</f>
        <v>GI</v>
      </c>
      <c r="AF88" s="3" t="str">
        <f>[1]Country!C87</f>
        <v>Gibraltar</v>
      </c>
      <c r="AH88" s="3" t="str">
        <f t="shared" si="13"/>
        <v/>
      </c>
      <c r="AJ88" s="2" t="str">
        <f>IF([1]IMM!N87="","",[1]IMM!N87)</f>
        <v/>
      </c>
      <c r="AK88" s="16" t="str">
        <f t="shared" si="14"/>
        <v/>
      </c>
      <c r="AL88" s="16" t="str">
        <f t="shared" si="15"/>
        <v/>
      </c>
      <c r="AM88" s="2" t="str">
        <f t="shared" si="16"/>
        <v/>
      </c>
      <c r="AN88" s="16" t="str">
        <f t="shared" si="17"/>
        <v/>
      </c>
    </row>
    <row r="89" spans="4:40">
      <c r="D89" s="13" t="e">
        <f>#REF!</f>
        <v>#REF!</v>
      </c>
      <c r="G89" s="17" t="s">
        <v>1251</v>
      </c>
      <c r="H89" s="3" t="s">
        <v>1313</v>
      </c>
      <c r="I89" s="3" t="s">
        <v>1314</v>
      </c>
      <c r="L89" s="2" t="s">
        <v>1315</v>
      </c>
      <c r="M89" s="2" t="s">
        <v>961</v>
      </c>
      <c r="N89" s="18" t="s">
        <v>1316</v>
      </c>
      <c r="R89" s="2" t="str">
        <f>IF(ISERROR(VLOOKUP([1]IMM!F88,Table8[[#All],[Column2]:[Column3]],2,FALSE)),"",(VLOOKUP([1]IMM!F88,Table8[[#All],[Column2]:[Column3]],2,FALSE)))</f>
        <v/>
      </c>
      <c r="U89" s="2" t="str">
        <f>IF([1]IMM!P88="","",[1]IMM!P88)</f>
        <v/>
      </c>
      <c r="V89" s="2" t="str">
        <f t="shared" si="9"/>
        <v/>
      </c>
      <c r="W89" s="2" t="str">
        <f t="shared" si="10"/>
        <v/>
      </c>
      <c r="X89" s="2" t="str">
        <f t="shared" si="11"/>
        <v/>
      </c>
      <c r="Y89" s="16" t="str">
        <f t="shared" si="12"/>
        <v/>
      </c>
      <c r="Z89" s="16"/>
      <c r="AB89" s="2" t="s">
        <v>1210</v>
      </c>
      <c r="AC89" s="2" t="s">
        <v>237</v>
      </c>
      <c r="AE89" s="3" t="str">
        <f>[1]Country!E88</f>
        <v>GB</v>
      </c>
      <c r="AF89" s="3" t="str">
        <f>[1]Country!C88</f>
        <v>Great Britain</v>
      </c>
      <c r="AH89" s="3" t="str">
        <f t="shared" si="13"/>
        <v>GBR</v>
      </c>
      <c r="AJ89" s="2" t="str">
        <f>IF([1]IMM!N88="","",[1]IMM!N88)</f>
        <v/>
      </c>
      <c r="AK89" s="16" t="str">
        <f t="shared" si="14"/>
        <v/>
      </c>
      <c r="AL89" s="16" t="str">
        <f t="shared" si="15"/>
        <v/>
      </c>
      <c r="AM89" s="2" t="str">
        <f t="shared" si="16"/>
        <v/>
      </c>
      <c r="AN89" s="16" t="str">
        <f t="shared" si="17"/>
        <v/>
      </c>
    </row>
    <row r="90" spans="4:40">
      <c r="D90" s="13" t="e">
        <f>#REF!</f>
        <v>#REF!</v>
      </c>
      <c r="G90" s="17" t="s">
        <v>1255</v>
      </c>
      <c r="H90" s="3" t="s">
        <v>1317</v>
      </c>
      <c r="I90" s="3" t="s">
        <v>1318</v>
      </c>
      <c r="L90" s="2" t="s">
        <v>1319</v>
      </c>
      <c r="M90" s="2" t="s">
        <v>1320</v>
      </c>
      <c r="N90" s="18" t="s">
        <v>1321</v>
      </c>
      <c r="R90" s="2" t="str">
        <f>IF(ISERROR(VLOOKUP([1]IMM!F89,Table8[[#All],[Column2]:[Column3]],2,FALSE)),"",(VLOOKUP([1]IMM!F89,Table8[[#All],[Column2]:[Column3]],2,FALSE)))</f>
        <v/>
      </c>
      <c r="U90" s="2" t="str">
        <f>IF([1]IMM!P89="","",[1]IMM!P89)</f>
        <v/>
      </c>
      <c r="V90" s="2" t="str">
        <f t="shared" si="9"/>
        <v/>
      </c>
      <c r="W90" s="2" t="str">
        <f t="shared" si="10"/>
        <v/>
      </c>
      <c r="X90" s="2" t="str">
        <f t="shared" si="11"/>
        <v/>
      </c>
      <c r="Y90" s="16" t="str">
        <f t="shared" si="12"/>
        <v/>
      </c>
      <c r="Z90" s="16"/>
      <c r="AB90" s="2" t="s">
        <v>1322</v>
      </c>
      <c r="AC90" s="2" t="s">
        <v>627</v>
      </c>
      <c r="AE90" s="3" t="str">
        <f>[1]Country!E89</f>
        <v>GR</v>
      </c>
      <c r="AF90" s="3" t="str">
        <f>[1]Country!C89</f>
        <v>Greece</v>
      </c>
      <c r="AH90" s="3">
        <f t="shared" si="13"/>
        <v>0</v>
      </c>
      <c r="AJ90" s="2" t="str">
        <f>IF([1]IMM!N89="","",[1]IMM!N89)</f>
        <v/>
      </c>
      <c r="AK90" s="16" t="str">
        <f t="shared" si="14"/>
        <v/>
      </c>
      <c r="AL90" s="16" t="str">
        <f t="shared" si="15"/>
        <v/>
      </c>
      <c r="AM90" s="2" t="str">
        <f t="shared" si="16"/>
        <v/>
      </c>
      <c r="AN90" s="16" t="str">
        <f t="shared" si="17"/>
        <v/>
      </c>
    </row>
    <row r="91" spans="4:40">
      <c r="D91" s="13" t="e">
        <f>#REF!</f>
        <v>#REF!</v>
      </c>
      <c r="G91" s="17" t="s">
        <v>1236</v>
      </c>
      <c r="H91" s="3" t="s">
        <v>266</v>
      </c>
      <c r="I91" s="3" t="s">
        <v>266</v>
      </c>
      <c r="L91" s="2" t="s">
        <v>1323</v>
      </c>
      <c r="M91" s="2" t="s">
        <v>1324</v>
      </c>
      <c r="N91" s="18"/>
      <c r="R91" s="2" t="str">
        <f>IF(ISERROR(VLOOKUP([1]IMM!F90,Table8[[#All],[Column2]:[Column3]],2,FALSE)),"",(VLOOKUP([1]IMM!F90,Table8[[#All],[Column2]:[Column3]],2,FALSE)))</f>
        <v/>
      </c>
      <c r="U91" s="2" t="str">
        <f>IF([1]IMM!P90="","",[1]IMM!P90)</f>
        <v/>
      </c>
      <c r="V91" s="2" t="str">
        <f t="shared" si="9"/>
        <v/>
      </c>
      <c r="W91" s="2" t="str">
        <f t="shared" si="10"/>
        <v/>
      </c>
      <c r="X91" s="2" t="str">
        <f t="shared" si="11"/>
        <v/>
      </c>
      <c r="Y91" s="16" t="str">
        <f t="shared" si="12"/>
        <v/>
      </c>
      <c r="Z91" s="16"/>
      <c r="AB91" s="2" t="s">
        <v>1325</v>
      </c>
      <c r="AC91" s="2" t="s">
        <v>375</v>
      </c>
      <c r="AE91" s="3" t="str">
        <f>[1]Country!E90</f>
        <v>GL</v>
      </c>
      <c r="AF91" s="3" t="str">
        <f>[1]Country!C90</f>
        <v>Greenland</v>
      </c>
      <c r="AH91" s="3" t="str">
        <f t="shared" si="13"/>
        <v/>
      </c>
      <c r="AJ91" s="2" t="str">
        <f>IF([1]IMM!N90="","",[1]IMM!N90)</f>
        <v/>
      </c>
      <c r="AK91" s="16" t="str">
        <f t="shared" si="14"/>
        <v/>
      </c>
      <c r="AL91" s="16" t="str">
        <f t="shared" si="15"/>
        <v/>
      </c>
      <c r="AM91" s="2" t="str">
        <f t="shared" si="16"/>
        <v/>
      </c>
      <c r="AN91" s="16" t="str">
        <f t="shared" si="17"/>
        <v/>
      </c>
    </row>
    <row r="92" spans="4:40">
      <c r="D92" s="13" t="e">
        <f>#REF!</f>
        <v>#REF!</v>
      </c>
      <c r="G92" s="17" t="s">
        <v>1326</v>
      </c>
      <c r="H92" s="3" t="s">
        <v>269</v>
      </c>
      <c r="I92" s="3" t="s">
        <v>269</v>
      </c>
      <c r="L92" s="2" t="s">
        <v>1327</v>
      </c>
      <c r="M92" s="2" t="s">
        <v>1328</v>
      </c>
      <c r="N92" s="18" t="s">
        <v>1329</v>
      </c>
      <c r="R92" s="2" t="str">
        <f>IF(ISERROR(VLOOKUP([1]IMM!F91,Table8[[#All],[Column2]:[Column3]],2,FALSE)),"",(VLOOKUP([1]IMM!F91,Table8[[#All],[Column2]:[Column3]],2,FALSE)))</f>
        <v/>
      </c>
      <c r="U92" s="2" t="str">
        <f>IF([1]IMM!P91="","",[1]IMM!P91)</f>
        <v/>
      </c>
      <c r="V92" s="2" t="str">
        <f t="shared" si="9"/>
        <v/>
      </c>
      <c r="W92" s="2" t="str">
        <f t="shared" si="10"/>
        <v/>
      </c>
      <c r="X92" s="2" t="str">
        <f t="shared" si="11"/>
        <v/>
      </c>
      <c r="Y92" s="16" t="str">
        <f t="shared" si="12"/>
        <v/>
      </c>
      <c r="Z92" s="16"/>
      <c r="AB92" s="2" t="s">
        <v>1022</v>
      </c>
      <c r="AC92" s="2" t="s">
        <v>81</v>
      </c>
      <c r="AE92" s="3" t="str">
        <f>[1]Country!E91</f>
        <v>GD</v>
      </c>
      <c r="AF92" s="3" t="str">
        <f>[1]Country!C91</f>
        <v>Grenada</v>
      </c>
      <c r="AH92" s="3" t="str">
        <f>IFERROR(VLOOKUP(AF92,$AB$3:$AC$100,2,),"")</f>
        <v>GRD</v>
      </c>
      <c r="AJ92" s="2" t="str">
        <f>IF([1]IMM!N91="","",[1]IMM!N91)</f>
        <v/>
      </c>
      <c r="AK92" s="16" t="str">
        <f t="shared" si="14"/>
        <v/>
      </c>
      <c r="AL92" s="16" t="str">
        <f t="shared" si="15"/>
        <v/>
      </c>
      <c r="AM92" s="2" t="str">
        <f t="shared" si="16"/>
        <v/>
      </c>
      <c r="AN92" s="16" t="str">
        <f t="shared" si="17"/>
        <v/>
      </c>
    </row>
    <row r="93" spans="4:40">
      <c r="D93" s="13" t="e">
        <f>#REF!</f>
        <v>#REF!</v>
      </c>
      <c r="G93" s="17" t="s">
        <v>1282</v>
      </c>
      <c r="H93" s="3" t="s">
        <v>1330</v>
      </c>
      <c r="I93" s="3" t="s">
        <v>1331</v>
      </c>
      <c r="L93" s="2" t="s">
        <v>1332</v>
      </c>
      <c r="M93" s="2" t="s">
        <v>1333</v>
      </c>
      <c r="N93" s="18" t="s">
        <v>1334</v>
      </c>
      <c r="R93" s="2" t="str">
        <f>IF(ISERROR(VLOOKUP([1]IMM!F92,Table8[[#All],[Column2]:[Column3]],2,FALSE)),"",(VLOOKUP([1]IMM!F92,Table8[[#All],[Column2]:[Column3]],2,FALSE)))</f>
        <v/>
      </c>
      <c r="U93" s="2" t="str">
        <f>IF([1]IMM!P92="","",[1]IMM!P92)</f>
        <v/>
      </c>
      <c r="V93" s="2" t="str">
        <f t="shared" si="9"/>
        <v/>
      </c>
      <c r="W93" s="2" t="str">
        <f t="shared" si="10"/>
        <v/>
      </c>
      <c r="X93" s="2" t="str">
        <f t="shared" si="11"/>
        <v/>
      </c>
      <c r="Y93" s="16" t="str">
        <f t="shared" si="12"/>
        <v/>
      </c>
      <c r="Z93" s="16"/>
      <c r="AB93" s="2" t="s">
        <v>1324</v>
      </c>
      <c r="AC93" s="2" t="s">
        <v>303</v>
      </c>
      <c r="AE93" s="3" t="str">
        <f>[1]Country!E92</f>
        <v>GP</v>
      </c>
      <c r="AF93" s="3" t="str">
        <f>[1]Country!C92</f>
        <v>Guadeloupe/St Martin</v>
      </c>
      <c r="AH93" s="3" t="str">
        <f t="shared" si="13"/>
        <v/>
      </c>
      <c r="AJ93" s="2" t="str">
        <f>IF([1]IMM!N92="","",[1]IMM!N92)</f>
        <v/>
      </c>
      <c r="AK93" s="16" t="str">
        <f t="shared" si="14"/>
        <v/>
      </c>
      <c r="AL93" s="16" t="str">
        <f t="shared" si="15"/>
        <v/>
      </c>
      <c r="AM93" s="2" t="str">
        <f t="shared" si="16"/>
        <v/>
      </c>
      <c r="AN93" s="16" t="str">
        <f t="shared" si="17"/>
        <v/>
      </c>
    </row>
    <row r="94" spans="4:40">
      <c r="D94" s="13" t="e">
        <f>#REF!</f>
        <v>#REF!</v>
      </c>
      <c r="G94" s="17" t="s">
        <v>1288</v>
      </c>
      <c r="H94" s="3" t="s">
        <v>1335</v>
      </c>
      <c r="I94" s="3" t="s">
        <v>1336</v>
      </c>
      <c r="L94" s="2" t="s">
        <v>1337</v>
      </c>
      <c r="M94" s="2" t="s">
        <v>1338</v>
      </c>
      <c r="N94" s="18" t="s">
        <v>1339</v>
      </c>
      <c r="R94" s="2" t="str">
        <f>IF(ISERROR(VLOOKUP([1]IMM!F93,Table8[[#All],[Column2]:[Column3]],2,FALSE)),"",(VLOOKUP([1]IMM!F93,Table8[[#All],[Column2]:[Column3]],2,FALSE)))</f>
        <v/>
      </c>
      <c r="U94" s="2" t="str">
        <f>IF([1]IMM!P93="","",[1]IMM!P93)</f>
        <v/>
      </c>
      <c r="V94" s="2" t="str">
        <f t="shared" si="9"/>
        <v/>
      </c>
      <c r="W94" s="2" t="str">
        <f t="shared" si="10"/>
        <v/>
      </c>
      <c r="X94" s="2" t="str">
        <f t="shared" si="11"/>
        <v/>
      </c>
      <c r="Y94" s="16" t="str">
        <f t="shared" si="12"/>
        <v/>
      </c>
      <c r="Z94" s="16"/>
      <c r="AB94" s="2" t="s">
        <v>1340</v>
      </c>
      <c r="AC94" s="2" t="s">
        <v>699</v>
      </c>
      <c r="AE94" s="3" t="str">
        <f>[1]Country!E93</f>
        <v>GU</v>
      </c>
      <c r="AF94" s="3" t="str">
        <f>[1]Country!C93</f>
        <v>Guam</v>
      </c>
      <c r="AH94" s="3" t="str">
        <f t="shared" si="13"/>
        <v/>
      </c>
      <c r="AJ94" s="2" t="str">
        <f>IF([1]IMM!N93="","",[1]IMM!N93)</f>
        <v/>
      </c>
      <c r="AK94" s="16" t="str">
        <f t="shared" si="14"/>
        <v/>
      </c>
      <c r="AL94" s="16" t="str">
        <f t="shared" si="15"/>
        <v/>
      </c>
      <c r="AM94" s="2" t="str">
        <f t="shared" si="16"/>
        <v/>
      </c>
      <c r="AN94" s="16" t="str">
        <f t="shared" si="17"/>
        <v/>
      </c>
    </row>
    <row r="95" spans="4:40">
      <c r="D95" s="13" t="e">
        <f>#REF!</f>
        <v>#REF!</v>
      </c>
      <c r="G95" s="17" t="s">
        <v>1297</v>
      </c>
      <c r="H95" s="3" t="s">
        <v>1341</v>
      </c>
      <c r="I95" s="3" t="s">
        <v>1342</v>
      </c>
      <c r="L95" s="2" t="s">
        <v>1343</v>
      </c>
      <c r="M95" s="2" t="s">
        <v>1344</v>
      </c>
      <c r="N95" s="18" t="s">
        <v>1345</v>
      </c>
      <c r="R95" s="2" t="str">
        <f>IF(ISERROR(VLOOKUP([1]IMM!F94,Table8[[#All],[Column2]:[Column3]],2,FALSE)),"",(VLOOKUP([1]IMM!F94,Table8[[#All],[Column2]:[Column3]],2,FALSE)))</f>
        <v/>
      </c>
      <c r="U95" s="2" t="str">
        <f>IF([1]IMM!P94="","",[1]IMM!P94)</f>
        <v/>
      </c>
      <c r="V95" s="2" t="str">
        <f t="shared" si="9"/>
        <v/>
      </c>
      <c r="W95" s="2" t="str">
        <f t="shared" si="10"/>
        <v/>
      </c>
      <c r="X95" s="2" t="str">
        <f t="shared" si="11"/>
        <v/>
      </c>
      <c r="Y95" s="16" t="str">
        <f t="shared" si="12"/>
        <v/>
      </c>
      <c r="Z95" s="16"/>
      <c r="AB95" s="2" t="s">
        <v>950</v>
      </c>
      <c r="AC95" s="2" t="s">
        <v>60</v>
      </c>
      <c r="AE95" s="3" t="str">
        <f>[1]Country!E94</f>
        <v>GT</v>
      </c>
      <c r="AF95" s="3" t="str">
        <f>[1]Country!C94</f>
        <v>Guatemala</v>
      </c>
      <c r="AH95" s="3" t="str">
        <f t="shared" si="13"/>
        <v/>
      </c>
      <c r="AJ95" s="2" t="str">
        <f>IF([1]IMM!N94="","",[1]IMM!N94)</f>
        <v/>
      </c>
      <c r="AK95" s="16" t="str">
        <f t="shared" si="14"/>
        <v/>
      </c>
      <c r="AL95" s="16" t="str">
        <f t="shared" si="15"/>
        <v/>
      </c>
      <c r="AM95" s="2" t="str">
        <f t="shared" si="16"/>
        <v/>
      </c>
      <c r="AN95" s="16" t="str">
        <f t="shared" si="17"/>
        <v/>
      </c>
    </row>
    <row r="96" spans="4:40">
      <c r="D96" s="13" t="e">
        <f>#REF!</f>
        <v>#REF!</v>
      </c>
      <c r="G96" s="17" t="s">
        <v>1303</v>
      </c>
      <c r="H96" s="3" t="s">
        <v>1346</v>
      </c>
      <c r="I96" s="3" t="s">
        <v>1347</v>
      </c>
      <c r="L96" s="2" t="s">
        <v>1348</v>
      </c>
      <c r="M96" s="2" t="s">
        <v>1349</v>
      </c>
      <c r="N96" s="18" t="s">
        <v>1350</v>
      </c>
      <c r="R96" s="2" t="str">
        <f>IF(ISERROR(VLOOKUP([1]IMM!F95,Table8[[#All],[Column2]:[Column3]],2,FALSE)),"",(VLOOKUP([1]IMM!F95,Table8[[#All],[Column2]:[Column3]],2,FALSE)))</f>
        <v/>
      </c>
      <c r="U96" s="2" t="str">
        <f>IF([1]IMM!P95="","",[1]IMM!P95)</f>
        <v/>
      </c>
      <c r="V96" s="2" t="str">
        <f t="shared" si="9"/>
        <v/>
      </c>
      <c r="W96" s="2" t="str">
        <f t="shared" si="10"/>
        <v/>
      </c>
      <c r="X96" s="2" t="str">
        <f t="shared" si="11"/>
        <v/>
      </c>
      <c r="Y96" s="16" t="str">
        <f t="shared" si="12"/>
        <v/>
      </c>
      <c r="Z96" s="16"/>
      <c r="AB96" s="2" t="s">
        <v>1351</v>
      </c>
      <c r="AC96" s="2" t="s">
        <v>687</v>
      </c>
      <c r="AE96" s="3" t="str">
        <f>[1]Country!E95</f>
        <v>GN</v>
      </c>
      <c r="AF96" s="3" t="str">
        <f>[1]Country!C95</f>
        <v>Guinea</v>
      </c>
      <c r="AH96" s="3" t="str">
        <f t="shared" si="13"/>
        <v/>
      </c>
      <c r="AJ96" s="2" t="str">
        <f>IF([1]IMM!N95="","",[1]IMM!N95)</f>
        <v/>
      </c>
      <c r="AK96" s="16" t="str">
        <f t="shared" si="14"/>
        <v/>
      </c>
      <c r="AL96" s="16" t="str">
        <f t="shared" si="15"/>
        <v/>
      </c>
      <c r="AM96" s="2" t="str">
        <f t="shared" si="16"/>
        <v/>
      </c>
      <c r="AN96" s="16" t="str">
        <f t="shared" si="17"/>
        <v/>
      </c>
    </row>
    <row r="97" spans="4:40">
      <c r="D97" s="13" t="e">
        <f>#REF!</f>
        <v>#REF!</v>
      </c>
      <c r="G97" s="17" t="s">
        <v>1316</v>
      </c>
      <c r="H97" s="3" t="s">
        <v>1352</v>
      </c>
      <c r="I97" s="3" t="s">
        <v>1353</v>
      </c>
      <c r="L97" s="2" t="s">
        <v>1354</v>
      </c>
      <c r="M97" s="2" t="s">
        <v>1355</v>
      </c>
      <c r="N97" s="18" t="s">
        <v>1356</v>
      </c>
      <c r="R97" s="2" t="str">
        <f>IF(ISERROR(VLOOKUP([1]IMM!F96,Table8[[#All],[Column2]:[Column3]],2,FALSE)),"",(VLOOKUP([1]IMM!F96,Table8[[#All],[Column2]:[Column3]],2,FALSE)))</f>
        <v/>
      </c>
      <c r="U97" s="2" t="str">
        <f>IF([1]IMM!P96="","",[1]IMM!P96)</f>
        <v/>
      </c>
      <c r="V97" s="2" t="str">
        <f t="shared" si="9"/>
        <v/>
      </c>
      <c r="W97" s="2" t="str">
        <f t="shared" si="10"/>
        <v/>
      </c>
      <c r="X97" s="2" t="str">
        <f t="shared" si="11"/>
        <v/>
      </c>
      <c r="Y97" s="16" t="str">
        <f t="shared" si="12"/>
        <v/>
      </c>
      <c r="Z97" s="16"/>
      <c r="AB97" s="2" t="s">
        <v>961</v>
      </c>
      <c r="AC97" s="2" t="s">
        <v>390</v>
      </c>
      <c r="AE97" s="3" t="str">
        <f>[1]Country!E96</f>
        <v>GW</v>
      </c>
      <c r="AF97" s="3" t="str">
        <f>[1]Country!C96</f>
        <v>Guinea Bissau</v>
      </c>
      <c r="AH97" s="3" t="str">
        <f t="shared" si="13"/>
        <v/>
      </c>
      <c r="AJ97" s="2" t="str">
        <f>IF([1]IMM!N96="","",[1]IMM!N96)</f>
        <v/>
      </c>
      <c r="AK97" s="16" t="str">
        <f t="shared" si="14"/>
        <v/>
      </c>
      <c r="AL97" s="16" t="str">
        <f t="shared" si="15"/>
        <v/>
      </c>
      <c r="AM97" s="2" t="str">
        <f t="shared" si="16"/>
        <v/>
      </c>
      <c r="AN97" s="16" t="str">
        <f t="shared" si="17"/>
        <v/>
      </c>
    </row>
    <row r="98" spans="4:40">
      <c r="D98" s="13" t="e">
        <f>#REF!</f>
        <v>#REF!</v>
      </c>
      <c r="G98" s="17" t="s">
        <v>1321</v>
      </c>
      <c r="H98" s="3" t="s">
        <v>1357</v>
      </c>
      <c r="I98" s="3" t="s">
        <v>1358</v>
      </c>
      <c r="L98" s="2" t="s">
        <v>1359</v>
      </c>
      <c r="M98" s="2" t="s">
        <v>1360</v>
      </c>
      <c r="N98" s="18" t="s">
        <v>1361</v>
      </c>
      <c r="R98" s="2" t="str">
        <f>IF(ISERROR(VLOOKUP([1]IMM!F97,Table8[[#All],[Column2]:[Column3]],2,FALSE)),"",(VLOOKUP([1]IMM!F97,Table8[[#All],[Column2]:[Column3]],2,FALSE)))</f>
        <v/>
      </c>
      <c r="U98" s="2" t="str">
        <f>IF([1]IMM!P97="","",[1]IMM!P97)</f>
        <v/>
      </c>
      <c r="V98" s="2" t="str">
        <f t="shared" si="9"/>
        <v/>
      </c>
      <c r="W98" s="2" t="str">
        <f t="shared" si="10"/>
        <v/>
      </c>
      <c r="X98" s="2" t="str">
        <f t="shared" si="11"/>
        <v/>
      </c>
      <c r="Y98" s="16" t="str">
        <f t="shared" si="12"/>
        <v/>
      </c>
      <c r="Z98" s="16"/>
      <c r="AB98" s="2" t="s">
        <v>1292</v>
      </c>
      <c r="AC98" s="2" t="s">
        <v>309</v>
      </c>
      <c r="AE98" s="3" t="str">
        <f>[1]Country!E97</f>
        <v>GY</v>
      </c>
      <c r="AF98" s="3" t="str">
        <f>[1]Country!C97</f>
        <v>Guyana</v>
      </c>
      <c r="AH98" s="3" t="str">
        <f t="shared" si="13"/>
        <v/>
      </c>
      <c r="AJ98" s="2" t="str">
        <f>IF([1]IMM!N97="","",[1]IMM!N97)</f>
        <v/>
      </c>
      <c r="AK98" s="16" t="str">
        <f t="shared" si="14"/>
        <v/>
      </c>
      <c r="AL98" s="16" t="str">
        <f t="shared" si="15"/>
        <v/>
      </c>
      <c r="AM98" s="2" t="str">
        <f t="shared" si="16"/>
        <v/>
      </c>
      <c r="AN98" s="16" t="str">
        <f t="shared" si="17"/>
        <v/>
      </c>
    </row>
    <row r="99" spans="4:40">
      <c r="D99" s="13" t="e">
        <f>#REF!</f>
        <v>#REF!</v>
      </c>
      <c r="G99" s="17" t="s">
        <v>1329</v>
      </c>
      <c r="H99" s="3" t="s">
        <v>1362</v>
      </c>
      <c r="I99" s="3" t="s">
        <v>1363</v>
      </c>
      <c r="L99" s="2" t="s">
        <v>1364</v>
      </c>
      <c r="M99" s="2" t="s">
        <v>1365</v>
      </c>
      <c r="N99" s="18" t="s">
        <v>1366</v>
      </c>
      <c r="R99" s="2" t="str">
        <f>IF(ISERROR(VLOOKUP([1]IMM!F98,Table8[[#All],[Column2]:[Column3]],2,FALSE)),"",(VLOOKUP([1]IMM!F98,Table8[[#All],[Column2]:[Column3]],2,FALSE)))</f>
        <v/>
      </c>
      <c r="U99" s="2" t="str">
        <f>IF([1]IMM!P98="","",[1]IMM!P98)</f>
        <v/>
      </c>
      <c r="V99" s="2" t="str">
        <f t="shared" si="9"/>
        <v/>
      </c>
      <c r="W99" s="2" t="str">
        <f t="shared" si="10"/>
        <v/>
      </c>
      <c r="X99" s="2" t="str">
        <f t="shared" si="11"/>
        <v/>
      </c>
      <c r="Y99" s="16" t="str">
        <f t="shared" si="12"/>
        <v/>
      </c>
      <c r="Z99" s="16"/>
      <c r="AB99" s="2" t="s">
        <v>873</v>
      </c>
      <c r="AC99" s="2" t="s">
        <v>9</v>
      </c>
      <c r="AE99" s="3" t="str">
        <f>[1]Country!E98</f>
        <v>HT</v>
      </c>
      <c r="AF99" s="3" t="str">
        <f>[1]Country!C98</f>
        <v>Haiti</v>
      </c>
      <c r="AH99" s="3" t="str">
        <f t="shared" si="13"/>
        <v/>
      </c>
      <c r="AJ99" s="2" t="str">
        <f>IF([1]IMM!N98="","",[1]IMM!N98)</f>
        <v/>
      </c>
      <c r="AK99" s="16" t="str">
        <f t="shared" si="14"/>
        <v/>
      </c>
      <c r="AL99" s="16" t="str">
        <f t="shared" si="15"/>
        <v/>
      </c>
      <c r="AM99" s="2" t="str">
        <f t="shared" si="16"/>
        <v/>
      </c>
      <c r="AN99" s="16" t="str">
        <f t="shared" si="17"/>
        <v/>
      </c>
    </row>
    <row r="100" spans="4:40">
      <c r="D100" s="13" t="e">
        <f>#REF!</f>
        <v>#REF!</v>
      </c>
      <c r="G100" s="17" t="s">
        <v>1339</v>
      </c>
      <c r="H100" s="3" t="s">
        <v>1367</v>
      </c>
      <c r="I100" s="3" t="s">
        <v>1368</v>
      </c>
      <c r="L100" s="2" t="s">
        <v>1369</v>
      </c>
      <c r="M100" s="2" t="s">
        <v>1370</v>
      </c>
      <c r="N100" s="18" t="s">
        <v>1371</v>
      </c>
      <c r="R100" s="2" t="str">
        <f>IF(ISERROR(VLOOKUP([1]IMM!F99,Table8[[#All],[Column2]:[Column3]],2,FALSE)),"",(VLOOKUP([1]IMM!F99,Table8[[#All],[Column2]:[Column3]],2,FALSE)))</f>
        <v/>
      </c>
      <c r="U100" s="2" t="str">
        <f>IF([1]IMM!P99="","",[1]IMM!P99)</f>
        <v/>
      </c>
      <c r="V100" s="2" t="str">
        <f t="shared" si="9"/>
        <v/>
      </c>
      <c r="W100" s="2" t="str">
        <f t="shared" si="10"/>
        <v/>
      </c>
      <c r="X100" s="2" t="str">
        <f t="shared" si="11"/>
        <v/>
      </c>
      <c r="Y100" s="16" t="str">
        <f t="shared" si="12"/>
        <v/>
      </c>
      <c r="Z100" s="16"/>
      <c r="AB100" s="2" t="s">
        <v>1372</v>
      </c>
      <c r="AC100" s="2" t="s">
        <v>177</v>
      </c>
      <c r="AE100" s="3" t="str">
        <f>[1]Country!E99</f>
        <v>HM</v>
      </c>
      <c r="AF100" s="3" t="str">
        <f>[1]Country!C99</f>
        <v>Heard and McDonald Islands</v>
      </c>
      <c r="AH100" s="3" t="str">
        <f t="shared" si="13"/>
        <v/>
      </c>
      <c r="AJ100" s="2" t="str">
        <f>IF([1]IMM!N99="","",[1]IMM!N99)</f>
        <v/>
      </c>
      <c r="AK100" s="16" t="str">
        <f t="shared" si="14"/>
        <v/>
      </c>
      <c r="AL100" s="16" t="str">
        <f t="shared" si="15"/>
        <v/>
      </c>
      <c r="AM100" s="2" t="str">
        <f t="shared" si="16"/>
        <v/>
      </c>
      <c r="AN100" s="16" t="str">
        <f t="shared" si="17"/>
        <v/>
      </c>
    </row>
    <row r="101" spans="4:40">
      <c r="D101" s="13" t="e">
        <f>#REF!</f>
        <v>#REF!</v>
      </c>
      <c r="G101" s="17" t="s">
        <v>1345</v>
      </c>
      <c r="H101" s="3" t="s">
        <v>1373</v>
      </c>
      <c r="I101" s="3" t="s">
        <v>1374</v>
      </c>
      <c r="L101" s="2" t="s">
        <v>1375</v>
      </c>
      <c r="M101" s="2" t="s">
        <v>964</v>
      </c>
      <c r="N101" s="18" t="s">
        <v>1376</v>
      </c>
      <c r="R101" s="2" t="str">
        <f>IF(ISERROR(VLOOKUP([1]IMM!F100,Table8[[#All],[Column2]:[Column3]],2,FALSE)),"",(VLOOKUP([1]IMM!F100,Table8[[#All],[Column2]:[Column3]],2,FALSE)))</f>
        <v/>
      </c>
      <c r="U101" s="2" t="str">
        <f>IF([1]IMM!P100="","",[1]IMM!P100)</f>
        <v/>
      </c>
      <c r="V101" s="2" t="str">
        <f t="shared" si="9"/>
        <v/>
      </c>
      <c r="W101" s="2" t="str">
        <f t="shared" si="10"/>
        <v/>
      </c>
      <c r="X101" s="2" t="str">
        <f t="shared" si="11"/>
        <v/>
      </c>
      <c r="Y101" s="16" t="str">
        <f t="shared" si="12"/>
        <v/>
      </c>
      <c r="Z101" s="16"/>
      <c r="AB101" s="2" t="s">
        <v>1029</v>
      </c>
      <c r="AC101" s="2" t="s">
        <v>417</v>
      </c>
      <c r="AE101" s="3" t="str">
        <f>[1]Country!E100</f>
        <v>HN</v>
      </c>
      <c r="AF101" s="3" t="str">
        <f>[1]Country!C100</f>
        <v>Honduras</v>
      </c>
      <c r="AH101" s="3" t="str">
        <f t="shared" si="13"/>
        <v/>
      </c>
      <c r="AJ101" s="2" t="str">
        <f>IF([1]IMM!N100="","",[1]IMM!N100)</f>
        <v/>
      </c>
      <c r="AK101" s="16" t="str">
        <f t="shared" si="14"/>
        <v/>
      </c>
      <c r="AL101" s="16" t="str">
        <f t="shared" si="15"/>
        <v/>
      </c>
      <c r="AM101" s="2" t="str">
        <f t="shared" si="16"/>
        <v/>
      </c>
      <c r="AN101" s="16" t="str">
        <f t="shared" si="17"/>
        <v/>
      </c>
    </row>
    <row r="102" spans="4:40">
      <c r="D102" s="13" t="e">
        <f>#REF!</f>
        <v>#REF!</v>
      </c>
      <c r="G102" s="17" t="s">
        <v>1356</v>
      </c>
      <c r="H102" s="3" t="s">
        <v>1377</v>
      </c>
      <c r="I102" s="3" t="s">
        <v>1378</v>
      </c>
      <c r="L102" s="2" t="s">
        <v>1379</v>
      </c>
      <c r="M102" s="2" t="s">
        <v>969</v>
      </c>
      <c r="N102" s="18" t="s">
        <v>1380</v>
      </c>
      <c r="R102" s="2" t="str">
        <f>IF(ISERROR(VLOOKUP([1]IMM!F101,Table8[[#All],[Column2]:[Column3]],2,FALSE)),"",(VLOOKUP([1]IMM!F101,Table8[[#All],[Column2]:[Column3]],2,FALSE)))</f>
        <v/>
      </c>
      <c r="U102" s="2" t="str">
        <f>IF([1]IMM!P101="","",[1]IMM!P101)</f>
        <v/>
      </c>
      <c r="V102" s="2" t="str">
        <f t="shared" si="9"/>
        <v/>
      </c>
      <c r="W102" s="2" t="str">
        <f t="shared" si="10"/>
        <v/>
      </c>
      <c r="X102" s="2" t="str">
        <f t="shared" si="11"/>
        <v/>
      </c>
      <c r="Y102" s="16" t="str">
        <f t="shared" si="12"/>
        <v/>
      </c>
      <c r="Z102" s="16"/>
      <c r="AB102" s="2" t="s">
        <v>990</v>
      </c>
      <c r="AC102" s="2" t="s">
        <v>342</v>
      </c>
      <c r="AE102" s="3" t="str">
        <f>[1]Country!E101</f>
        <v>HK</v>
      </c>
      <c r="AF102" s="3" t="str">
        <f>[1]Country!C101</f>
        <v>Hong Kong</v>
      </c>
      <c r="AH102" s="3" t="str">
        <f t="shared" si="13"/>
        <v>HKG</v>
      </c>
      <c r="AJ102" s="2" t="str">
        <f>IF([1]IMM!N101="","",[1]IMM!N101)</f>
        <v/>
      </c>
      <c r="AK102" s="16" t="str">
        <f t="shared" si="14"/>
        <v/>
      </c>
      <c r="AL102" s="16" t="str">
        <f t="shared" si="15"/>
        <v/>
      </c>
      <c r="AM102" s="2" t="str">
        <f t="shared" si="16"/>
        <v/>
      </c>
      <c r="AN102" s="16" t="str">
        <f t="shared" si="17"/>
        <v/>
      </c>
    </row>
    <row r="103" spans="4:40">
      <c r="D103" s="13" t="e">
        <f>#REF!</f>
        <v>#REF!</v>
      </c>
      <c r="G103" s="17" t="s">
        <v>1334</v>
      </c>
      <c r="H103" s="3" t="s">
        <v>1381</v>
      </c>
      <c r="I103" s="3" t="s">
        <v>1382</v>
      </c>
      <c r="L103" s="2" t="s">
        <v>1383</v>
      </c>
      <c r="M103" s="2" t="s">
        <v>974</v>
      </c>
      <c r="N103" s="18" t="s">
        <v>1384</v>
      </c>
      <c r="R103" s="2" t="str">
        <f>IF(ISERROR(VLOOKUP([1]IMM!F102,Table8[[#All],[Column2]:[Column3]],2,FALSE)),"",(VLOOKUP([1]IMM!F102,Table8[[#All],[Column2]:[Column3]],2,FALSE)))</f>
        <v/>
      </c>
      <c r="U103" s="2" t="str">
        <f>IF([1]IMM!P102="","",[1]IMM!P102)</f>
        <v/>
      </c>
      <c r="V103" s="2" t="str">
        <f t="shared" si="9"/>
        <v/>
      </c>
      <c r="W103" s="2" t="str">
        <f t="shared" si="10"/>
        <v/>
      </c>
      <c r="X103" s="2" t="str">
        <f t="shared" si="11"/>
        <v/>
      </c>
      <c r="Y103" s="16" t="str">
        <f t="shared" si="12"/>
        <v/>
      </c>
      <c r="Z103" s="16"/>
      <c r="AB103" s="2" t="s">
        <v>1000</v>
      </c>
      <c r="AC103" s="2" t="s">
        <v>351</v>
      </c>
      <c r="AE103" s="3" t="str">
        <f>[1]Country!E102</f>
        <v>HU</v>
      </c>
      <c r="AF103" s="3" t="str">
        <f>[1]Country!C102</f>
        <v>Hungary</v>
      </c>
      <c r="AH103" s="3" t="str">
        <f t="shared" si="13"/>
        <v>HUN</v>
      </c>
      <c r="AJ103" s="2" t="str">
        <f>IF([1]IMM!N102="","",[1]IMM!N102)</f>
        <v/>
      </c>
      <c r="AK103" s="16" t="str">
        <f t="shared" si="14"/>
        <v/>
      </c>
      <c r="AL103" s="16" t="str">
        <f t="shared" si="15"/>
        <v/>
      </c>
      <c r="AM103" s="2" t="str">
        <f t="shared" si="16"/>
        <v/>
      </c>
      <c r="AN103" s="16" t="str">
        <f t="shared" si="17"/>
        <v/>
      </c>
    </row>
    <row r="104" spans="4:40">
      <c r="D104" s="13" t="e">
        <f>#REF!</f>
        <v>#REF!</v>
      </c>
      <c r="G104" s="17" t="s">
        <v>1385</v>
      </c>
      <c r="H104" s="3" t="s">
        <v>304</v>
      </c>
      <c r="I104" s="3" t="s">
        <v>1386</v>
      </c>
      <c r="L104" s="2" t="s">
        <v>1387</v>
      </c>
      <c r="M104" s="2" t="s">
        <v>980</v>
      </c>
      <c r="N104" s="18" t="s">
        <v>1388</v>
      </c>
      <c r="R104" s="2" t="str">
        <f>IF(ISERROR(VLOOKUP([1]IMM!F103,Table8[[#All],[Column2]:[Column3]],2,FALSE)),"",(VLOOKUP([1]IMM!F103,Table8[[#All],[Column2]:[Column3]],2,FALSE)))</f>
        <v/>
      </c>
      <c r="U104" s="2" t="str">
        <f>IF([1]IMM!P103="","",[1]IMM!P103)</f>
        <v/>
      </c>
      <c r="V104" s="2" t="str">
        <f t="shared" si="9"/>
        <v/>
      </c>
      <c r="W104" s="2" t="str">
        <f t="shared" si="10"/>
        <v/>
      </c>
      <c r="X104" s="2" t="str">
        <f t="shared" si="11"/>
        <v/>
      </c>
      <c r="Y104" s="16" t="str">
        <f t="shared" si="12"/>
        <v/>
      </c>
      <c r="Z104" s="16"/>
      <c r="AB104" s="2" t="s">
        <v>1389</v>
      </c>
      <c r="AC104" s="2" t="s">
        <v>486</v>
      </c>
      <c r="AE104" s="3" t="str">
        <f>[1]Country!E103</f>
        <v>IS</v>
      </c>
      <c r="AF104" s="3" t="str">
        <f>[1]Country!C103</f>
        <v>Iceland</v>
      </c>
      <c r="AH104" s="3" t="str">
        <f t="shared" si="13"/>
        <v>ISL</v>
      </c>
      <c r="AJ104" s="2" t="str">
        <f>IF([1]IMM!N103="","",[1]IMM!N103)</f>
        <v/>
      </c>
      <c r="AK104" s="16" t="str">
        <f t="shared" si="14"/>
        <v/>
      </c>
      <c r="AL104" s="16" t="str">
        <f t="shared" si="15"/>
        <v/>
      </c>
      <c r="AM104" s="2" t="str">
        <f t="shared" si="16"/>
        <v/>
      </c>
      <c r="AN104" s="16" t="str">
        <f t="shared" si="17"/>
        <v/>
      </c>
    </row>
    <row r="105" spans="4:40">
      <c r="D105" s="13" t="e">
        <f>#REF!</f>
        <v>#REF!</v>
      </c>
      <c r="G105" s="17" t="s">
        <v>1350</v>
      </c>
      <c r="H105" s="3" t="s">
        <v>1390</v>
      </c>
      <c r="I105" s="3" t="s">
        <v>1391</v>
      </c>
      <c r="L105" s="2" t="s">
        <v>1392</v>
      </c>
      <c r="M105" s="2" t="s">
        <v>985</v>
      </c>
      <c r="N105" s="18" t="s">
        <v>1393</v>
      </c>
      <c r="R105" s="2" t="str">
        <f>IF(ISERROR(VLOOKUP([1]IMM!F104,Table8[[#All],[Column2]:[Column3]],2,FALSE)),"",(VLOOKUP([1]IMM!F104,Table8[[#All],[Column2]:[Column3]],2,FALSE)))</f>
        <v/>
      </c>
      <c r="U105" s="2" t="str">
        <f>IF([1]IMM!P104="","",[1]IMM!P104)</f>
        <v/>
      </c>
      <c r="V105" s="2" t="str">
        <f t="shared" si="9"/>
        <v/>
      </c>
      <c r="W105" s="2" t="str">
        <f t="shared" si="10"/>
        <v/>
      </c>
      <c r="X105" s="2" t="str">
        <f t="shared" si="11"/>
        <v/>
      </c>
      <c r="Y105" s="16" t="str">
        <f t="shared" si="12"/>
        <v/>
      </c>
      <c r="Z105" s="16"/>
      <c r="AB105" s="2" t="s">
        <v>1394</v>
      </c>
      <c r="AC105" s="2" t="s">
        <v>450</v>
      </c>
      <c r="AE105" s="3" t="str">
        <f>[1]Country!E104</f>
        <v>IN</v>
      </c>
      <c r="AF105" s="3" t="str">
        <f>[1]Country!C104</f>
        <v>India</v>
      </c>
      <c r="AH105" s="3" t="str">
        <f t="shared" si="13"/>
        <v>IND</v>
      </c>
      <c r="AJ105" s="2" t="str">
        <f>IF([1]IMM!N104="","",[1]IMM!N104)</f>
        <v/>
      </c>
      <c r="AK105" s="16" t="str">
        <f t="shared" si="14"/>
        <v/>
      </c>
      <c r="AL105" s="16" t="str">
        <f t="shared" si="15"/>
        <v/>
      </c>
      <c r="AM105" s="2" t="str">
        <f t="shared" si="16"/>
        <v/>
      </c>
      <c r="AN105" s="16" t="str">
        <f t="shared" si="17"/>
        <v/>
      </c>
    </row>
    <row r="106" spans="4:40">
      <c r="D106" s="13" t="e">
        <f>#REF!</f>
        <v>#REF!</v>
      </c>
      <c r="G106" s="17" t="s">
        <v>1293</v>
      </c>
      <c r="H106" s="3" t="s">
        <v>1395</v>
      </c>
      <c r="I106" s="3" t="s">
        <v>1396</v>
      </c>
      <c r="L106" s="2" t="s">
        <v>1397</v>
      </c>
      <c r="M106" s="2" t="s">
        <v>990</v>
      </c>
      <c r="N106" s="18" t="s">
        <v>1398</v>
      </c>
      <c r="R106" s="2" t="str">
        <f>IF(ISERROR(VLOOKUP([1]IMM!F105,Table8[[#All],[Column2]:[Column3]],2,FALSE)),"",(VLOOKUP([1]IMM!F105,Table8[[#All],[Column2]:[Column3]],2,FALSE)))</f>
        <v/>
      </c>
      <c r="U106" s="2" t="str">
        <f>IF([1]IMM!P105="","",[1]IMM!P105)</f>
        <v/>
      </c>
      <c r="V106" s="2" t="str">
        <f t="shared" si="9"/>
        <v/>
      </c>
      <c r="W106" s="2" t="str">
        <f t="shared" si="10"/>
        <v/>
      </c>
      <c r="X106" s="2" t="str">
        <f t="shared" si="11"/>
        <v/>
      </c>
      <c r="Y106" s="16" t="str">
        <f t="shared" si="12"/>
        <v/>
      </c>
      <c r="Z106" s="16"/>
      <c r="AB106" s="2" t="s">
        <v>961</v>
      </c>
      <c r="AC106" s="2" t="s">
        <v>390</v>
      </c>
      <c r="AE106" s="3" t="str">
        <f>[1]Country!E105</f>
        <v>ID</v>
      </c>
      <c r="AF106" s="3" t="str">
        <f>[1]Country!C105</f>
        <v>Indonesia</v>
      </c>
      <c r="AH106" s="3" t="str">
        <f t="shared" si="13"/>
        <v>IDN</v>
      </c>
      <c r="AJ106" s="2" t="str">
        <f>IF([1]IMM!N105="","",[1]IMM!N105)</f>
        <v/>
      </c>
      <c r="AK106" s="16" t="str">
        <f t="shared" si="14"/>
        <v/>
      </c>
      <c r="AL106" s="16" t="str">
        <f t="shared" si="15"/>
        <v/>
      </c>
      <c r="AM106" s="2" t="str">
        <f t="shared" si="16"/>
        <v/>
      </c>
      <c r="AN106" s="16" t="str">
        <f t="shared" si="17"/>
        <v/>
      </c>
    </row>
    <row r="107" spans="4:40">
      <c r="D107" s="13" t="e">
        <f>#REF!</f>
        <v>#REF!</v>
      </c>
      <c r="G107" s="17" t="s">
        <v>1308</v>
      </c>
      <c r="H107" s="3" t="s">
        <v>314</v>
      </c>
      <c r="I107" s="3" t="s">
        <v>314</v>
      </c>
      <c r="L107" s="2" t="s">
        <v>1399</v>
      </c>
      <c r="M107" s="2" t="s">
        <v>1400</v>
      </c>
      <c r="N107" s="18" t="s">
        <v>1401</v>
      </c>
      <c r="R107" s="2" t="str">
        <f>IF(ISERROR(VLOOKUP([1]IMM!F106,Table8[[#All],[Column2]:[Column3]],2,FALSE)),"",(VLOOKUP([1]IMM!F106,Table8[[#All],[Column2]:[Column3]],2,FALSE)))</f>
        <v/>
      </c>
      <c r="U107" s="2" t="str">
        <f>IF([1]IMM!P106="","",[1]IMM!P106)</f>
        <v/>
      </c>
      <c r="V107" s="2" t="str">
        <f t="shared" si="9"/>
        <v/>
      </c>
      <c r="W107" s="2" t="str">
        <f t="shared" si="10"/>
        <v/>
      </c>
      <c r="X107" s="2" t="str">
        <f t="shared" si="11"/>
        <v/>
      </c>
      <c r="Y107" s="16" t="str">
        <f t="shared" si="12"/>
        <v/>
      </c>
      <c r="Z107" s="16"/>
      <c r="AB107" s="2" t="s">
        <v>1402</v>
      </c>
      <c r="AC107" s="2" t="s">
        <v>399</v>
      </c>
      <c r="AE107" s="3" t="str">
        <f>[1]Country!E106</f>
        <v>IR</v>
      </c>
      <c r="AF107" s="3" t="str">
        <f>[1]Country!C106</f>
        <v>Iran</v>
      </c>
      <c r="AH107" s="3" t="str">
        <f t="shared" si="13"/>
        <v>IRN</v>
      </c>
      <c r="AJ107" s="2" t="str">
        <f>IF([1]IMM!N106="","",[1]IMM!N106)</f>
        <v/>
      </c>
      <c r="AK107" s="16" t="str">
        <f t="shared" si="14"/>
        <v/>
      </c>
      <c r="AL107" s="16" t="str">
        <f t="shared" si="15"/>
        <v/>
      </c>
      <c r="AM107" s="2" t="str">
        <f t="shared" si="16"/>
        <v/>
      </c>
      <c r="AN107" s="16" t="str">
        <f t="shared" si="17"/>
        <v/>
      </c>
    </row>
    <row r="108" spans="4:40">
      <c r="D108" s="13" t="e">
        <f>#REF!</f>
        <v>#REF!</v>
      </c>
      <c r="G108" s="17" t="s">
        <v>1265</v>
      </c>
      <c r="H108" s="3" t="s">
        <v>317</v>
      </c>
      <c r="I108" s="3" t="s">
        <v>317</v>
      </c>
      <c r="L108" s="2" t="s">
        <v>1403</v>
      </c>
      <c r="M108" s="2" t="s">
        <v>995</v>
      </c>
      <c r="N108" s="18" t="s">
        <v>1404</v>
      </c>
      <c r="R108" s="2" t="str">
        <f>IF(ISERROR(VLOOKUP([1]IMM!F107,Table8[[#All],[Column2]:[Column3]],2,FALSE)),"",(VLOOKUP([1]IMM!F107,Table8[[#All],[Column2]:[Column3]],2,FALSE)))</f>
        <v/>
      </c>
      <c r="U108" s="2" t="str">
        <f>IF([1]IMM!P107="","",[1]IMM!P107)</f>
        <v/>
      </c>
      <c r="V108" s="2" t="str">
        <f t="shared" si="9"/>
        <v/>
      </c>
      <c r="W108" s="2" t="str">
        <f t="shared" si="10"/>
        <v/>
      </c>
      <c r="X108" s="2" t="str">
        <f t="shared" si="11"/>
        <v/>
      </c>
      <c r="Y108" s="16" t="str">
        <f t="shared" si="12"/>
        <v/>
      </c>
      <c r="Z108" s="16"/>
      <c r="AB108" s="2" t="s">
        <v>1171</v>
      </c>
      <c r="AC108" s="2" t="s">
        <v>174</v>
      </c>
      <c r="AE108" s="3" t="str">
        <f>[1]Country!E107</f>
        <v>IQ</v>
      </c>
      <c r="AF108" s="3" t="str">
        <f>[1]Country!C107</f>
        <v>Iraq</v>
      </c>
      <c r="AH108" s="3" t="str">
        <f t="shared" si="13"/>
        <v/>
      </c>
      <c r="AJ108" s="2" t="str">
        <f>IF([1]IMM!N107="","",[1]IMM!N107)</f>
        <v/>
      </c>
      <c r="AK108" s="16" t="str">
        <f t="shared" si="14"/>
        <v/>
      </c>
      <c r="AL108" s="16" t="str">
        <f t="shared" si="15"/>
        <v/>
      </c>
      <c r="AM108" s="2" t="str">
        <f t="shared" si="16"/>
        <v/>
      </c>
      <c r="AN108" s="16" t="str">
        <f t="shared" si="17"/>
        <v/>
      </c>
    </row>
    <row r="109" spans="4:40">
      <c r="D109" s="13" t="e">
        <f>#REF!</f>
        <v>#REF!</v>
      </c>
      <c r="G109" s="17" t="s">
        <v>1361</v>
      </c>
      <c r="H109" s="3" t="s">
        <v>1405</v>
      </c>
      <c r="I109" s="3" t="s">
        <v>1406</v>
      </c>
      <c r="L109" s="2" t="s">
        <v>1407</v>
      </c>
      <c r="M109" s="2" t="s">
        <v>1408</v>
      </c>
      <c r="N109" s="18"/>
      <c r="R109" s="2" t="str">
        <f>IF(ISERROR(VLOOKUP([1]IMM!F108,Table8[[#All],[Column2]:[Column3]],2,FALSE)),"",(VLOOKUP([1]IMM!F108,Table8[[#All],[Column2]:[Column3]],2,FALSE)))</f>
        <v/>
      </c>
      <c r="U109" s="2" t="str">
        <f>IF([1]IMM!P108="","",[1]IMM!P108)</f>
        <v/>
      </c>
      <c r="V109" s="2" t="str">
        <f t="shared" si="9"/>
        <v/>
      </c>
      <c r="W109" s="2" t="str">
        <f t="shared" si="10"/>
        <v/>
      </c>
      <c r="X109" s="2" t="str">
        <f t="shared" si="11"/>
        <v/>
      </c>
      <c r="Y109" s="16" t="str">
        <f t="shared" si="12"/>
        <v/>
      </c>
      <c r="Z109" s="16"/>
      <c r="AB109" s="2" t="s">
        <v>1409</v>
      </c>
      <c r="AC109" s="2" t="s">
        <v>117</v>
      </c>
      <c r="AE109" s="3" t="str">
        <f>[1]Country!E108</f>
        <v>IE</v>
      </c>
      <c r="AF109" s="3" t="str">
        <f>[1]Country!C108</f>
        <v>Ireland</v>
      </c>
      <c r="AH109" s="3" t="str">
        <f t="shared" si="13"/>
        <v>IRL</v>
      </c>
      <c r="AJ109" s="2" t="str">
        <f>IF([1]IMM!N108="","",[1]IMM!N108)</f>
        <v/>
      </c>
      <c r="AK109" s="16" t="str">
        <f t="shared" si="14"/>
        <v/>
      </c>
      <c r="AL109" s="16" t="str">
        <f t="shared" si="15"/>
        <v/>
      </c>
      <c r="AM109" s="2" t="str">
        <f t="shared" si="16"/>
        <v/>
      </c>
      <c r="AN109" s="16" t="str">
        <f t="shared" si="17"/>
        <v/>
      </c>
    </row>
    <row r="110" spans="4:40">
      <c r="D110" s="13" t="e">
        <f>#REF!</f>
        <v>#REF!</v>
      </c>
      <c r="G110" s="17" t="s">
        <v>1371</v>
      </c>
      <c r="H110" s="3" t="s">
        <v>1410</v>
      </c>
      <c r="I110" s="3" t="s">
        <v>1411</v>
      </c>
      <c r="L110" s="2" t="s">
        <v>1412</v>
      </c>
      <c r="M110" s="2" t="s">
        <v>1000</v>
      </c>
      <c r="N110" s="18" t="s">
        <v>1413</v>
      </c>
      <c r="R110" s="2" t="str">
        <f>IF(ISERROR(VLOOKUP([1]IMM!F109,Table8[[#All],[Column2]:[Column3]],2,FALSE)),"",(VLOOKUP([1]IMM!F109,Table8[[#All],[Column2]:[Column3]],2,FALSE)))</f>
        <v/>
      </c>
      <c r="U110" s="2" t="str">
        <f>IF([1]IMM!P109="","",[1]IMM!P109)</f>
        <v/>
      </c>
      <c r="V110" s="2" t="str">
        <f t="shared" si="9"/>
        <v/>
      </c>
      <c r="W110" s="2" t="str">
        <f t="shared" si="10"/>
        <v/>
      </c>
      <c r="X110" s="2" t="str">
        <f t="shared" si="11"/>
        <v/>
      </c>
      <c r="Y110" s="16" t="str">
        <f t="shared" si="12"/>
        <v/>
      </c>
      <c r="Z110" s="16"/>
      <c r="AB110" s="2" t="s">
        <v>1414</v>
      </c>
      <c r="AC110" s="2" t="s">
        <v>723</v>
      </c>
      <c r="AE110" s="3" t="str">
        <f>[1]Country!E109</f>
        <v>IM</v>
      </c>
      <c r="AF110" s="3" t="str">
        <f>[1]Country!C109</f>
        <v>Isle Of Man</v>
      </c>
      <c r="AH110" s="3" t="str">
        <f t="shared" si="13"/>
        <v/>
      </c>
      <c r="AJ110" s="2" t="str">
        <f>IF([1]IMM!N109="","",[1]IMM!N109)</f>
        <v/>
      </c>
      <c r="AK110" s="16" t="str">
        <f t="shared" si="14"/>
        <v/>
      </c>
      <c r="AL110" s="16" t="str">
        <f t="shared" si="15"/>
        <v/>
      </c>
      <c r="AM110" s="2" t="str">
        <f t="shared" si="16"/>
        <v/>
      </c>
      <c r="AN110" s="16" t="str">
        <f t="shared" si="17"/>
        <v/>
      </c>
    </row>
    <row r="111" spans="4:40">
      <c r="D111" s="13" t="e">
        <f>#REF!</f>
        <v>#REF!</v>
      </c>
      <c r="G111" s="17" t="s">
        <v>1380</v>
      </c>
      <c r="H111" s="3" t="s">
        <v>1415</v>
      </c>
      <c r="I111" s="3" t="s">
        <v>1416</v>
      </c>
      <c r="L111" s="2" t="s">
        <v>1417</v>
      </c>
      <c r="M111" s="2" t="s">
        <v>1007</v>
      </c>
      <c r="N111" s="18" t="s">
        <v>1418</v>
      </c>
      <c r="R111" s="2" t="str">
        <f>IF(ISERROR(VLOOKUP([1]IMM!F110,Table8[[#All],[Column2]:[Column3]],2,FALSE)),"",(VLOOKUP([1]IMM!F110,Table8[[#All],[Column2]:[Column3]],2,FALSE)))</f>
        <v/>
      </c>
      <c r="U111" s="2" t="str">
        <f>IF([1]IMM!P110="","",[1]IMM!P110)</f>
        <v/>
      </c>
      <c r="V111" s="2" t="str">
        <f t="shared" si="9"/>
        <v/>
      </c>
      <c r="W111" s="2" t="str">
        <f t="shared" si="10"/>
        <v/>
      </c>
      <c r="X111" s="2" t="str">
        <f t="shared" si="11"/>
        <v/>
      </c>
      <c r="Y111" s="16" t="str">
        <f t="shared" si="12"/>
        <v/>
      </c>
      <c r="Z111" s="16"/>
      <c r="AB111" s="2" t="s">
        <v>918</v>
      </c>
      <c r="AC111" s="2" t="s">
        <v>18</v>
      </c>
      <c r="AE111" s="3" t="str">
        <f>[1]Country!E110</f>
        <v>IL</v>
      </c>
      <c r="AF111" s="3" t="str">
        <f>[1]Country!C110</f>
        <v>Israel</v>
      </c>
      <c r="AH111" s="3" t="str">
        <f t="shared" si="13"/>
        <v>ISR</v>
      </c>
      <c r="AJ111" s="2" t="str">
        <f>IF([1]IMM!N110="","",[1]IMM!N110)</f>
        <v/>
      </c>
      <c r="AK111" s="16" t="str">
        <f t="shared" si="14"/>
        <v/>
      </c>
      <c r="AL111" s="16" t="str">
        <f t="shared" si="15"/>
        <v/>
      </c>
      <c r="AM111" s="2" t="str">
        <f t="shared" si="16"/>
        <v/>
      </c>
      <c r="AN111" s="16" t="str">
        <f t="shared" si="17"/>
        <v/>
      </c>
    </row>
    <row r="112" spans="4:40">
      <c r="D112" s="13" t="e">
        <f>#REF!</f>
        <v>#REF!</v>
      </c>
      <c r="G112" s="17" t="s">
        <v>1376</v>
      </c>
      <c r="H112" s="3" t="s">
        <v>328</v>
      </c>
      <c r="I112" s="3" t="s">
        <v>329</v>
      </c>
      <c r="L112" s="2" t="s">
        <v>1419</v>
      </c>
      <c r="M112" s="2" t="s">
        <v>1420</v>
      </c>
      <c r="N112" s="18" t="s">
        <v>1421</v>
      </c>
      <c r="R112" s="2" t="str">
        <f>IF(ISERROR(VLOOKUP([1]IMM!F111,Table8[[#All],[Column2]:[Column3]],2,FALSE)),"",(VLOOKUP([1]IMM!F111,Table8[[#All],[Column2]:[Column3]],2,FALSE)))</f>
        <v/>
      </c>
      <c r="U112" s="2" t="str">
        <f>IF([1]IMM!P111="","",[1]IMM!P111)</f>
        <v/>
      </c>
      <c r="V112" s="2" t="str">
        <f t="shared" si="9"/>
        <v/>
      </c>
      <c r="W112" s="2" t="str">
        <f t="shared" si="10"/>
        <v/>
      </c>
      <c r="X112" s="2" t="str">
        <f t="shared" si="11"/>
        <v/>
      </c>
      <c r="Y112" s="16" t="str">
        <f t="shared" si="12"/>
        <v/>
      </c>
      <c r="Z112" s="16"/>
      <c r="AB112" s="2" t="s">
        <v>1040</v>
      </c>
      <c r="AC112" s="2" t="s">
        <v>93</v>
      </c>
      <c r="AE112" s="3" t="str">
        <f>[1]Country!E111</f>
        <v>IT</v>
      </c>
      <c r="AF112" s="3" t="str">
        <f>[1]Country!C111</f>
        <v>Italy</v>
      </c>
      <c r="AH112" s="3" t="str">
        <f t="shared" si="13"/>
        <v>ITA</v>
      </c>
      <c r="AJ112" s="2" t="str">
        <f>IF([1]IMM!N111="","",[1]IMM!N111)</f>
        <v/>
      </c>
      <c r="AK112" s="16" t="str">
        <f t="shared" si="14"/>
        <v/>
      </c>
      <c r="AL112" s="16" t="str">
        <f t="shared" si="15"/>
        <v/>
      </c>
      <c r="AM112" s="2" t="str">
        <f t="shared" si="16"/>
        <v/>
      </c>
      <c r="AN112" s="16" t="str">
        <f t="shared" si="17"/>
        <v/>
      </c>
    </row>
    <row r="113" spans="4:40">
      <c r="D113" s="13" t="e">
        <f>#REF!</f>
        <v>#REF!</v>
      </c>
      <c r="G113" s="17" t="s">
        <v>1366</v>
      </c>
      <c r="H113" s="3" t="s">
        <v>332</v>
      </c>
      <c r="I113" s="3" t="s">
        <v>332</v>
      </c>
      <c r="L113" s="2" t="s">
        <v>1422</v>
      </c>
      <c r="M113" s="2" t="s">
        <v>1013</v>
      </c>
      <c r="N113" s="18" t="s">
        <v>1423</v>
      </c>
      <c r="R113" s="2" t="str">
        <f>IF(ISERROR(VLOOKUP([1]IMM!F112,Table8[[#All],[Column2]:[Column3]],2,FALSE)),"",(VLOOKUP([1]IMM!F112,Table8[[#All],[Column2]:[Column3]],2,FALSE)))</f>
        <v/>
      </c>
      <c r="U113" s="2" t="str">
        <f>IF([1]IMM!P112="","",[1]IMM!P112)</f>
        <v/>
      </c>
      <c r="V113" s="2" t="str">
        <f t="shared" si="9"/>
        <v/>
      </c>
      <c r="W113" s="2" t="str">
        <f t="shared" si="10"/>
        <v/>
      </c>
      <c r="X113" s="2" t="str">
        <f t="shared" si="11"/>
        <v/>
      </c>
      <c r="Y113" s="16" t="str">
        <f t="shared" si="12"/>
        <v/>
      </c>
      <c r="Z113" s="16"/>
      <c r="AB113" s="2" t="s">
        <v>1424</v>
      </c>
      <c r="AC113" s="2" t="s">
        <v>423</v>
      </c>
      <c r="AE113" s="3" t="str">
        <f>[1]Country!E112</f>
        <v>JM</v>
      </c>
      <c r="AF113" s="3" t="str">
        <f>[1]Country!C112</f>
        <v>Jamaica</v>
      </c>
      <c r="AH113" s="3" t="str">
        <f t="shared" si="13"/>
        <v/>
      </c>
      <c r="AJ113" s="2" t="str">
        <f>IF([1]IMM!N112="","",[1]IMM!N112)</f>
        <v/>
      </c>
      <c r="AK113" s="16" t="str">
        <f t="shared" si="14"/>
        <v/>
      </c>
      <c r="AL113" s="16" t="str">
        <f t="shared" si="15"/>
        <v/>
      </c>
      <c r="AM113" s="2" t="str">
        <f t="shared" si="16"/>
        <v/>
      </c>
      <c r="AN113" s="16" t="str">
        <f t="shared" si="17"/>
        <v/>
      </c>
    </row>
    <row r="114" spans="4:40">
      <c r="D114" s="13" t="e">
        <f>#REF!</f>
        <v>#REF!</v>
      </c>
      <c r="G114" s="17" t="s">
        <v>1384</v>
      </c>
      <c r="H114" s="3" t="s">
        <v>1425</v>
      </c>
      <c r="I114" s="3" t="s">
        <v>1426</v>
      </c>
      <c r="L114" s="2" t="s">
        <v>1427</v>
      </c>
      <c r="M114" s="2" t="s">
        <v>1020</v>
      </c>
      <c r="N114" s="18" t="s">
        <v>1428</v>
      </c>
      <c r="R114" s="2" t="str">
        <f>IF(ISERROR(VLOOKUP([1]IMM!F113,Table8[[#All],[Column2]:[Column3]],2,FALSE)),"",(VLOOKUP([1]IMM!F113,Table8[[#All],[Column2]:[Column3]],2,FALSE)))</f>
        <v/>
      </c>
      <c r="U114" s="2" t="str">
        <f>IF([1]IMM!P113="","",[1]IMM!P113)</f>
        <v/>
      </c>
      <c r="V114" s="2" t="str">
        <f t="shared" si="9"/>
        <v/>
      </c>
      <c r="W114" s="2" t="str">
        <f t="shared" si="10"/>
        <v/>
      </c>
      <c r="X114" s="2" t="str">
        <f t="shared" si="11"/>
        <v/>
      </c>
      <c r="Y114" s="16" t="str">
        <f t="shared" si="12"/>
        <v/>
      </c>
      <c r="Z114" s="16"/>
      <c r="AB114" s="2" t="s">
        <v>922</v>
      </c>
      <c r="AC114" s="2" t="s">
        <v>36</v>
      </c>
      <c r="AE114" s="3" t="str">
        <f>[1]Country!E113</f>
        <v>JP</v>
      </c>
      <c r="AF114" s="3" t="str">
        <f>[1]Country!C113</f>
        <v>Japan</v>
      </c>
      <c r="AH114" s="3" t="str">
        <f t="shared" si="13"/>
        <v>JPN</v>
      </c>
      <c r="AJ114" s="2" t="str">
        <f>IF([1]IMM!N113="","",[1]IMM!N113)</f>
        <v/>
      </c>
      <c r="AK114" s="16" t="str">
        <f t="shared" si="14"/>
        <v/>
      </c>
      <c r="AL114" s="16" t="str">
        <f t="shared" si="15"/>
        <v/>
      </c>
      <c r="AM114" s="2" t="str">
        <f t="shared" si="16"/>
        <v/>
      </c>
      <c r="AN114" s="16" t="str">
        <f t="shared" si="17"/>
        <v/>
      </c>
    </row>
    <row r="115" spans="4:40">
      <c r="D115" s="13" t="e">
        <f>#REF!</f>
        <v>#REF!</v>
      </c>
      <c r="G115" s="17" t="s">
        <v>1388</v>
      </c>
      <c r="H115" s="3" t="s">
        <v>1429</v>
      </c>
      <c r="I115" s="3" t="s">
        <v>1430</v>
      </c>
      <c r="L115" s="2" t="s">
        <v>1431</v>
      </c>
      <c r="M115" s="2" t="s">
        <v>1023</v>
      </c>
      <c r="N115" s="18" t="s">
        <v>1432</v>
      </c>
      <c r="R115" s="2" t="str">
        <f>IF(ISERROR(VLOOKUP([1]IMM!F114,Table8[[#All],[Column2]:[Column3]],2,FALSE)),"",(VLOOKUP([1]IMM!F114,Table8[[#All],[Column2]:[Column3]],2,FALSE)))</f>
        <v/>
      </c>
      <c r="U115" s="2" t="str">
        <f>IF([1]IMM!P114="","",[1]IMM!P114)</f>
        <v/>
      </c>
      <c r="V115" s="2" t="str">
        <f t="shared" si="9"/>
        <v/>
      </c>
      <c r="W115" s="2" t="str">
        <f t="shared" si="10"/>
        <v/>
      </c>
      <c r="X115" s="2" t="str">
        <f t="shared" si="11"/>
        <v/>
      </c>
      <c r="Y115" s="16" t="str">
        <f t="shared" si="12"/>
        <v/>
      </c>
      <c r="Z115" s="16"/>
      <c r="AB115" s="2" t="s">
        <v>1433</v>
      </c>
      <c r="AC115" s="2" t="s">
        <v>762</v>
      </c>
      <c r="AE115" s="3" t="str">
        <f>[1]Country!E114</f>
        <v>JO</v>
      </c>
      <c r="AF115" s="3" t="str">
        <f>[1]Country!C114</f>
        <v>Jordan</v>
      </c>
      <c r="AH115" s="3" t="str">
        <f t="shared" si="13"/>
        <v>JOR</v>
      </c>
      <c r="AJ115" s="2" t="str">
        <f>IF([1]IMM!N114="","",[1]IMM!N114)</f>
        <v/>
      </c>
      <c r="AK115" s="16" t="str">
        <f t="shared" si="14"/>
        <v/>
      </c>
      <c r="AL115" s="16" t="str">
        <f t="shared" si="15"/>
        <v/>
      </c>
      <c r="AM115" s="2" t="str">
        <f t="shared" si="16"/>
        <v/>
      </c>
      <c r="AN115" s="16" t="str">
        <f t="shared" si="17"/>
        <v/>
      </c>
    </row>
    <row r="116" spans="4:40">
      <c r="D116" s="13" t="e">
        <f>#REF!</f>
        <v>#REF!</v>
      </c>
      <c r="G116" s="17" t="s">
        <v>1393</v>
      </c>
      <c r="H116" s="3" t="s">
        <v>1434</v>
      </c>
      <c r="I116" s="3" t="s">
        <v>1435</v>
      </c>
      <c r="L116" s="2" t="s">
        <v>1436</v>
      </c>
      <c r="M116" s="2" t="s">
        <v>1232</v>
      </c>
      <c r="N116" s="18" t="s">
        <v>1437</v>
      </c>
      <c r="R116" s="2" t="str">
        <f>IF(ISERROR(VLOOKUP([1]IMM!F115,Table8[[#All],[Column2]:[Column3]],2,FALSE)),"",(VLOOKUP([1]IMM!F115,Table8[[#All],[Column2]:[Column3]],2,FALSE)))</f>
        <v/>
      </c>
      <c r="U116" s="2" t="str">
        <f>IF([1]IMM!P115="","",[1]IMM!P115)</f>
        <v/>
      </c>
      <c r="V116" s="2" t="str">
        <f t="shared" si="9"/>
        <v/>
      </c>
      <c r="W116" s="2" t="str">
        <f t="shared" si="10"/>
        <v/>
      </c>
      <c r="X116" s="2" t="str">
        <f t="shared" si="11"/>
        <v/>
      </c>
      <c r="Y116" s="16" t="str">
        <f t="shared" si="12"/>
        <v/>
      </c>
      <c r="Z116" s="16"/>
      <c r="AB116" s="2" t="s">
        <v>1438</v>
      </c>
      <c r="AC116" s="2" t="s">
        <v>441</v>
      </c>
      <c r="AE116" s="3" t="str">
        <f>[1]Country!E115</f>
        <v>KZ</v>
      </c>
      <c r="AF116" s="3" t="str">
        <f>[1]Country!C115</f>
        <v>Kazakhstan</v>
      </c>
      <c r="AH116" s="3" t="str">
        <f t="shared" si="13"/>
        <v>KAZ</v>
      </c>
      <c r="AJ116" s="2" t="str">
        <f>IF([1]IMM!N115="","",[1]IMM!N115)</f>
        <v/>
      </c>
      <c r="AK116" s="16" t="str">
        <f t="shared" si="14"/>
        <v/>
      </c>
      <c r="AL116" s="16" t="str">
        <f t="shared" si="15"/>
        <v/>
      </c>
      <c r="AM116" s="2" t="str">
        <f t="shared" si="16"/>
        <v/>
      </c>
      <c r="AN116" s="16" t="str">
        <f t="shared" si="17"/>
        <v/>
      </c>
    </row>
    <row r="117" spans="4:40">
      <c r="D117" s="13" t="e">
        <f>#REF!</f>
        <v>#REF!</v>
      </c>
      <c r="G117" s="17" t="s">
        <v>1398</v>
      </c>
      <c r="H117" s="3" t="s">
        <v>1439</v>
      </c>
      <c r="I117" s="3" t="s">
        <v>1440</v>
      </c>
      <c r="L117" s="2" t="s">
        <v>1441</v>
      </c>
      <c r="M117" s="2" t="s">
        <v>1442</v>
      </c>
      <c r="N117" s="18" t="s">
        <v>1443</v>
      </c>
      <c r="R117" s="2" t="str">
        <f>IF(ISERROR(VLOOKUP([1]IMM!F116,Table8[[#All],[Column2]:[Column3]],2,FALSE)),"",(VLOOKUP([1]IMM!F116,Table8[[#All],[Column2]:[Column3]],2,FALSE)))</f>
        <v/>
      </c>
      <c r="U117" s="2" t="str">
        <f>IF([1]IMM!P116="","",[1]IMM!P116)</f>
        <v/>
      </c>
      <c r="V117" s="2" t="str">
        <f t="shared" si="9"/>
        <v/>
      </c>
      <c r="W117" s="2" t="str">
        <f t="shared" si="10"/>
        <v/>
      </c>
      <c r="X117" s="2" t="str">
        <f t="shared" si="11"/>
        <v/>
      </c>
      <c r="Y117" s="16" t="str">
        <f t="shared" si="12"/>
        <v/>
      </c>
      <c r="Z117" s="16"/>
      <c r="AB117" s="2" t="s">
        <v>1160</v>
      </c>
      <c r="AC117" s="2" t="s">
        <v>168</v>
      </c>
      <c r="AE117" s="3" t="str">
        <f>[1]Country!E116</f>
        <v>KE</v>
      </c>
      <c r="AF117" s="3" t="str">
        <f>[1]Country!C116</f>
        <v>Kenya</v>
      </c>
      <c r="AH117" s="3" t="str">
        <f t="shared" si="13"/>
        <v>KEN</v>
      </c>
      <c r="AJ117" s="2" t="str">
        <f>IF([1]IMM!N116="","",[1]IMM!N116)</f>
        <v/>
      </c>
      <c r="AK117" s="16" t="str">
        <f t="shared" si="14"/>
        <v/>
      </c>
      <c r="AL117" s="16" t="str">
        <f t="shared" si="15"/>
        <v/>
      </c>
      <c r="AM117" s="2" t="str">
        <f t="shared" si="16"/>
        <v/>
      </c>
      <c r="AN117" s="16" t="str">
        <f t="shared" si="17"/>
        <v/>
      </c>
    </row>
    <row r="118" spans="4:40">
      <c r="D118" s="13" t="e">
        <f>#REF!</f>
        <v>#REF!</v>
      </c>
      <c r="G118" s="17" t="s">
        <v>1401</v>
      </c>
      <c r="H118" s="3" t="s">
        <v>1444</v>
      </c>
      <c r="I118" s="3" t="s">
        <v>1445</v>
      </c>
      <c r="L118" s="2" t="s">
        <v>1446</v>
      </c>
      <c r="M118" s="2" t="s">
        <v>1447</v>
      </c>
      <c r="N118" s="18" t="s">
        <v>1448</v>
      </c>
      <c r="R118" s="2" t="str">
        <f>IF(ISERROR(VLOOKUP([1]IMM!F117,Table8[[#All],[Column2]:[Column3]],2,FALSE)),"",(VLOOKUP([1]IMM!F117,Table8[[#All],[Column2]:[Column3]],2,FALSE)))</f>
        <v/>
      </c>
      <c r="U118" s="2" t="str">
        <f>IF([1]IMM!P117="","",[1]IMM!P117)</f>
        <v/>
      </c>
      <c r="V118" s="2" t="str">
        <f t="shared" si="9"/>
        <v/>
      </c>
      <c r="W118" s="2" t="str">
        <f t="shared" si="10"/>
        <v/>
      </c>
      <c r="X118" s="2" t="str">
        <f t="shared" si="11"/>
        <v/>
      </c>
      <c r="Y118" s="16" t="str">
        <f t="shared" si="12"/>
        <v/>
      </c>
      <c r="Z118" s="16"/>
      <c r="AB118" s="2" t="s">
        <v>1449</v>
      </c>
      <c r="AC118" s="2" t="s">
        <v>390</v>
      </c>
      <c r="AE118" s="3" t="str">
        <f>[1]Country!E117</f>
        <v>KI</v>
      </c>
      <c r="AF118" s="3" t="str">
        <f>[1]Country!C117</f>
        <v>Kiribati</v>
      </c>
      <c r="AH118" s="3" t="str">
        <f t="shared" si="13"/>
        <v/>
      </c>
      <c r="AJ118" s="2" t="str">
        <f>IF([1]IMM!N117="","",[1]IMM!N117)</f>
        <v/>
      </c>
      <c r="AK118" s="16" t="str">
        <f t="shared" si="14"/>
        <v/>
      </c>
      <c r="AL118" s="16" t="str">
        <f t="shared" si="15"/>
        <v/>
      </c>
      <c r="AM118" s="2" t="str">
        <f t="shared" si="16"/>
        <v/>
      </c>
      <c r="AN118" s="16" t="str">
        <f t="shared" si="17"/>
        <v/>
      </c>
    </row>
    <row r="119" spans="4:40">
      <c r="D119" s="13" t="e">
        <f>#REF!</f>
        <v>#REF!</v>
      </c>
      <c r="G119" s="17" t="s">
        <v>1404</v>
      </c>
      <c r="H119" s="3" t="s">
        <v>1450</v>
      </c>
      <c r="I119" s="3" t="s">
        <v>1451</v>
      </c>
      <c r="L119" s="2" t="s">
        <v>1452</v>
      </c>
      <c r="M119" s="2" t="s">
        <v>1453</v>
      </c>
      <c r="N119" s="18" t="s">
        <v>1454</v>
      </c>
      <c r="R119" s="2" t="str">
        <f>IF(ISERROR(VLOOKUP([1]IMM!F118,Table8[[#All],[Column2]:[Column3]],2,FALSE)),"",(VLOOKUP([1]IMM!F118,Table8[[#All],[Column2]:[Column3]],2,FALSE)))</f>
        <v/>
      </c>
      <c r="U119" s="2" t="str">
        <f>IF([1]IMM!P118="","",[1]IMM!P118)</f>
        <v/>
      </c>
      <c r="V119" s="2" t="str">
        <f t="shared" si="9"/>
        <v/>
      </c>
      <c r="W119" s="2" t="str">
        <f t="shared" si="10"/>
        <v/>
      </c>
      <c r="X119" s="2" t="str">
        <f t="shared" si="11"/>
        <v/>
      </c>
      <c r="Y119" s="16" t="str">
        <f t="shared" si="12"/>
        <v/>
      </c>
      <c r="Z119" s="16"/>
      <c r="AB119" s="2" t="s">
        <v>1455</v>
      </c>
      <c r="AC119" s="2" t="s">
        <v>702</v>
      </c>
      <c r="AE119" s="3" t="str">
        <f>[1]Country!E118</f>
        <v>KP</v>
      </c>
      <c r="AF119" s="3" t="str">
        <f>[1]Country!C118</f>
        <v>Korea (North)</v>
      </c>
      <c r="AH119" s="3" t="str">
        <f t="shared" si="13"/>
        <v/>
      </c>
      <c r="AJ119" s="2" t="str">
        <f>IF([1]IMM!N118="","",[1]IMM!N118)</f>
        <v/>
      </c>
      <c r="AK119" s="16" t="str">
        <f t="shared" si="14"/>
        <v/>
      </c>
      <c r="AL119" s="16" t="str">
        <f t="shared" si="15"/>
        <v/>
      </c>
      <c r="AM119" s="2" t="str">
        <f t="shared" si="16"/>
        <v/>
      </c>
      <c r="AN119" s="16" t="str">
        <f t="shared" si="17"/>
        <v/>
      </c>
    </row>
    <row r="120" spans="4:40">
      <c r="D120" s="13" t="e">
        <f>#REF!</f>
        <v>#REF!</v>
      </c>
      <c r="G120" s="17" t="s">
        <v>1413</v>
      </c>
      <c r="H120" s="3" t="s">
        <v>1456</v>
      </c>
      <c r="I120" s="20" t="s">
        <v>1457</v>
      </c>
      <c r="L120" s="2" t="s">
        <v>1458</v>
      </c>
      <c r="M120" s="2" t="s">
        <v>1459</v>
      </c>
      <c r="N120" s="18" t="s">
        <v>1460</v>
      </c>
      <c r="R120" s="2" t="str">
        <f>IF(ISERROR(VLOOKUP([1]IMM!F119,Table8[[#All],[Column2]:[Column3]],2,FALSE)),"",(VLOOKUP([1]IMM!F119,Table8[[#All],[Column2]:[Column3]],2,FALSE)))</f>
        <v/>
      </c>
      <c r="U120" s="2" t="str">
        <f>IF([1]IMM!P119="","",[1]IMM!P119)</f>
        <v/>
      </c>
      <c r="V120" s="2" t="str">
        <f t="shared" si="9"/>
        <v/>
      </c>
      <c r="W120" s="2" t="str">
        <f t="shared" si="10"/>
        <v/>
      </c>
      <c r="X120" s="2" t="str">
        <f t="shared" si="11"/>
        <v/>
      </c>
      <c r="Y120" s="16" t="str">
        <f t="shared" si="12"/>
        <v/>
      </c>
      <c r="Z120" s="16"/>
      <c r="AB120" s="2" t="s">
        <v>1461</v>
      </c>
      <c r="AC120" s="2" t="s">
        <v>735</v>
      </c>
      <c r="AE120" s="3" t="str">
        <f>[1]Country!E119</f>
        <v>KR</v>
      </c>
      <c r="AF120" s="3" t="str">
        <f>[1]Country!C119</f>
        <v>Korea (South)</v>
      </c>
      <c r="AH120" s="3" t="str">
        <f t="shared" si="13"/>
        <v/>
      </c>
      <c r="AJ120" s="2" t="str">
        <f>IF([1]IMM!N119="","",[1]IMM!N119)</f>
        <v/>
      </c>
      <c r="AK120" s="16" t="str">
        <f t="shared" si="14"/>
        <v/>
      </c>
      <c r="AL120" s="16" t="str">
        <f t="shared" si="15"/>
        <v/>
      </c>
      <c r="AM120" s="2" t="str">
        <f t="shared" si="16"/>
        <v/>
      </c>
      <c r="AN120" s="16" t="str">
        <f t="shared" si="17"/>
        <v/>
      </c>
    </row>
    <row r="121" spans="4:40">
      <c r="D121" s="13" t="e">
        <f>#REF!</f>
        <v>#REF!</v>
      </c>
      <c r="G121" s="17" t="s">
        <v>1418</v>
      </c>
      <c r="H121" s="3" t="s">
        <v>1462</v>
      </c>
      <c r="I121" s="3" t="s">
        <v>1463</v>
      </c>
      <c r="L121" s="2" t="s">
        <v>1464</v>
      </c>
      <c r="M121" s="2" t="s">
        <v>1237</v>
      </c>
      <c r="N121" s="18" t="s">
        <v>1465</v>
      </c>
      <c r="R121" s="2" t="str">
        <f>IF(ISERROR(VLOOKUP([1]IMM!F120,Table8[[#All],[Column2]:[Column3]],2,FALSE)),"",(VLOOKUP([1]IMM!F120,Table8[[#All],[Column2]:[Column3]],2,FALSE)))</f>
        <v/>
      </c>
      <c r="U121" s="2" t="str">
        <f>IF([1]IMM!P120="","",[1]IMM!P120)</f>
        <v/>
      </c>
      <c r="V121" s="2" t="str">
        <f t="shared" si="9"/>
        <v/>
      </c>
      <c r="W121" s="2" t="str">
        <f t="shared" si="10"/>
        <v/>
      </c>
      <c r="X121" s="2" t="str">
        <f t="shared" si="11"/>
        <v/>
      </c>
      <c r="Y121" s="16" t="str">
        <f t="shared" si="12"/>
        <v/>
      </c>
      <c r="Z121" s="16"/>
      <c r="AB121" s="2" t="s">
        <v>1466</v>
      </c>
      <c r="AC121" s="2" t="s">
        <v>396</v>
      </c>
      <c r="AE121" s="3" t="str">
        <f>[1]Country!E120</f>
        <v>XK</v>
      </c>
      <c r="AF121" s="3" t="str">
        <f>[1]Country!C120</f>
        <v>Kosovo</v>
      </c>
      <c r="AH121" s="3" t="str">
        <f t="shared" si="13"/>
        <v/>
      </c>
      <c r="AJ121" s="2" t="str">
        <f>IF([1]IMM!N120="","",[1]IMM!N120)</f>
        <v/>
      </c>
      <c r="AK121" s="16" t="str">
        <f t="shared" si="14"/>
        <v/>
      </c>
      <c r="AL121" s="16" t="str">
        <f t="shared" si="15"/>
        <v/>
      </c>
      <c r="AM121" s="2" t="str">
        <f t="shared" si="16"/>
        <v/>
      </c>
      <c r="AN121" s="16" t="str">
        <f t="shared" si="17"/>
        <v/>
      </c>
    </row>
    <row r="122" spans="4:40">
      <c r="D122" s="13" t="e">
        <f>#REF!</f>
        <v>#REF!</v>
      </c>
      <c r="G122" s="17" t="s">
        <v>1467</v>
      </c>
      <c r="H122" s="3" t="s">
        <v>1468</v>
      </c>
      <c r="I122" s="3" t="s">
        <v>1469</v>
      </c>
      <c r="L122" s="2" t="s">
        <v>1470</v>
      </c>
      <c r="M122" s="2" t="s">
        <v>1471</v>
      </c>
      <c r="N122" s="18" t="s">
        <v>1472</v>
      </c>
      <c r="R122" s="2" t="str">
        <f>IF(ISERROR(VLOOKUP([1]IMM!F121,Table8[[#All],[Column2]:[Column3]],2,FALSE)),"",(VLOOKUP([1]IMM!F121,Table8[[#All],[Column2]:[Column3]],2,FALSE)))</f>
        <v/>
      </c>
      <c r="U122" s="2" t="str">
        <f>IF([1]IMM!P121="","",[1]IMM!P121)</f>
        <v/>
      </c>
      <c r="V122" s="2" t="str">
        <f t="shared" si="9"/>
        <v/>
      </c>
      <c r="W122" s="2" t="str">
        <f t="shared" si="10"/>
        <v/>
      </c>
      <c r="X122" s="2" t="str">
        <f t="shared" si="11"/>
        <v/>
      </c>
      <c r="Y122" s="16" t="str">
        <f t="shared" si="12"/>
        <v/>
      </c>
      <c r="Z122" s="16"/>
      <c r="AB122" s="2" t="s">
        <v>1473</v>
      </c>
      <c r="AC122" s="2" t="s">
        <v>549</v>
      </c>
      <c r="AE122" s="3" t="str">
        <f>[1]Country!E121</f>
        <v>KW</v>
      </c>
      <c r="AF122" s="3" t="str">
        <f>[1]Country!C121</f>
        <v>Kuwait</v>
      </c>
      <c r="AH122" s="3" t="str">
        <f t="shared" si="13"/>
        <v>KWT</v>
      </c>
      <c r="AJ122" s="2" t="str">
        <f>IF([1]IMM!N121="","",[1]IMM!N121)</f>
        <v/>
      </c>
      <c r="AK122" s="16" t="str">
        <f t="shared" si="14"/>
        <v/>
      </c>
      <c r="AL122" s="16" t="str">
        <f t="shared" si="15"/>
        <v/>
      </c>
      <c r="AM122" s="2" t="str">
        <f t="shared" si="16"/>
        <v/>
      </c>
      <c r="AN122" s="16" t="str">
        <f t="shared" si="17"/>
        <v/>
      </c>
    </row>
    <row r="123" spans="4:40">
      <c r="D123" s="13" t="e">
        <f>#REF!</f>
        <v>#REF!</v>
      </c>
      <c r="G123" s="17" t="s">
        <v>1474</v>
      </c>
      <c r="H123" s="3" t="s">
        <v>362</v>
      </c>
      <c r="I123" s="3" t="s">
        <v>362</v>
      </c>
      <c r="L123" s="2" t="s">
        <v>1475</v>
      </c>
      <c r="M123" s="2" t="s">
        <v>1466</v>
      </c>
      <c r="N123" s="18" t="s">
        <v>1476</v>
      </c>
      <c r="R123" s="2" t="str">
        <f>IF(ISERROR(VLOOKUP([1]IMM!F122,Table8[[#All],[Column2]:[Column3]],2,FALSE)),"",(VLOOKUP([1]IMM!F122,Table8[[#All],[Column2]:[Column3]],2,FALSE)))</f>
        <v/>
      </c>
      <c r="U123" s="2" t="str">
        <f>IF([1]IMM!P122="","",[1]IMM!P122)</f>
        <v/>
      </c>
      <c r="V123" s="2" t="str">
        <f t="shared" si="9"/>
        <v/>
      </c>
      <c r="W123" s="2" t="str">
        <f t="shared" si="10"/>
        <v/>
      </c>
      <c r="X123" s="2" t="str">
        <f t="shared" si="11"/>
        <v/>
      </c>
      <c r="Y123" s="16" t="str">
        <f t="shared" si="12"/>
        <v/>
      </c>
      <c r="Z123" s="16"/>
      <c r="AB123" s="2" t="s">
        <v>1420</v>
      </c>
      <c r="AC123" s="2" t="s">
        <v>363</v>
      </c>
      <c r="AE123" s="3" t="str">
        <f>[1]Country!E122</f>
        <v>KG</v>
      </c>
      <c r="AF123" s="3" t="str">
        <f>[1]Country!C122</f>
        <v>Kyrgzstan</v>
      </c>
      <c r="AH123" s="3" t="str">
        <f t="shared" si="13"/>
        <v/>
      </c>
      <c r="AJ123" s="2" t="str">
        <f>IF([1]IMM!N122="","",[1]IMM!N122)</f>
        <v/>
      </c>
      <c r="AK123" s="16" t="str">
        <f t="shared" si="14"/>
        <v/>
      </c>
      <c r="AL123" s="16" t="str">
        <f t="shared" si="15"/>
        <v/>
      </c>
      <c r="AM123" s="2" t="str">
        <f t="shared" si="16"/>
        <v/>
      </c>
      <c r="AN123" s="16" t="str">
        <f t="shared" si="17"/>
        <v/>
      </c>
    </row>
    <row r="124" spans="4:40">
      <c r="D124" s="13" t="e">
        <f>#REF!</f>
        <v>#REF!</v>
      </c>
      <c r="G124" s="17" t="s">
        <v>1421</v>
      </c>
      <c r="H124" s="3" t="s">
        <v>364</v>
      </c>
      <c r="I124" s="3" t="s">
        <v>1477</v>
      </c>
      <c r="L124" s="2" t="s">
        <v>1478</v>
      </c>
      <c r="M124" s="2" t="s">
        <v>1029</v>
      </c>
      <c r="N124" s="18" t="s">
        <v>1479</v>
      </c>
      <c r="R124" s="2" t="str">
        <f>IF(ISERROR(VLOOKUP([1]IMM!F123,Table8[[#All],[Column2]:[Column3]],2,FALSE)),"",(VLOOKUP([1]IMM!F123,Table8[[#All],[Column2]:[Column3]],2,FALSE)))</f>
        <v/>
      </c>
      <c r="U124" s="2" t="str">
        <f>IF([1]IMM!P123="","",[1]IMM!P123)</f>
        <v/>
      </c>
      <c r="V124" s="2" t="str">
        <f t="shared" si="9"/>
        <v/>
      </c>
      <c r="W124" s="2" t="str">
        <f t="shared" si="10"/>
        <v/>
      </c>
      <c r="X124" s="2" t="str">
        <f t="shared" si="11"/>
        <v/>
      </c>
      <c r="Y124" s="16" t="str">
        <f t="shared" si="12"/>
        <v/>
      </c>
      <c r="Z124" s="16"/>
      <c r="AB124" s="2" t="s">
        <v>1480</v>
      </c>
      <c r="AC124" s="2" t="s">
        <v>783</v>
      </c>
      <c r="AE124" s="3" t="str">
        <f>[1]Country!E123</f>
        <v>LA</v>
      </c>
      <c r="AF124" s="3" t="str">
        <f>[1]Country!C123</f>
        <v>Laos</v>
      </c>
      <c r="AH124" s="3" t="str">
        <f t="shared" si="13"/>
        <v/>
      </c>
      <c r="AJ124" s="2" t="str">
        <f>IF([1]IMM!N123="","",[1]IMM!N123)</f>
        <v/>
      </c>
      <c r="AK124" s="16" t="str">
        <f t="shared" si="14"/>
        <v/>
      </c>
      <c r="AL124" s="16" t="str">
        <f t="shared" si="15"/>
        <v/>
      </c>
      <c r="AM124" s="2" t="str">
        <f t="shared" si="16"/>
        <v/>
      </c>
      <c r="AN124" s="16" t="str">
        <f t="shared" si="17"/>
        <v/>
      </c>
    </row>
    <row r="125" spans="4:40">
      <c r="D125" s="13" t="e">
        <f>#REF!</f>
        <v>#REF!</v>
      </c>
      <c r="G125" s="17" t="s">
        <v>1423</v>
      </c>
      <c r="H125" s="3" t="s">
        <v>367</v>
      </c>
      <c r="I125" s="3" t="s">
        <v>1481</v>
      </c>
      <c r="L125" s="2" t="s">
        <v>1482</v>
      </c>
      <c r="M125" s="2" t="s">
        <v>1402</v>
      </c>
      <c r="N125" s="18" t="s">
        <v>1483</v>
      </c>
      <c r="R125" s="2" t="str">
        <f>IF(ISERROR(VLOOKUP([1]IMM!F124,Table8[[#All],[Column2]:[Column3]],2,FALSE)),"",(VLOOKUP([1]IMM!F124,Table8[[#All],[Column2]:[Column3]],2,FALSE)))</f>
        <v/>
      </c>
      <c r="U125" s="2" t="str">
        <f>IF([1]IMM!P124="","",[1]IMM!P124)</f>
        <v/>
      </c>
      <c r="V125" s="2" t="str">
        <f t="shared" si="9"/>
        <v/>
      </c>
      <c r="W125" s="2" t="str">
        <f t="shared" si="10"/>
        <v/>
      </c>
      <c r="X125" s="2" t="str">
        <f t="shared" si="11"/>
        <v/>
      </c>
      <c r="Y125" s="16" t="str">
        <f t="shared" si="12"/>
        <v/>
      </c>
      <c r="Z125" s="16"/>
      <c r="AE125" s="3" t="str">
        <f>[1]Country!E124</f>
        <v>LV</v>
      </c>
      <c r="AF125" s="3" t="str">
        <f>[1]Country!C124</f>
        <v>Latvia</v>
      </c>
      <c r="AH125" s="3" t="str">
        <f t="shared" si="13"/>
        <v>LVA</v>
      </c>
      <c r="AJ125" s="2" t="str">
        <f>IF([1]IMM!N124="","",[1]IMM!N124)</f>
        <v/>
      </c>
      <c r="AK125" s="16" t="str">
        <f t="shared" si="14"/>
        <v/>
      </c>
      <c r="AL125" s="16" t="str">
        <f t="shared" si="15"/>
        <v/>
      </c>
      <c r="AM125" s="2" t="str">
        <f t="shared" si="16"/>
        <v/>
      </c>
      <c r="AN125" s="16" t="str">
        <f t="shared" si="17"/>
        <v/>
      </c>
    </row>
    <row r="126" spans="4:40">
      <c r="D126" s="13" t="e">
        <f>#REF!</f>
        <v>#REF!</v>
      </c>
      <c r="G126" s="17" t="s">
        <v>1428</v>
      </c>
      <c r="H126" s="3" t="s">
        <v>1484</v>
      </c>
      <c r="I126" s="3" t="s">
        <v>1485</v>
      </c>
      <c r="L126" s="2" t="s">
        <v>1486</v>
      </c>
      <c r="M126" s="2" t="s">
        <v>1487</v>
      </c>
      <c r="N126" s="18" t="s">
        <v>1488</v>
      </c>
      <c r="R126" s="2" t="str">
        <f>IF(ISERROR(VLOOKUP([1]IMM!F125,Table8[[#All],[Column2]:[Column3]],2,FALSE)),"",(VLOOKUP([1]IMM!F125,Table8[[#All],[Column2]:[Column3]],2,FALSE)))</f>
        <v/>
      </c>
      <c r="U126" s="2" t="str">
        <f>IF([1]IMM!P125="","",[1]IMM!P125)</f>
        <v/>
      </c>
      <c r="V126" s="2" t="str">
        <f t="shared" si="9"/>
        <v/>
      </c>
      <c r="W126" s="2" t="str">
        <f t="shared" si="10"/>
        <v/>
      </c>
      <c r="X126" s="2" t="str">
        <f t="shared" si="11"/>
        <v/>
      </c>
      <c r="Y126" s="16" t="str">
        <f t="shared" si="12"/>
        <v/>
      </c>
      <c r="Z126" s="16"/>
      <c r="AE126" s="3" t="str">
        <f>[1]Country!E125</f>
        <v>LB</v>
      </c>
      <c r="AF126" s="3" t="str">
        <f>[1]Country!C125</f>
        <v>Lebanon</v>
      </c>
      <c r="AH126" s="3" t="str">
        <f t="shared" si="13"/>
        <v/>
      </c>
      <c r="AJ126" s="2" t="str">
        <f>IF([1]IMM!N125="","",[1]IMM!N125)</f>
        <v/>
      </c>
      <c r="AK126" s="16" t="str">
        <f t="shared" si="14"/>
        <v/>
      </c>
      <c r="AL126" s="16" t="str">
        <f t="shared" si="15"/>
        <v/>
      </c>
      <c r="AM126" s="2" t="str">
        <f t="shared" si="16"/>
        <v/>
      </c>
      <c r="AN126" s="16" t="str">
        <f t="shared" si="17"/>
        <v/>
      </c>
    </row>
    <row r="127" spans="4:40">
      <c r="D127" s="13" t="e">
        <f>#REF!</f>
        <v>#REF!</v>
      </c>
      <c r="G127" s="17" t="s">
        <v>1437</v>
      </c>
      <c r="H127" s="3" t="s">
        <v>1489</v>
      </c>
      <c r="I127" s="3" t="s">
        <v>1490</v>
      </c>
      <c r="L127" s="2" t="s">
        <v>1491</v>
      </c>
      <c r="M127" s="2" t="s">
        <v>1492</v>
      </c>
      <c r="N127" s="18" t="s">
        <v>1493</v>
      </c>
      <c r="R127" s="2" t="str">
        <f>IF(ISERROR(VLOOKUP([1]IMM!F126,Table8[[#All],[Column2]:[Column3]],2,FALSE)),"",(VLOOKUP([1]IMM!F126,Table8[[#All],[Column2]:[Column3]],2,FALSE)))</f>
        <v/>
      </c>
      <c r="U127" s="2" t="str">
        <f>IF([1]IMM!P126="","",[1]IMM!P126)</f>
        <v/>
      </c>
      <c r="V127" s="2" t="str">
        <f t="shared" si="9"/>
        <v/>
      </c>
      <c r="W127" s="2" t="str">
        <f t="shared" si="10"/>
        <v/>
      </c>
      <c r="X127" s="2" t="str">
        <f t="shared" si="11"/>
        <v/>
      </c>
      <c r="Y127" s="16" t="str">
        <f t="shared" si="12"/>
        <v/>
      </c>
      <c r="Z127" s="16"/>
      <c r="AE127" s="3" t="str">
        <f>[1]Country!E126</f>
        <v>LS</v>
      </c>
      <c r="AF127" s="3" t="str">
        <f>[1]Country!C126</f>
        <v>Lesotho</v>
      </c>
      <c r="AH127" s="3" t="str">
        <f t="shared" si="13"/>
        <v/>
      </c>
      <c r="AJ127" s="2" t="str">
        <f>IF([1]IMM!N126="","",[1]IMM!N126)</f>
        <v/>
      </c>
      <c r="AK127" s="16" t="str">
        <f t="shared" si="14"/>
        <v/>
      </c>
      <c r="AL127" s="16" t="str">
        <f t="shared" si="15"/>
        <v/>
      </c>
      <c r="AM127" s="2" t="str">
        <f t="shared" si="16"/>
        <v/>
      </c>
      <c r="AN127" s="16" t="str">
        <f t="shared" si="17"/>
        <v/>
      </c>
    </row>
    <row r="128" spans="4:40">
      <c r="D128" s="13" t="e">
        <f>#REF!</f>
        <v>#REF!</v>
      </c>
      <c r="G128" s="17" t="s">
        <v>1448</v>
      </c>
      <c r="H128" s="3" t="s">
        <v>1494</v>
      </c>
      <c r="I128" s="3" t="s">
        <v>377</v>
      </c>
      <c r="L128" s="2" t="s">
        <v>1495</v>
      </c>
      <c r="M128" s="2" t="s">
        <v>1496</v>
      </c>
      <c r="N128" s="18" t="s">
        <v>1497</v>
      </c>
      <c r="R128" s="2" t="str">
        <f>IF(ISERROR(VLOOKUP([1]IMM!F127,Table8[[#All],[Column2]:[Column3]],2,FALSE)),"",(VLOOKUP([1]IMM!F127,Table8[[#All],[Column2]:[Column3]],2,FALSE)))</f>
        <v/>
      </c>
      <c r="U128" s="2" t="str">
        <f>IF([1]IMM!P127="","",[1]IMM!P127)</f>
        <v/>
      </c>
      <c r="V128" s="2" t="str">
        <f t="shared" si="9"/>
        <v/>
      </c>
      <c r="W128" s="2" t="str">
        <f t="shared" si="10"/>
        <v/>
      </c>
      <c r="X128" s="2" t="str">
        <f t="shared" si="11"/>
        <v/>
      </c>
      <c r="Y128" s="16" t="str">
        <f t="shared" si="12"/>
        <v/>
      </c>
      <c r="Z128" s="16"/>
      <c r="AE128" s="3" t="str">
        <f>[1]Country!E127</f>
        <v>LR</v>
      </c>
      <c r="AF128" s="3" t="str">
        <f>[1]Country!C127</f>
        <v>Liberia</v>
      </c>
      <c r="AH128" s="3" t="str">
        <f t="shared" si="13"/>
        <v/>
      </c>
      <c r="AJ128" s="2" t="str">
        <f>IF([1]IMM!N127="","",[1]IMM!N127)</f>
        <v/>
      </c>
      <c r="AK128" s="16" t="str">
        <f t="shared" si="14"/>
        <v/>
      </c>
      <c r="AL128" s="16" t="str">
        <f t="shared" si="15"/>
        <v/>
      </c>
      <c r="AM128" s="2" t="str">
        <f t="shared" si="16"/>
        <v/>
      </c>
      <c r="AN128" s="16" t="str">
        <f t="shared" si="17"/>
        <v/>
      </c>
    </row>
    <row r="129" spans="4:40">
      <c r="D129" s="13" t="e">
        <f>#REF!</f>
        <v>#REF!</v>
      </c>
      <c r="G129" s="17" t="s">
        <v>1465</v>
      </c>
      <c r="H129" s="3" t="s">
        <v>1498</v>
      </c>
      <c r="I129" s="3" t="s">
        <v>1499</v>
      </c>
      <c r="L129" s="2" t="s">
        <v>1500</v>
      </c>
      <c r="M129" s="2" t="s">
        <v>1501</v>
      </c>
      <c r="N129" s="18" t="s">
        <v>1502</v>
      </c>
      <c r="R129" s="2" t="str">
        <f>IF(ISERROR(VLOOKUP([1]IMM!F128,Table8[[#All],[Column2]:[Column3]],2,FALSE)),"",(VLOOKUP([1]IMM!F128,Table8[[#All],[Column2]:[Column3]],2,FALSE)))</f>
        <v/>
      </c>
      <c r="U129" s="2" t="str">
        <f>IF([1]IMM!P128="","",[1]IMM!P128)</f>
        <v/>
      </c>
      <c r="V129" s="2" t="str">
        <f t="shared" si="9"/>
        <v/>
      </c>
      <c r="W129" s="2" t="str">
        <f t="shared" si="10"/>
        <v/>
      </c>
      <c r="X129" s="2" t="str">
        <f t="shared" si="11"/>
        <v/>
      </c>
      <c r="Y129" s="16" t="str">
        <f t="shared" si="12"/>
        <v/>
      </c>
      <c r="Z129" s="16"/>
      <c r="AE129" s="3" t="str">
        <f>[1]Country!E128</f>
        <v>LY</v>
      </c>
      <c r="AF129" s="3" t="str">
        <f>[1]Country!C128</f>
        <v>Libyan Arab Jamahiriya</v>
      </c>
      <c r="AH129" s="3" t="str">
        <f t="shared" si="13"/>
        <v/>
      </c>
      <c r="AJ129" s="2" t="str">
        <f>IF([1]IMM!N128="","",[1]IMM!N128)</f>
        <v/>
      </c>
      <c r="AK129" s="16" t="str">
        <f t="shared" si="14"/>
        <v/>
      </c>
      <c r="AL129" s="16" t="str">
        <f t="shared" si="15"/>
        <v/>
      </c>
      <c r="AM129" s="2" t="str">
        <f t="shared" si="16"/>
        <v/>
      </c>
      <c r="AN129" s="16" t="str">
        <f t="shared" si="17"/>
        <v/>
      </c>
    </row>
    <row r="130" spans="4:40">
      <c r="D130" s="13" t="e">
        <f>#REF!</f>
        <v>#REF!</v>
      </c>
      <c r="G130" s="17" t="s">
        <v>1443</v>
      </c>
      <c r="H130" s="3" t="s">
        <v>1503</v>
      </c>
      <c r="I130" s="3" t="s">
        <v>1504</v>
      </c>
      <c r="L130" s="2" t="s">
        <v>1505</v>
      </c>
      <c r="M130" s="2" t="s">
        <v>1041</v>
      </c>
      <c r="N130" s="18" t="s">
        <v>1506</v>
      </c>
      <c r="R130" s="2" t="str">
        <f>IF(ISERROR(VLOOKUP([1]IMM!F129,Table8[[#All],[Column2]:[Column3]],2,FALSE)),"",(VLOOKUP([1]IMM!F129,Table8[[#All],[Column2]:[Column3]],2,FALSE)))</f>
        <v/>
      </c>
      <c r="U130" s="2" t="str">
        <f>IF([1]IMM!P129="","",[1]IMM!P129)</f>
        <v/>
      </c>
      <c r="V130" s="2" t="str">
        <f t="shared" si="9"/>
        <v/>
      </c>
      <c r="W130" s="2" t="str">
        <f t="shared" si="10"/>
        <v/>
      </c>
      <c r="X130" s="2" t="str">
        <f t="shared" si="11"/>
        <v/>
      </c>
      <c r="Y130" s="16" t="str">
        <f t="shared" si="12"/>
        <v/>
      </c>
      <c r="Z130" s="16"/>
      <c r="AE130" s="3" t="str">
        <f>[1]Country!E129</f>
        <v>LI</v>
      </c>
      <c r="AF130" s="3" t="str">
        <f>[1]Country!C129</f>
        <v>Liechtenstein</v>
      </c>
      <c r="AH130" s="3" t="str">
        <f t="shared" si="13"/>
        <v/>
      </c>
      <c r="AJ130" s="2" t="str">
        <f>IF([1]IMM!N129="","",[1]IMM!N129)</f>
        <v/>
      </c>
      <c r="AK130" s="16" t="str">
        <f t="shared" si="14"/>
        <v/>
      </c>
      <c r="AL130" s="16" t="str">
        <f t="shared" si="15"/>
        <v/>
      </c>
      <c r="AM130" s="2" t="str">
        <f t="shared" si="16"/>
        <v/>
      </c>
      <c r="AN130" s="16" t="str">
        <f t="shared" si="17"/>
        <v/>
      </c>
    </row>
    <row r="131" spans="4:40">
      <c r="D131" s="13" t="e">
        <f>#REF!</f>
        <v>#REF!</v>
      </c>
      <c r="G131" s="17" t="s">
        <v>1454</v>
      </c>
      <c r="H131" s="3" t="s">
        <v>1507</v>
      </c>
      <c r="I131" s="3" t="s">
        <v>386</v>
      </c>
      <c r="L131" s="2" t="s">
        <v>1508</v>
      </c>
      <c r="M131" s="2" t="s">
        <v>1046</v>
      </c>
      <c r="N131" s="18" t="s">
        <v>1509</v>
      </c>
      <c r="R131" s="2" t="str">
        <f>IF(ISERROR(VLOOKUP([1]IMM!F130,Table8[[#All],[Column2]:[Column3]],2,FALSE)),"",(VLOOKUP([1]IMM!F130,Table8[[#All],[Column2]:[Column3]],2,FALSE)))</f>
        <v/>
      </c>
      <c r="U131" s="2" t="str">
        <f>IF([1]IMM!P130="","",[1]IMM!P130)</f>
        <v/>
      </c>
      <c r="V131" s="2" t="str">
        <f t="shared" si="9"/>
        <v/>
      </c>
      <c r="W131" s="2" t="str">
        <f t="shared" si="10"/>
        <v/>
      </c>
      <c r="X131" s="2" t="str">
        <f t="shared" si="11"/>
        <v/>
      </c>
      <c r="Y131" s="16" t="str">
        <f t="shared" si="12"/>
        <v/>
      </c>
      <c r="Z131" s="16"/>
      <c r="AE131" s="3" t="str">
        <f>[1]Country!E130</f>
        <v>LT</v>
      </c>
      <c r="AF131" s="3" t="str">
        <f>[1]Country!C130</f>
        <v>Lithuania</v>
      </c>
      <c r="AH131" s="3" t="str">
        <f t="shared" si="13"/>
        <v>LTU</v>
      </c>
      <c r="AJ131" s="2" t="str">
        <f>IF([1]IMM!N130="","",[1]IMM!N130)</f>
        <v/>
      </c>
      <c r="AK131" s="16" t="str">
        <f t="shared" si="14"/>
        <v/>
      </c>
      <c r="AL131" s="16" t="str">
        <f t="shared" si="15"/>
        <v/>
      </c>
      <c r="AM131" s="2" t="str">
        <f t="shared" si="16"/>
        <v/>
      </c>
      <c r="AN131" s="16" t="str">
        <f t="shared" si="17"/>
        <v/>
      </c>
    </row>
    <row r="132" spans="4:40">
      <c r="D132" s="13" t="e">
        <f>#REF!</f>
        <v>#REF!</v>
      </c>
      <c r="G132" s="17" t="s">
        <v>1432</v>
      </c>
      <c r="H132" s="3" t="s">
        <v>1510</v>
      </c>
      <c r="I132" s="3" t="s">
        <v>1511</v>
      </c>
      <c r="L132" s="2" t="s">
        <v>1512</v>
      </c>
      <c r="M132" s="2" t="s">
        <v>1513</v>
      </c>
      <c r="N132" s="18" t="s">
        <v>1514</v>
      </c>
      <c r="R132" s="2" t="str">
        <f>IF(ISERROR(VLOOKUP([1]IMM!F131,Table8[[#All],[Column2]:[Column3]],2,FALSE)),"",(VLOOKUP([1]IMM!F131,Table8[[#All],[Column2]:[Column3]],2,FALSE)))</f>
        <v/>
      </c>
      <c r="U132" s="2" t="str">
        <f>IF([1]IMM!P131="","",[1]IMM!P131)</f>
        <v/>
      </c>
      <c r="V132" s="2" t="str">
        <f t="shared" ref="V132:V195" si="18">LEFT(U132,2)</f>
        <v/>
      </c>
      <c r="W132" s="2" t="str">
        <f t="shared" ref="W132:W195" si="19">MID(U132,4,2)</f>
        <v/>
      </c>
      <c r="X132" s="2" t="str">
        <f t="shared" ref="X132:X195" si="20">RIGHT(U132,4)</f>
        <v/>
      </c>
      <c r="Y132" s="16" t="str">
        <f t="shared" ref="Y132:Y195" si="21">IFERROR(DATE(X132,V132,W132),"")</f>
        <v/>
      </c>
      <c r="Z132" s="16"/>
      <c r="AE132" s="3" t="str">
        <f>[1]Country!E131</f>
        <v>LU</v>
      </c>
      <c r="AF132" s="3" t="str">
        <f>[1]Country!C131</f>
        <v>Luxembourg</v>
      </c>
      <c r="AH132" s="3" t="str">
        <f t="shared" ref="AH132:AH195" si="22">IFERROR(VLOOKUP(AF132,$AB$3:$AC$100,2,),"")</f>
        <v>LUX</v>
      </c>
      <c r="AJ132" s="2" t="str">
        <f>IF([1]IMM!N131="","",[1]IMM!N131)</f>
        <v/>
      </c>
      <c r="AK132" s="16" t="str">
        <f t="shared" ref="AK132:AK195" si="23">LEFT(AJ132,2)</f>
        <v/>
      </c>
      <c r="AL132" s="16" t="str">
        <f t="shared" ref="AL132:AL195" si="24">MID(AJ132,4,2)</f>
        <v/>
      </c>
      <c r="AM132" s="2" t="str">
        <f t="shared" ref="AM132:AM195" si="25">RIGHT(AJ132,4)</f>
        <v/>
      </c>
      <c r="AN132" s="16" t="str">
        <f t="shared" ref="AN132:AN195" si="26">IFERROR(DATE(AM132,AK132,AL132),"")</f>
        <v/>
      </c>
    </row>
    <row r="133" spans="4:40">
      <c r="D133" s="13" t="e">
        <f>#REF!</f>
        <v>#REF!</v>
      </c>
      <c r="G133" s="17" t="s">
        <v>1472</v>
      </c>
      <c r="H133" s="3" t="s">
        <v>1515</v>
      </c>
      <c r="I133" s="3" t="s">
        <v>1516</v>
      </c>
      <c r="L133" s="2" t="s">
        <v>1517</v>
      </c>
      <c r="M133" s="2" t="s">
        <v>1518</v>
      </c>
      <c r="N133" s="18"/>
      <c r="R133" s="2" t="str">
        <f>IF(ISERROR(VLOOKUP([1]IMM!F132,Table8[[#All],[Column2]:[Column3]],2,FALSE)),"",(VLOOKUP([1]IMM!F132,Table8[[#All],[Column2]:[Column3]],2,FALSE)))</f>
        <v/>
      </c>
      <c r="U133" s="2" t="str">
        <f>IF([1]IMM!P132="","",[1]IMM!P132)</f>
        <v/>
      </c>
      <c r="V133" s="2" t="str">
        <f t="shared" si="18"/>
        <v/>
      </c>
      <c r="W133" s="2" t="str">
        <f t="shared" si="19"/>
        <v/>
      </c>
      <c r="X133" s="2" t="str">
        <f t="shared" si="20"/>
        <v/>
      </c>
      <c r="Y133" s="16" t="str">
        <f t="shared" si="21"/>
        <v/>
      </c>
      <c r="Z133" s="16"/>
      <c r="AE133" s="3" t="str">
        <f>[1]Country!E132</f>
        <v>MO</v>
      </c>
      <c r="AF133" s="3" t="str">
        <f>[1]Country!C132</f>
        <v>Macau</v>
      </c>
      <c r="AH133" s="3" t="str">
        <f t="shared" si="22"/>
        <v/>
      </c>
      <c r="AJ133" s="2" t="str">
        <f>IF([1]IMM!N132="","",[1]IMM!N132)</f>
        <v/>
      </c>
      <c r="AK133" s="16" t="str">
        <f t="shared" si="23"/>
        <v/>
      </c>
      <c r="AL133" s="16" t="str">
        <f t="shared" si="24"/>
        <v/>
      </c>
      <c r="AM133" s="2" t="str">
        <f t="shared" si="25"/>
        <v/>
      </c>
      <c r="AN133" s="16" t="str">
        <f t="shared" si="26"/>
        <v/>
      </c>
    </row>
    <row r="134" spans="4:40">
      <c r="D134" s="13" t="e">
        <f>#REF!</f>
        <v>#REF!</v>
      </c>
      <c r="G134" s="17" t="s">
        <v>1460</v>
      </c>
      <c r="H134" s="3" t="s">
        <v>395</v>
      </c>
      <c r="I134" s="3" t="s">
        <v>395</v>
      </c>
      <c r="L134" s="2" t="s">
        <v>1519</v>
      </c>
      <c r="M134" s="2" t="s">
        <v>1520</v>
      </c>
      <c r="N134" s="18"/>
      <c r="R134" s="2" t="str">
        <f>IF(ISERROR(VLOOKUP([1]IMM!F133,Table8[[#All],[Column2]:[Column3]],2,FALSE)),"",(VLOOKUP([1]IMM!F133,Table8[[#All],[Column2]:[Column3]],2,FALSE)))</f>
        <v/>
      </c>
      <c r="U134" s="2" t="str">
        <f>IF([1]IMM!P133="","",[1]IMM!P133)</f>
        <v/>
      </c>
      <c r="V134" s="2" t="str">
        <f t="shared" si="18"/>
        <v/>
      </c>
      <c r="W134" s="2" t="str">
        <f t="shared" si="19"/>
        <v/>
      </c>
      <c r="X134" s="2" t="str">
        <f t="shared" si="20"/>
        <v/>
      </c>
      <c r="Y134" s="16" t="str">
        <f t="shared" si="21"/>
        <v/>
      </c>
      <c r="Z134" s="16"/>
      <c r="AE134" s="3" t="str">
        <f>[1]Country!E133</f>
        <v>MK</v>
      </c>
      <c r="AF134" s="3" t="str">
        <f>[1]Country!C133</f>
        <v>Macedonia</v>
      </c>
      <c r="AH134" s="3" t="str">
        <f t="shared" si="22"/>
        <v/>
      </c>
      <c r="AJ134" s="2" t="str">
        <f>IF([1]IMM!N133="","",[1]IMM!N133)</f>
        <v/>
      </c>
      <c r="AK134" s="16" t="str">
        <f t="shared" si="23"/>
        <v/>
      </c>
      <c r="AL134" s="16" t="str">
        <f t="shared" si="24"/>
        <v/>
      </c>
      <c r="AM134" s="2" t="str">
        <f t="shared" si="25"/>
        <v/>
      </c>
      <c r="AN134" s="16" t="str">
        <f t="shared" si="26"/>
        <v/>
      </c>
    </row>
    <row r="135" spans="4:40">
      <c r="D135" s="13" t="e">
        <f>#REF!</f>
        <v>#REF!</v>
      </c>
      <c r="G135" s="17" t="s">
        <v>1476</v>
      </c>
      <c r="H135" s="3" t="s">
        <v>1521</v>
      </c>
      <c r="I135" s="3" t="s">
        <v>396</v>
      </c>
      <c r="L135" s="2" t="s">
        <v>1522</v>
      </c>
      <c r="M135" s="2" t="s">
        <v>1424</v>
      </c>
      <c r="N135" s="18" t="s">
        <v>1523</v>
      </c>
      <c r="R135" s="2" t="str">
        <f>IF(ISERROR(VLOOKUP([1]IMM!F134,Table8[[#All],[Column2]:[Column3]],2,FALSE)),"",(VLOOKUP([1]IMM!F134,Table8[[#All],[Column2]:[Column3]],2,FALSE)))</f>
        <v/>
      </c>
      <c r="U135" s="2" t="str">
        <f>IF([1]IMM!P134="","",[1]IMM!P134)</f>
        <v/>
      </c>
      <c r="V135" s="2" t="str">
        <f t="shared" si="18"/>
        <v/>
      </c>
      <c r="W135" s="2" t="str">
        <f t="shared" si="19"/>
        <v/>
      </c>
      <c r="X135" s="2" t="str">
        <f t="shared" si="20"/>
        <v/>
      </c>
      <c r="Y135" s="16" t="str">
        <f t="shared" si="21"/>
        <v/>
      </c>
      <c r="Z135" s="16"/>
      <c r="AE135" s="3" t="str">
        <f>[1]Country!E134</f>
        <v>MG</v>
      </c>
      <c r="AF135" s="3" t="str">
        <f>[1]Country!C134</f>
        <v>Madagascar</v>
      </c>
      <c r="AH135" s="3" t="str">
        <f t="shared" si="22"/>
        <v/>
      </c>
      <c r="AJ135" s="2" t="str">
        <f>IF([1]IMM!N134="","",[1]IMM!N134)</f>
        <v/>
      </c>
      <c r="AK135" s="16" t="str">
        <f t="shared" si="23"/>
        <v/>
      </c>
      <c r="AL135" s="16" t="str">
        <f t="shared" si="24"/>
        <v/>
      </c>
      <c r="AM135" s="2" t="str">
        <f t="shared" si="25"/>
        <v/>
      </c>
      <c r="AN135" s="16" t="str">
        <f t="shared" si="26"/>
        <v/>
      </c>
    </row>
    <row r="136" spans="4:40">
      <c r="D136" s="13" t="e">
        <f>#REF!</f>
        <v>#REF!</v>
      </c>
      <c r="G136" s="17" t="s">
        <v>1483</v>
      </c>
      <c r="H136" s="3" t="s">
        <v>1524</v>
      </c>
      <c r="I136" s="3" t="s">
        <v>1525</v>
      </c>
      <c r="L136" s="2" t="s">
        <v>1526</v>
      </c>
      <c r="M136" s="2" t="s">
        <v>1052</v>
      </c>
      <c r="N136" s="18" t="s">
        <v>1527</v>
      </c>
      <c r="R136" s="2" t="str">
        <f>IF(ISERROR(VLOOKUP([1]IMM!F135,Table8[[#All],[Column2]:[Column3]],2,FALSE)),"",(VLOOKUP([1]IMM!F135,Table8[[#All],[Column2]:[Column3]],2,FALSE)))</f>
        <v/>
      </c>
      <c r="U136" s="2" t="str">
        <f>IF([1]IMM!P135="","",[1]IMM!P135)</f>
        <v/>
      </c>
      <c r="V136" s="2" t="str">
        <f t="shared" si="18"/>
        <v/>
      </c>
      <c r="W136" s="2" t="str">
        <f t="shared" si="19"/>
        <v/>
      </c>
      <c r="X136" s="2" t="str">
        <f t="shared" si="20"/>
        <v/>
      </c>
      <c r="Y136" s="16" t="str">
        <f t="shared" si="21"/>
        <v/>
      </c>
      <c r="Z136" s="16"/>
      <c r="AE136" s="3" t="str">
        <f>[1]Country!E135</f>
        <v>MW</v>
      </c>
      <c r="AF136" s="3" t="str">
        <f>[1]Country!C135</f>
        <v>Malawi</v>
      </c>
      <c r="AH136" s="3" t="str">
        <f t="shared" si="22"/>
        <v/>
      </c>
      <c r="AJ136" s="2" t="str">
        <f>IF([1]IMM!N135="","",[1]IMM!N135)</f>
        <v/>
      </c>
      <c r="AK136" s="16" t="str">
        <f t="shared" si="23"/>
        <v/>
      </c>
      <c r="AL136" s="16" t="str">
        <f t="shared" si="24"/>
        <v/>
      </c>
      <c r="AM136" s="2" t="str">
        <f t="shared" si="25"/>
        <v/>
      </c>
      <c r="AN136" s="16" t="str">
        <f t="shared" si="26"/>
        <v/>
      </c>
    </row>
    <row r="137" spans="4:40">
      <c r="D137" s="13" t="e">
        <f>#REF!</f>
        <v>#REF!</v>
      </c>
      <c r="G137" s="17" t="s">
        <v>1488</v>
      </c>
      <c r="H137" s="3" t="s">
        <v>1528</v>
      </c>
      <c r="I137" s="3" t="s">
        <v>1529</v>
      </c>
      <c r="L137" s="2" t="s">
        <v>1530</v>
      </c>
      <c r="M137" s="2" t="s">
        <v>1531</v>
      </c>
      <c r="N137" s="18" t="s">
        <v>1532</v>
      </c>
      <c r="R137" s="2" t="str">
        <f>IF(ISERROR(VLOOKUP([1]IMM!F136,Table8[[#All],[Column2]:[Column3]],2,FALSE)),"",(VLOOKUP([1]IMM!F136,Table8[[#All],[Column2]:[Column3]],2,FALSE)))</f>
        <v/>
      </c>
      <c r="U137" s="2" t="str">
        <f>IF([1]IMM!P136="","",[1]IMM!P136)</f>
        <v/>
      </c>
      <c r="V137" s="2" t="str">
        <f t="shared" si="18"/>
        <v/>
      </c>
      <c r="W137" s="2" t="str">
        <f t="shared" si="19"/>
        <v/>
      </c>
      <c r="X137" s="2" t="str">
        <f t="shared" si="20"/>
        <v/>
      </c>
      <c r="Y137" s="16" t="str">
        <f t="shared" si="21"/>
        <v/>
      </c>
      <c r="Z137" s="16"/>
      <c r="AE137" s="3" t="str">
        <f>[1]Country!E136</f>
        <v>MY</v>
      </c>
      <c r="AF137" s="3" t="str">
        <f>[1]Country!C136</f>
        <v>Malaysia</v>
      </c>
      <c r="AH137" s="3" t="str">
        <f t="shared" si="22"/>
        <v>MYS</v>
      </c>
      <c r="AJ137" s="2" t="str">
        <f>IF([1]IMM!N136="","",[1]IMM!N136)</f>
        <v/>
      </c>
      <c r="AK137" s="16" t="str">
        <f t="shared" si="23"/>
        <v/>
      </c>
      <c r="AL137" s="16" t="str">
        <f t="shared" si="24"/>
        <v/>
      </c>
      <c r="AM137" s="2" t="str">
        <f t="shared" si="25"/>
        <v/>
      </c>
      <c r="AN137" s="16" t="str">
        <f t="shared" si="26"/>
        <v/>
      </c>
    </row>
    <row r="138" spans="4:40">
      <c r="D138" s="13" t="e">
        <f>#REF!</f>
        <v>#REF!</v>
      </c>
      <c r="G138" s="17" t="s">
        <v>1493</v>
      </c>
      <c r="H138" s="3" t="s">
        <v>1533</v>
      </c>
      <c r="I138" s="3" t="s">
        <v>1534</v>
      </c>
      <c r="L138" s="2" t="s">
        <v>1535</v>
      </c>
      <c r="M138" s="2" t="s">
        <v>1536</v>
      </c>
      <c r="N138" s="18" t="s">
        <v>1537</v>
      </c>
      <c r="R138" s="2" t="str">
        <f>IF(ISERROR(VLOOKUP([1]IMM!F137,Table8[[#All],[Column2]:[Column3]],2,FALSE)),"",(VLOOKUP([1]IMM!F137,Table8[[#All],[Column2]:[Column3]],2,FALSE)))</f>
        <v/>
      </c>
      <c r="U138" s="2" t="str">
        <f>IF([1]IMM!P137="","",[1]IMM!P137)</f>
        <v/>
      </c>
      <c r="V138" s="2" t="str">
        <f t="shared" si="18"/>
        <v/>
      </c>
      <c r="W138" s="2" t="str">
        <f t="shared" si="19"/>
        <v/>
      </c>
      <c r="X138" s="2" t="str">
        <f t="shared" si="20"/>
        <v/>
      </c>
      <c r="Y138" s="16" t="str">
        <f t="shared" si="21"/>
        <v/>
      </c>
      <c r="Z138" s="16"/>
      <c r="AE138" s="3" t="str">
        <f>[1]Country!E137</f>
        <v>MV</v>
      </c>
      <c r="AF138" s="3" t="str">
        <f>[1]Country!C137</f>
        <v>Maldives</v>
      </c>
      <c r="AH138" s="3" t="str">
        <f t="shared" si="22"/>
        <v/>
      </c>
      <c r="AJ138" s="2" t="str">
        <f>IF([1]IMM!N137="","",[1]IMM!N137)</f>
        <v/>
      </c>
      <c r="AK138" s="16" t="str">
        <f t="shared" si="23"/>
        <v/>
      </c>
      <c r="AL138" s="16" t="str">
        <f t="shared" si="24"/>
        <v/>
      </c>
      <c r="AM138" s="2" t="str">
        <f t="shared" si="25"/>
        <v/>
      </c>
      <c r="AN138" s="16" t="str">
        <f t="shared" si="26"/>
        <v/>
      </c>
    </row>
    <row r="139" spans="4:40">
      <c r="D139" s="13" t="e">
        <f>#REF!</f>
        <v>#REF!</v>
      </c>
      <c r="G139" s="17" t="s">
        <v>1497</v>
      </c>
      <c r="H139" s="3" t="s">
        <v>1538</v>
      </c>
      <c r="I139" s="3" t="s">
        <v>1539</v>
      </c>
      <c r="L139" s="2" t="s">
        <v>1540</v>
      </c>
      <c r="M139" s="2" t="s">
        <v>1541</v>
      </c>
      <c r="N139" s="18" t="s">
        <v>1542</v>
      </c>
      <c r="R139" s="2" t="str">
        <f>IF(ISERROR(VLOOKUP([1]IMM!F138,Table8[[#All],[Column2]:[Column3]],2,FALSE)),"",(VLOOKUP([1]IMM!F138,Table8[[#All],[Column2]:[Column3]],2,FALSE)))</f>
        <v/>
      </c>
      <c r="U139" s="2" t="str">
        <f>IF([1]IMM!P138="","",[1]IMM!P138)</f>
        <v/>
      </c>
      <c r="V139" s="2" t="str">
        <f t="shared" si="18"/>
        <v/>
      </c>
      <c r="W139" s="2" t="str">
        <f t="shared" si="19"/>
        <v/>
      </c>
      <c r="X139" s="2" t="str">
        <f t="shared" si="20"/>
        <v/>
      </c>
      <c r="Y139" s="16" t="str">
        <f t="shared" si="21"/>
        <v/>
      </c>
      <c r="Z139" s="16"/>
      <c r="AE139" s="3" t="str">
        <f>[1]Country!E138</f>
        <v>ML</v>
      </c>
      <c r="AF139" s="3" t="str">
        <f>[1]Country!C138</f>
        <v>Mali</v>
      </c>
      <c r="AH139" s="3" t="str">
        <f t="shared" si="22"/>
        <v/>
      </c>
      <c r="AJ139" s="2" t="str">
        <f>IF([1]IMM!N138="","",[1]IMM!N138)</f>
        <v/>
      </c>
      <c r="AK139" s="16" t="str">
        <f t="shared" si="23"/>
        <v/>
      </c>
      <c r="AL139" s="16" t="str">
        <f t="shared" si="24"/>
        <v/>
      </c>
      <c r="AM139" s="2" t="str">
        <f t="shared" si="25"/>
        <v/>
      </c>
      <c r="AN139" s="16" t="str">
        <f t="shared" si="26"/>
        <v/>
      </c>
    </row>
    <row r="140" spans="4:40">
      <c r="D140" s="13" t="e">
        <f>#REF!</f>
        <v>#REF!</v>
      </c>
      <c r="G140" s="17" t="s">
        <v>1502</v>
      </c>
      <c r="H140" s="3" t="s">
        <v>1543</v>
      </c>
      <c r="I140" s="3" t="s">
        <v>1544</v>
      </c>
      <c r="L140" s="2" t="s">
        <v>1545</v>
      </c>
      <c r="M140" s="2" t="s">
        <v>1546</v>
      </c>
      <c r="N140" s="18" t="s">
        <v>1547</v>
      </c>
      <c r="R140" s="2" t="str">
        <f>IF(ISERROR(VLOOKUP([1]IMM!F139,Table8[[#All],[Column2]:[Column3]],2,FALSE)),"",(VLOOKUP([1]IMM!F139,Table8[[#All],[Column2]:[Column3]],2,FALSE)))</f>
        <v/>
      </c>
      <c r="U140" s="2" t="str">
        <f>IF([1]IMM!P139="","",[1]IMM!P139)</f>
        <v/>
      </c>
      <c r="V140" s="2" t="str">
        <f t="shared" si="18"/>
        <v/>
      </c>
      <c r="W140" s="2" t="str">
        <f t="shared" si="19"/>
        <v/>
      </c>
      <c r="X140" s="2" t="str">
        <f t="shared" si="20"/>
        <v/>
      </c>
      <c r="Y140" s="16" t="str">
        <f t="shared" si="21"/>
        <v/>
      </c>
      <c r="Z140" s="16"/>
      <c r="AE140" s="3" t="str">
        <f>[1]Country!E139</f>
        <v>MT</v>
      </c>
      <c r="AF140" s="3" t="str">
        <f>[1]Country!C139</f>
        <v>Malta</v>
      </c>
      <c r="AH140" s="3" t="str">
        <f t="shared" si="22"/>
        <v/>
      </c>
      <c r="AJ140" s="2" t="str">
        <f>IF([1]IMM!N139="","",[1]IMM!N139)</f>
        <v/>
      </c>
      <c r="AK140" s="16" t="str">
        <f t="shared" si="23"/>
        <v/>
      </c>
      <c r="AL140" s="16" t="str">
        <f t="shared" si="24"/>
        <v/>
      </c>
      <c r="AM140" s="2" t="str">
        <f t="shared" si="25"/>
        <v/>
      </c>
      <c r="AN140" s="16" t="str">
        <f t="shared" si="26"/>
        <v/>
      </c>
    </row>
    <row r="141" spans="4:40">
      <c r="D141" s="13" t="e">
        <f>#REF!</f>
        <v>#REF!</v>
      </c>
      <c r="G141" s="17" t="s">
        <v>1509</v>
      </c>
      <c r="H141" s="3" t="s">
        <v>1548</v>
      </c>
      <c r="I141" s="3" t="s">
        <v>1549</v>
      </c>
      <c r="L141" s="2" t="s">
        <v>1550</v>
      </c>
      <c r="M141" s="2" t="s">
        <v>1551</v>
      </c>
      <c r="N141" s="18" t="s">
        <v>1552</v>
      </c>
      <c r="R141" s="2" t="str">
        <f>IF(ISERROR(VLOOKUP([1]IMM!F140,Table8[[#All],[Column2]:[Column3]],2,FALSE)),"",(VLOOKUP([1]IMM!F140,Table8[[#All],[Column2]:[Column3]],2,FALSE)))</f>
        <v/>
      </c>
      <c r="U141" s="2" t="str">
        <f>IF([1]IMM!P140="","",[1]IMM!P140)</f>
        <v/>
      </c>
      <c r="V141" s="2" t="str">
        <f t="shared" si="18"/>
        <v/>
      </c>
      <c r="W141" s="2" t="str">
        <f t="shared" si="19"/>
        <v/>
      </c>
      <c r="X141" s="2" t="str">
        <f t="shared" si="20"/>
        <v/>
      </c>
      <c r="Y141" s="16" t="str">
        <f t="shared" si="21"/>
        <v/>
      </c>
      <c r="Z141" s="16"/>
      <c r="AE141" s="3" t="str">
        <f>[1]Country!E140</f>
        <v>MH</v>
      </c>
      <c r="AF141" s="3" t="str">
        <f>[1]Country!C140</f>
        <v>Marshall Islands</v>
      </c>
      <c r="AH141" s="3" t="str">
        <f t="shared" si="22"/>
        <v/>
      </c>
      <c r="AJ141" s="2" t="str">
        <f>IF([1]IMM!N140="","",[1]IMM!N140)</f>
        <v/>
      </c>
      <c r="AK141" s="16" t="str">
        <f t="shared" si="23"/>
        <v/>
      </c>
      <c r="AL141" s="16" t="str">
        <f t="shared" si="24"/>
        <v/>
      </c>
      <c r="AM141" s="2" t="str">
        <f t="shared" si="25"/>
        <v/>
      </c>
      <c r="AN141" s="16" t="str">
        <f t="shared" si="26"/>
        <v/>
      </c>
    </row>
    <row r="142" spans="4:40">
      <c r="D142" s="13" t="e">
        <f>#REF!</f>
        <v>#REF!</v>
      </c>
      <c r="G142" s="17" t="s">
        <v>1479</v>
      </c>
      <c r="H142" s="3" t="s">
        <v>1553</v>
      </c>
      <c r="I142" s="3" t="s">
        <v>1554</v>
      </c>
      <c r="L142" s="2" t="s">
        <v>1555</v>
      </c>
      <c r="M142" s="2" t="s">
        <v>1057</v>
      </c>
      <c r="N142" s="18" t="s">
        <v>1556</v>
      </c>
      <c r="R142" s="2" t="str">
        <f>IF(ISERROR(VLOOKUP([1]IMM!F141,Table8[[#All],[Column2]:[Column3]],2,FALSE)),"",(VLOOKUP([1]IMM!F141,Table8[[#All],[Column2]:[Column3]],2,FALSE)))</f>
        <v/>
      </c>
      <c r="U142" s="2" t="str">
        <f>IF([1]IMM!P141="","",[1]IMM!P141)</f>
        <v/>
      </c>
      <c r="V142" s="2" t="str">
        <f t="shared" si="18"/>
        <v/>
      </c>
      <c r="W142" s="2" t="str">
        <f t="shared" si="19"/>
        <v/>
      </c>
      <c r="X142" s="2" t="str">
        <f t="shared" si="20"/>
        <v/>
      </c>
      <c r="Y142" s="16" t="str">
        <f t="shared" si="21"/>
        <v/>
      </c>
      <c r="Z142" s="16"/>
      <c r="AE142" s="3" t="str">
        <f>[1]Country!E141</f>
        <v>MQ</v>
      </c>
      <c r="AF142" s="3" t="str">
        <f>[1]Country!C141</f>
        <v>Martinique</v>
      </c>
      <c r="AH142" s="3" t="str">
        <f t="shared" si="22"/>
        <v/>
      </c>
      <c r="AJ142" s="2" t="str">
        <f>IF([1]IMM!N141="","",[1]IMM!N141)</f>
        <v/>
      </c>
      <c r="AK142" s="16" t="str">
        <f t="shared" si="23"/>
        <v/>
      </c>
      <c r="AL142" s="16" t="str">
        <f t="shared" si="24"/>
        <v/>
      </c>
      <c r="AM142" s="2" t="str">
        <f t="shared" si="25"/>
        <v/>
      </c>
      <c r="AN142" s="16" t="str">
        <f t="shared" si="26"/>
        <v/>
      </c>
    </row>
    <row r="143" spans="4:40">
      <c r="D143" s="13" t="e">
        <f>#REF!</f>
        <v>#REF!</v>
      </c>
      <c r="G143" s="17" t="s">
        <v>1506</v>
      </c>
      <c r="H143" s="3" t="s">
        <v>1557</v>
      </c>
      <c r="I143" s="3" t="s">
        <v>1558</v>
      </c>
      <c r="L143" s="2" t="s">
        <v>1559</v>
      </c>
      <c r="M143" s="2" t="s">
        <v>1560</v>
      </c>
      <c r="N143" s="18" t="s">
        <v>1561</v>
      </c>
      <c r="R143" s="2" t="str">
        <f>IF(ISERROR(VLOOKUP([1]IMM!F142,Table8[[#All],[Column2]:[Column3]],2,FALSE)),"",(VLOOKUP([1]IMM!F142,Table8[[#All],[Column2]:[Column3]],2,FALSE)))</f>
        <v/>
      </c>
      <c r="U143" s="2" t="str">
        <f>IF([1]IMM!P142="","",[1]IMM!P142)</f>
        <v/>
      </c>
      <c r="V143" s="2" t="str">
        <f t="shared" si="18"/>
        <v/>
      </c>
      <c r="W143" s="2" t="str">
        <f t="shared" si="19"/>
        <v/>
      </c>
      <c r="X143" s="2" t="str">
        <f t="shared" si="20"/>
        <v/>
      </c>
      <c r="Y143" s="16" t="str">
        <f t="shared" si="21"/>
        <v/>
      </c>
      <c r="Z143" s="16"/>
      <c r="AE143" s="3" t="str">
        <f>[1]Country!E142</f>
        <v>MR</v>
      </c>
      <c r="AF143" s="3" t="str">
        <f>[1]Country!C142</f>
        <v>Mauritania</v>
      </c>
      <c r="AH143" s="3" t="str">
        <f t="shared" si="22"/>
        <v>MRT</v>
      </c>
      <c r="AJ143" s="2" t="str">
        <f>IF([1]IMM!N142="","",[1]IMM!N142)</f>
        <v/>
      </c>
      <c r="AK143" s="16" t="str">
        <f t="shared" si="23"/>
        <v/>
      </c>
      <c r="AL143" s="16" t="str">
        <f t="shared" si="24"/>
        <v/>
      </c>
      <c r="AM143" s="2" t="str">
        <f t="shared" si="25"/>
        <v/>
      </c>
      <c r="AN143" s="16" t="str">
        <f t="shared" si="26"/>
        <v/>
      </c>
    </row>
    <row r="144" spans="4:40">
      <c r="D144" s="13" t="e">
        <f>#REF!</f>
        <v>#REF!</v>
      </c>
      <c r="G144" s="17" t="s">
        <v>1523</v>
      </c>
      <c r="H144" s="3" t="s">
        <v>1562</v>
      </c>
      <c r="I144" s="3" t="s">
        <v>1563</v>
      </c>
      <c r="L144" s="2" t="s">
        <v>1564</v>
      </c>
      <c r="M144" s="2" t="s">
        <v>1565</v>
      </c>
      <c r="N144" s="18" t="s">
        <v>1566</v>
      </c>
      <c r="R144" s="2" t="str">
        <f>IF(ISERROR(VLOOKUP([1]IMM!F143,Table8[[#All],[Column2]:[Column3]],2,FALSE)),"",(VLOOKUP([1]IMM!F143,Table8[[#All],[Column2]:[Column3]],2,FALSE)))</f>
        <v/>
      </c>
      <c r="U144" s="2" t="str">
        <f>IF([1]IMM!P143="","",[1]IMM!P143)</f>
        <v/>
      </c>
      <c r="V144" s="2" t="str">
        <f t="shared" si="18"/>
        <v/>
      </c>
      <c r="W144" s="2" t="str">
        <f t="shared" si="19"/>
        <v/>
      </c>
      <c r="X144" s="2" t="str">
        <f t="shared" si="20"/>
        <v/>
      </c>
      <c r="Y144" s="16" t="str">
        <f t="shared" si="21"/>
        <v/>
      </c>
      <c r="Z144" s="16"/>
      <c r="AE144" s="3" t="str">
        <f>[1]Country!E143</f>
        <v>MU</v>
      </c>
      <c r="AF144" s="3" t="str">
        <f>[1]Country!C143</f>
        <v>Mauritius</v>
      </c>
      <c r="AH144" s="3" t="str">
        <f t="shared" si="22"/>
        <v/>
      </c>
      <c r="AJ144" s="2" t="str">
        <f>IF([1]IMM!N143="","",[1]IMM!N143)</f>
        <v/>
      </c>
      <c r="AK144" s="16" t="str">
        <f t="shared" si="23"/>
        <v/>
      </c>
      <c r="AL144" s="16" t="str">
        <f t="shared" si="24"/>
        <v/>
      </c>
      <c r="AM144" s="2" t="str">
        <f t="shared" si="25"/>
        <v/>
      </c>
      <c r="AN144" s="16" t="str">
        <f t="shared" si="26"/>
        <v/>
      </c>
    </row>
    <row r="145" spans="4:40">
      <c r="D145" s="13" t="e">
        <f>#REF!</f>
        <v>#REF!</v>
      </c>
      <c r="G145" s="17" t="s">
        <v>1527</v>
      </c>
      <c r="H145" s="3" t="s">
        <v>427</v>
      </c>
      <c r="I145" s="3" t="s">
        <v>1567</v>
      </c>
      <c r="L145" s="2" t="s">
        <v>1568</v>
      </c>
      <c r="M145" s="2" t="s">
        <v>1438</v>
      </c>
      <c r="N145" s="18" t="s">
        <v>1569</v>
      </c>
      <c r="R145" s="2" t="str">
        <f>IF(ISERROR(VLOOKUP([1]IMM!F144,Table8[[#All],[Column2]:[Column3]],2,FALSE)),"",(VLOOKUP([1]IMM!F144,Table8[[#All],[Column2]:[Column3]],2,FALSE)))</f>
        <v/>
      </c>
      <c r="U145" s="2" t="str">
        <f>IF([1]IMM!P144="","",[1]IMM!P144)</f>
        <v/>
      </c>
      <c r="V145" s="2" t="str">
        <f t="shared" si="18"/>
        <v/>
      </c>
      <c r="W145" s="2" t="str">
        <f t="shared" si="19"/>
        <v/>
      </c>
      <c r="X145" s="2" t="str">
        <f t="shared" si="20"/>
        <v/>
      </c>
      <c r="Y145" s="16" t="str">
        <f t="shared" si="21"/>
        <v/>
      </c>
      <c r="Z145" s="16"/>
      <c r="AE145" s="3" t="str">
        <f>[1]Country!E144</f>
        <v>YT</v>
      </c>
      <c r="AF145" s="3" t="str">
        <f>[1]Country!C144</f>
        <v>Mayotte</v>
      </c>
      <c r="AH145" s="3" t="str">
        <f t="shared" si="22"/>
        <v/>
      </c>
      <c r="AJ145" s="2" t="str">
        <f>IF([1]IMM!N144="","",[1]IMM!N144)</f>
        <v/>
      </c>
      <c r="AK145" s="16" t="str">
        <f t="shared" si="23"/>
        <v/>
      </c>
      <c r="AL145" s="16" t="str">
        <f t="shared" si="24"/>
        <v/>
      </c>
      <c r="AM145" s="2" t="str">
        <f t="shared" si="25"/>
        <v/>
      </c>
      <c r="AN145" s="16" t="str">
        <f t="shared" si="26"/>
        <v/>
      </c>
    </row>
    <row r="146" spans="4:40">
      <c r="D146" s="13" t="e">
        <f>#REF!</f>
        <v>#REF!</v>
      </c>
      <c r="G146" s="17" t="s">
        <v>1537</v>
      </c>
      <c r="H146" s="3" t="s">
        <v>1570</v>
      </c>
      <c r="I146" s="3" t="s">
        <v>1571</v>
      </c>
      <c r="L146" s="2" t="s">
        <v>1572</v>
      </c>
      <c r="M146" s="2" t="s">
        <v>1573</v>
      </c>
      <c r="N146" s="18" t="s">
        <v>1574</v>
      </c>
      <c r="R146" s="2" t="str">
        <f>IF(ISERROR(VLOOKUP([1]IMM!F145,Table8[[#All],[Column2]:[Column3]],2,FALSE)),"",(VLOOKUP([1]IMM!F145,Table8[[#All],[Column2]:[Column3]],2,FALSE)))</f>
        <v/>
      </c>
      <c r="U146" s="2" t="str">
        <f>IF([1]IMM!P145="","",[1]IMM!P145)</f>
        <v/>
      </c>
      <c r="V146" s="2" t="str">
        <f t="shared" si="18"/>
        <v/>
      </c>
      <c r="W146" s="2" t="str">
        <f t="shared" si="19"/>
        <v/>
      </c>
      <c r="X146" s="2" t="str">
        <f t="shared" si="20"/>
        <v/>
      </c>
      <c r="Y146" s="16" t="str">
        <f t="shared" si="21"/>
        <v/>
      </c>
      <c r="Z146" s="16"/>
      <c r="AE146" s="3" t="str">
        <f>[1]Country!E145</f>
        <v>MX</v>
      </c>
      <c r="AF146" s="3" t="str">
        <f>[1]Country!C145</f>
        <v>Mexico</v>
      </c>
      <c r="AH146" s="3" t="str">
        <f t="shared" si="22"/>
        <v/>
      </c>
      <c r="AJ146" s="2" t="str">
        <f>IF([1]IMM!N145="","",[1]IMM!N145)</f>
        <v/>
      </c>
      <c r="AK146" s="16" t="str">
        <f t="shared" si="23"/>
        <v/>
      </c>
      <c r="AL146" s="16" t="str">
        <f t="shared" si="24"/>
        <v/>
      </c>
      <c r="AM146" s="2" t="str">
        <f t="shared" si="25"/>
        <v/>
      </c>
      <c r="AN146" s="16" t="str">
        <f t="shared" si="26"/>
        <v/>
      </c>
    </row>
    <row r="147" spans="4:40">
      <c r="D147" s="13" t="e">
        <f>#REF!</f>
        <v>#REF!</v>
      </c>
      <c r="G147" s="17" t="s">
        <v>1542</v>
      </c>
      <c r="H147" s="3" t="s">
        <v>1575</v>
      </c>
      <c r="I147" s="3" t="s">
        <v>1576</v>
      </c>
      <c r="L147" s="2" t="s">
        <v>1577</v>
      </c>
      <c r="M147" s="2" t="s">
        <v>1578</v>
      </c>
      <c r="N147" s="18"/>
      <c r="R147" s="2" t="str">
        <f>IF(ISERROR(VLOOKUP([1]IMM!F146,Table8[[#All],[Column2]:[Column3]],2,FALSE)),"",(VLOOKUP([1]IMM!F146,Table8[[#All],[Column2]:[Column3]],2,FALSE)))</f>
        <v/>
      </c>
      <c r="U147" s="2" t="str">
        <f>IF([1]IMM!P146="","",[1]IMM!P146)</f>
        <v/>
      </c>
      <c r="V147" s="2" t="str">
        <f t="shared" si="18"/>
        <v/>
      </c>
      <c r="W147" s="2" t="str">
        <f t="shared" si="19"/>
        <v/>
      </c>
      <c r="X147" s="2" t="str">
        <f t="shared" si="20"/>
        <v/>
      </c>
      <c r="Y147" s="16" t="str">
        <f t="shared" si="21"/>
        <v/>
      </c>
      <c r="Z147" s="16"/>
      <c r="AE147" s="3" t="str">
        <f>[1]Country!E146</f>
        <v>FM</v>
      </c>
      <c r="AF147" s="3" t="str">
        <f>[1]Country!C146</f>
        <v>Micronesia, Federated States of</v>
      </c>
      <c r="AH147" s="3" t="str">
        <f t="shared" si="22"/>
        <v/>
      </c>
      <c r="AJ147" s="2" t="str">
        <f>IF([1]IMM!N146="","",[1]IMM!N146)</f>
        <v/>
      </c>
      <c r="AK147" s="16" t="str">
        <f t="shared" si="23"/>
        <v/>
      </c>
      <c r="AL147" s="16" t="str">
        <f t="shared" si="24"/>
        <v/>
      </c>
      <c r="AM147" s="2" t="str">
        <f t="shared" si="25"/>
        <v/>
      </c>
      <c r="AN147" s="16" t="str">
        <f t="shared" si="26"/>
        <v/>
      </c>
    </row>
    <row r="148" spans="4:40">
      <c r="D148" s="13" t="e">
        <f>#REF!</f>
        <v>#REF!</v>
      </c>
      <c r="G148" s="17" t="s">
        <v>1552</v>
      </c>
      <c r="H148" s="3" t="s">
        <v>1579</v>
      </c>
      <c r="I148" s="3" t="s">
        <v>437</v>
      </c>
      <c r="L148" s="2" t="s">
        <v>1580</v>
      </c>
      <c r="M148" s="2" t="s">
        <v>1247</v>
      </c>
      <c r="N148" s="18" t="s">
        <v>1581</v>
      </c>
      <c r="R148" s="2" t="str">
        <f>IF(ISERROR(VLOOKUP([1]IMM!F147,Table8[[#All],[Column2]:[Column3]],2,FALSE)),"",(VLOOKUP([1]IMM!F147,Table8[[#All],[Column2]:[Column3]],2,FALSE)))</f>
        <v/>
      </c>
      <c r="U148" s="2" t="str">
        <f>IF([1]IMM!P147="","",[1]IMM!P147)</f>
        <v/>
      </c>
      <c r="V148" s="2" t="str">
        <f t="shared" si="18"/>
        <v/>
      </c>
      <c r="W148" s="2" t="str">
        <f t="shared" si="19"/>
        <v/>
      </c>
      <c r="X148" s="2" t="str">
        <f t="shared" si="20"/>
        <v/>
      </c>
      <c r="Y148" s="16" t="str">
        <f t="shared" si="21"/>
        <v/>
      </c>
      <c r="Z148" s="16"/>
      <c r="AE148" s="3" t="str">
        <f>[1]Country!E147</f>
        <v>MI</v>
      </c>
      <c r="AF148" s="3" t="str">
        <f>[1]Country!C147</f>
        <v>Midway Islands</v>
      </c>
      <c r="AH148" s="3" t="str">
        <f t="shared" si="22"/>
        <v/>
      </c>
      <c r="AJ148" s="2" t="str">
        <f>IF([1]IMM!N147="","",[1]IMM!N147)</f>
        <v/>
      </c>
      <c r="AK148" s="16" t="str">
        <f t="shared" si="23"/>
        <v/>
      </c>
      <c r="AL148" s="16" t="str">
        <f t="shared" si="24"/>
        <v/>
      </c>
      <c r="AM148" s="2" t="str">
        <f t="shared" si="25"/>
        <v/>
      </c>
      <c r="AN148" s="16" t="str">
        <f t="shared" si="26"/>
        <v/>
      </c>
    </row>
    <row r="149" spans="4:40">
      <c r="D149" s="13" t="e">
        <f>#REF!</f>
        <v>#REF!</v>
      </c>
      <c r="G149" s="17" t="s">
        <v>1556</v>
      </c>
      <c r="H149" s="3" t="s">
        <v>1582</v>
      </c>
      <c r="I149" s="3" t="s">
        <v>1583</v>
      </c>
      <c r="L149" s="2" t="s">
        <v>1584</v>
      </c>
      <c r="M149" s="2" t="s">
        <v>1289</v>
      </c>
      <c r="N149" s="18" t="s">
        <v>1585</v>
      </c>
      <c r="R149" s="2" t="str">
        <f>IF(ISERROR(VLOOKUP([1]IMM!F148,Table8[[#All],[Column2]:[Column3]],2,FALSE)),"",(VLOOKUP([1]IMM!F148,Table8[[#All],[Column2]:[Column3]],2,FALSE)))</f>
        <v/>
      </c>
      <c r="U149" s="2" t="str">
        <f>IF([1]IMM!P148="","",[1]IMM!P148)</f>
        <v/>
      </c>
      <c r="V149" s="2" t="str">
        <f t="shared" si="18"/>
        <v/>
      </c>
      <c r="W149" s="2" t="str">
        <f t="shared" si="19"/>
        <v/>
      </c>
      <c r="X149" s="2" t="str">
        <f t="shared" si="20"/>
        <v/>
      </c>
      <c r="Y149" s="16" t="str">
        <f t="shared" si="21"/>
        <v/>
      </c>
      <c r="Z149" s="16"/>
      <c r="AE149" s="3" t="str">
        <f>[1]Country!E148</f>
        <v>MD</v>
      </c>
      <c r="AF149" s="3" t="str">
        <f>[1]Country!C148</f>
        <v>Moldova</v>
      </c>
      <c r="AH149" s="3" t="str">
        <f t="shared" si="22"/>
        <v>MDA</v>
      </c>
      <c r="AJ149" s="2" t="str">
        <f>IF([1]IMM!N148="","",[1]IMM!N148)</f>
        <v/>
      </c>
      <c r="AK149" s="16" t="str">
        <f t="shared" si="23"/>
        <v/>
      </c>
      <c r="AL149" s="16" t="str">
        <f t="shared" si="24"/>
        <v/>
      </c>
      <c r="AM149" s="2" t="str">
        <f t="shared" si="25"/>
        <v/>
      </c>
      <c r="AN149" s="16" t="str">
        <f t="shared" si="26"/>
        <v/>
      </c>
    </row>
    <row r="150" spans="4:40">
      <c r="D150" s="13" t="e">
        <f>#REF!</f>
        <v>#REF!</v>
      </c>
      <c r="G150" s="17" t="s">
        <v>1569</v>
      </c>
      <c r="H150" s="3" t="s">
        <v>1586</v>
      </c>
      <c r="I150" s="3" t="s">
        <v>1587</v>
      </c>
      <c r="L150" s="2" t="s">
        <v>1588</v>
      </c>
      <c r="M150" s="2" t="s">
        <v>1064</v>
      </c>
      <c r="N150" s="18" t="s">
        <v>1589</v>
      </c>
      <c r="R150" s="2" t="str">
        <f>IF(ISERROR(VLOOKUP([1]IMM!F149,Table8[[#All],[Column2]:[Column3]],2,FALSE)),"",(VLOOKUP([1]IMM!F149,Table8[[#All],[Column2]:[Column3]],2,FALSE)))</f>
        <v/>
      </c>
      <c r="U150" s="2" t="str">
        <f>IF([1]IMM!P149="","",[1]IMM!P149)</f>
        <v/>
      </c>
      <c r="V150" s="2" t="str">
        <f t="shared" si="18"/>
        <v/>
      </c>
      <c r="W150" s="2" t="str">
        <f t="shared" si="19"/>
        <v/>
      </c>
      <c r="X150" s="2" t="str">
        <f t="shared" si="20"/>
        <v/>
      </c>
      <c r="Y150" s="16" t="str">
        <f t="shared" si="21"/>
        <v/>
      </c>
      <c r="Z150" s="16"/>
      <c r="AE150" s="3" t="str">
        <f>[1]Country!E149</f>
        <v>MC</v>
      </c>
      <c r="AF150" s="3" t="str">
        <f>[1]Country!C149</f>
        <v>Monaco</v>
      </c>
      <c r="AH150" s="3" t="str">
        <f t="shared" si="22"/>
        <v>MCO</v>
      </c>
      <c r="AJ150" s="2" t="str">
        <f>IF([1]IMM!N149="","",[1]IMM!N149)</f>
        <v/>
      </c>
      <c r="AK150" s="16" t="str">
        <f t="shared" si="23"/>
        <v/>
      </c>
      <c r="AL150" s="16" t="str">
        <f t="shared" si="24"/>
        <v/>
      </c>
      <c r="AM150" s="2" t="str">
        <f t="shared" si="25"/>
        <v/>
      </c>
      <c r="AN150" s="16" t="str">
        <f t="shared" si="26"/>
        <v/>
      </c>
    </row>
    <row r="151" spans="4:40">
      <c r="D151" s="13" t="e">
        <f>#REF!</f>
        <v>#REF!</v>
      </c>
      <c r="G151" s="17" t="s">
        <v>1585</v>
      </c>
      <c r="H151" s="3" t="s">
        <v>1590</v>
      </c>
      <c r="I151" s="3" t="s">
        <v>1591</v>
      </c>
      <c r="L151" s="2" t="s">
        <v>1592</v>
      </c>
      <c r="M151" s="2" t="s">
        <v>1389</v>
      </c>
      <c r="N151" s="18" t="s">
        <v>1593</v>
      </c>
      <c r="R151" s="2" t="str">
        <f>IF(ISERROR(VLOOKUP([1]IMM!F150,Table8[[#All],[Column2]:[Column3]],2,FALSE)),"",(VLOOKUP([1]IMM!F150,Table8[[#All],[Column2]:[Column3]],2,FALSE)))</f>
        <v/>
      </c>
      <c r="U151" s="2" t="str">
        <f>IF([1]IMM!P150="","",[1]IMM!P150)</f>
        <v/>
      </c>
      <c r="V151" s="2" t="str">
        <f t="shared" si="18"/>
        <v/>
      </c>
      <c r="W151" s="2" t="str">
        <f t="shared" si="19"/>
        <v/>
      </c>
      <c r="X151" s="2" t="str">
        <f t="shared" si="20"/>
        <v/>
      </c>
      <c r="Y151" s="16" t="str">
        <f t="shared" si="21"/>
        <v/>
      </c>
      <c r="Z151" s="16"/>
      <c r="AE151" s="3" t="str">
        <f>[1]Country!E150</f>
        <v>MN</v>
      </c>
      <c r="AF151" s="3" t="str">
        <f>[1]Country!C150</f>
        <v>Mongolia</v>
      </c>
      <c r="AH151" s="3" t="str">
        <f t="shared" si="22"/>
        <v>MNG</v>
      </c>
      <c r="AJ151" s="2" t="str">
        <f>IF([1]IMM!N150="","",[1]IMM!N150)</f>
        <v/>
      </c>
      <c r="AK151" s="16" t="str">
        <f t="shared" si="23"/>
        <v/>
      </c>
      <c r="AL151" s="16" t="str">
        <f t="shared" si="24"/>
        <v/>
      </c>
      <c r="AM151" s="2" t="str">
        <f t="shared" si="25"/>
        <v/>
      </c>
      <c r="AN151" s="16" t="str">
        <f t="shared" si="26"/>
        <v/>
      </c>
    </row>
    <row r="152" spans="4:40">
      <c r="D152" s="13" t="e">
        <f>#REF!</f>
        <v>#REF!</v>
      </c>
      <c r="G152" s="17" t="s">
        <v>1589</v>
      </c>
      <c r="H152" s="3" t="s">
        <v>448</v>
      </c>
      <c r="I152" s="3" t="s">
        <v>449</v>
      </c>
      <c r="L152" s="2" t="s">
        <v>1594</v>
      </c>
      <c r="M152" s="2" t="s">
        <v>1595</v>
      </c>
      <c r="N152" s="18" t="s">
        <v>1596</v>
      </c>
      <c r="R152" s="2" t="str">
        <f>IF(ISERROR(VLOOKUP([1]IMM!F151,Table8[[#All],[Column2]:[Column3]],2,FALSE)),"",(VLOOKUP([1]IMM!F151,Table8[[#All],[Column2]:[Column3]],2,FALSE)))</f>
        <v/>
      </c>
      <c r="U152" s="2" t="str">
        <f>IF([1]IMM!P151="","",[1]IMM!P151)</f>
        <v/>
      </c>
      <c r="V152" s="2" t="str">
        <f t="shared" si="18"/>
        <v/>
      </c>
      <c r="W152" s="2" t="str">
        <f t="shared" si="19"/>
        <v/>
      </c>
      <c r="X152" s="2" t="str">
        <f t="shared" si="20"/>
        <v/>
      </c>
      <c r="Y152" s="16" t="str">
        <f t="shared" si="21"/>
        <v/>
      </c>
      <c r="Z152" s="16"/>
      <c r="AE152" s="3" t="str">
        <f>[1]Country!E151</f>
        <v>ME</v>
      </c>
      <c r="AF152" s="3" t="str">
        <f>[1]Country!C151</f>
        <v>Montenegro</v>
      </c>
      <c r="AH152" s="3" t="str">
        <f t="shared" si="22"/>
        <v/>
      </c>
      <c r="AJ152" s="2" t="str">
        <f>IF([1]IMM!N151="","",[1]IMM!N151)</f>
        <v/>
      </c>
      <c r="AK152" s="16" t="str">
        <f t="shared" si="23"/>
        <v/>
      </c>
      <c r="AL152" s="16" t="str">
        <f t="shared" si="24"/>
        <v/>
      </c>
      <c r="AM152" s="2" t="str">
        <f t="shared" si="25"/>
        <v/>
      </c>
      <c r="AN152" s="16" t="str">
        <f t="shared" si="26"/>
        <v/>
      </c>
    </row>
    <row r="153" spans="4:40">
      <c r="D153" s="13" t="e">
        <f>#REF!</f>
        <v>#REF!</v>
      </c>
      <c r="G153" s="17" t="s">
        <v>1597</v>
      </c>
      <c r="H153" s="3" t="s">
        <v>1598</v>
      </c>
      <c r="I153" s="3" t="s">
        <v>1599</v>
      </c>
      <c r="L153" s="2" t="s">
        <v>1600</v>
      </c>
      <c r="M153" s="2" t="s">
        <v>1394</v>
      </c>
      <c r="N153" s="18" t="s">
        <v>1597</v>
      </c>
      <c r="R153" s="2" t="str">
        <f>IF(ISERROR(VLOOKUP([1]IMM!F152,Table8[[#All],[Column2]:[Column3]],2,FALSE)),"",(VLOOKUP([1]IMM!F152,Table8[[#All],[Column2]:[Column3]],2,FALSE)))</f>
        <v/>
      </c>
      <c r="U153" s="2" t="str">
        <f>IF([1]IMM!P152="","",[1]IMM!P152)</f>
        <v/>
      </c>
      <c r="V153" s="2" t="str">
        <f t="shared" si="18"/>
        <v/>
      </c>
      <c r="W153" s="2" t="str">
        <f t="shared" si="19"/>
        <v/>
      </c>
      <c r="X153" s="2" t="str">
        <f t="shared" si="20"/>
        <v/>
      </c>
      <c r="Y153" s="16" t="str">
        <f t="shared" si="21"/>
        <v/>
      </c>
      <c r="Z153" s="16"/>
      <c r="AE153" s="3" t="str">
        <f>[1]Country!E152</f>
        <v>MS</v>
      </c>
      <c r="AF153" s="3" t="str">
        <f>[1]Country!C152</f>
        <v>Montserrat</v>
      </c>
      <c r="AH153" s="3" t="str">
        <f t="shared" si="22"/>
        <v/>
      </c>
      <c r="AJ153" s="2" t="str">
        <f>IF([1]IMM!N152="","",[1]IMM!N152)</f>
        <v/>
      </c>
      <c r="AK153" s="16" t="str">
        <f t="shared" si="23"/>
        <v/>
      </c>
      <c r="AL153" s="16" t="str">
        <f t="shared" si="24"/>
        <v/>
      </c>
      <c r="AM153" s="2" t="str">
        <f t="shared" si="25"/>
        <v/>
      </c>
      <c r="AN153" s="16" t="str">
        <f t="shared" si="26"/>
        <v/>
      </c>
    </row>
    <row r="154" spans="4:40">
      <c r="D154" s="13" t="e">
        <f>#REF!</f>
        <v>#REF!</v>
      </c>
      <c r="G154" s="17" t="s">
        <v>1601</v>
      </c>
      <c r="H154" s="3" t="s">
        <v>1602</v>
      </c>
      <c r="I154" s="3" t="s">
        <v>1603</v>
      </c>
      <c r="L154" s="2" t="s">
        <v>1604</v>
      </c>
      <c r="M154" s="2" t="s">
        <v>1605</v>
      </c>
      <c r="N154" s="18" t="s">
        <v>1601</v>
      </c>
      <c r="R154" s="2" t="str">
        <f>IF(ISERROR(VLOOKUP([1]IMM!F153,Table8[[#All],[Column2]:[Column3]],2,FALSE)),"",(VLOOKUP([1]IMM!F153,Table8[[#All],[Column2]:[Column3]],2,FALSE)))</f>
        <v/>
      </c>
      <c r="U154" s="2" t="str">
        <f>IF([1]IMM!P153="","",[1]IMM!P153)</f>
        <v/>
      </c>
      <c r="V154" s="2" t="str">
        <f t="shared" si="18"/>
        <v/>
      </c>
      <c r="W154" s="2" t="str">
        <f t="shared" si="19"/>
        <v/>
      </c>
      <c r="X154" s="2" t="str">
        <f t="shared" si="20"/>
        <v/>
      </c>
      <c r="Y154" s="16" t="str">
        <f t="shared" si="21"/>
        <v/>
      </c>
      <c r="Z154" s="16"/>
      <c r="AE154" s="3" t="str">
        <f>[1]Country!E153</f>
        <v>MA</v>
      </c>
      <c r="AF154" s="3" t="str">
        <f>[1]Country!C153</f>
        <v>Morocco</v>
      </c>
      <c r="AH154" s="3" t="str">
        <f t="shared" si="22"/>
        <v/>
      </c>
      <c r="AJ154" s="2" t="str">
        <f>IF([1]IMM!N153="","",[1]IMM!N153)</f>
        <v/>
      </c>
      <c r="AK154" s="16" t="str">
        <f t="shared" si="23"/>
        <v/>
      </c>
      <c r="AL154" s="16" t="str">
        <f t="shared" si="24"/>
        <v/>
      </c>
      <c r="AM154" s="2" t="str">
        <f t="shared" si="25"/>
        <v/>
      </c>
      <c r="AN154" s="16" t="str">
        <f t="shared" si="26"/>
        <v/>
      </c>
    </row>
    <row r="155" spans="4:40">
      <c r="D155" s="13" t="e">
        <f>#REF!</f>
        <v>#REF!</v>
      </c>
      <c r="G155" s="17" t="s">
        <v>1574</v>
      </c>
      <c r="H155" s="3" t="s">
        <v>1606</v>
      </c>
      <c r="I155" s="3" t="s">
        <v>1607</v>
      </c>
      <c r="L155" s="2" t="s">
        <v>1608</v>
      </c>
      <c r="M155" s="2" t="s">
        <v>1074</v>
      </c>
      <c r="N155" s="18" t="s">
        <v>1036</v>
      </c>
      <c r="R155" s="2" t="str">
        <f>IF(ISERROR(VLOOKUP([1]IMM!F154,Table8[[#All],[Column2]:[Column3]],2,FALSE)),"",(VLOOKUP([1]IMM!F154,Table8[[#All],[Column2]:[Column3]],2,FALSE)))</f>
        <v/>
      </c>
      <c r="U155" s="2" t="str">
        <f>IF([1]IMM!P154="","",[1]IMM!P154)</f>
        <v/>
      </c>
      <c r="V155" s="2" t="str">
        <f t="shared" si="18"/>
        <v/>
      </c>
      <c r="W155" s="2" t="str">
        <f t="shared" si="19"/>
        <v/>
      </c>
      <c r="X155" s="2" t="str">
        <f t="shared" si="20"/>
        <v/>
      </c>
      <c r="Y155" s="16" t="str">
        <f t="shared" si="21"/>
        <v/>
      </c>
      <c r="Z155" s="16"/>
      <c r="AE155" s="3" t="str">
        <f>[1]Country!E154</f>
        <v>MZ</v>
      </c>
      <c r="AF155" s="3" t="str">
        <f>[1]Country!C154</f>
        <v>Mozambique</v>
      </c>
      <c r="AH155" s="3" t="str">
        <f t="shared" si="22"/>
        <v/>
      </c>
      <c r="AJ155" s="2" t="str">
        <f>IF([1]IMM!N154="","",[1]IMM!N154)</f>
        <v/>
      </c>
      <c r="AK155" s="16" t="str">
        <f t="shared" si="23"/>
        <v/>
      </c>
      <c r="AL155" s="16" t="str">
        <f t="shared" si="24"/>
        <v/>
      </c>
      <c r="AM155" s="2" t="str">
        <f t="shared" si="25"/>
        <v/>
      </c>
      <c r="AN155" s="16" t="str">
        <f t="shared" si="26"/>
        <v/>
      </c>
    </row>
    <row r="156" spans="4:40">
      <c r="D156" s="13" t="e">
        <f>#REF!</f>
        <v>#REF!</v>
      </c>
      <c r="G156" s="17" t="s">
        <v>1532</v>
      </c>
      <c r="H156" s="3" t="s">
        <v>1609</v>
      </c>
      <c r="I156" s="3" t="s">
        <v>1610</v>
      </c>
      <c r="L156" s="2" t="s">
        <v>1611</v>
      </c>
      <c r="M156" s="2" t="s">
        <v>1612</v>
      </c>
      <c r="N156" s="18" t="s">
        <v>1613</v>
      </c>
      <c r="R156" s="2" t="str">
        <f>IF(ISERROR(VLOOKUP([1]IMM!F155,Table8[[#All],[Column2]:[Column3]],2,FALSE)),"",(VLOOKUP([1]IMM!F155,Table8[[#All],[Column2]:[Column3]],2,FALSE)))</f>
        <v/>
      </c>
      <c r="U156" s="2" t="str">
        <f>IF([1]IMM!P155="","",[1]IMM!P155)</f>
        <v/>
      </c>
      <c r="V156" s="2" t="str">
        <f t="shared" si="18"/>
        <v/>
      </c>
      <c r="W156" s="2" t="str">
        <f t="shared" si="19"/>
        <v/>
      </c>
      <c r="X156" s="2" t="str">
        <f t="shared" si="20"/>
        <v/>
      </c>
      <c r="Y156" s="16" t="str">
        <f t="shared" si="21"/>
        <v/>
      </c>
      <c r="Z156" s="16"/>
      <c r="AE156" s="3" t="str">
        <f>[1]Country!E155</f>
        <v>MM</v>
      </c>
      <c r="AF156" s="3" t="str">
        <f>[1]Country!C155</f>
        <v>Myanmar</v>
      </c>
      <c r="AH156" s="3" t="str">
        <f t="shared" si="22"/>
        <v>MMR</v>
      </c>
      <c r="AJ156" s="2" t="str">
        <f>IF([1]IMM!N155="","",[1]IMM!N155)</f>
        <v/>
      </c>
      <c r="AK156" s="16" t="str">
        <f t="shared" si="23"/>
        <v/>
      </c>
      <c r="AL156" s="16" t="str">
        <f t="shared" si="24"/>
        <v/>
      </c>
      <c r="AM156" s="2" t="str">
        <f t="shared" si="25"/>
        <v/>
      </c>
      <c r="AN156" s="16" t="str">
        <f t="shared" si="26"/>
        <v/>
      </c>
    </row>
    <row r="157" spans="4:40">
      <c r="D157" s="13" t="e">
        <f>#REF!</f>
        <v>#REF!</v>
      </c>
      <c r="G157" s="17" t="s">
        <v>1561</v>
      </c>
      <c r="H157" s="3" t="s">
        <v>463</v>
      </c>
      <c r="I157" s="3" t="s">
        <v>1614</v>
      </c>
      <c r="L157" s="2" t="s">
        <v>1615</v>
      </c>
      <c r="M157" s="2" t="s">
        <v>1222</v>
      </c>
      <c r="N157" s="18" t="s">
        <v>1616</v>
      </c>
      <c r="R157" s="2" t="str">
        <f>IF(ISERROR(VLOOKUP([1]IMM!F156,Table8[[#All],[Column2]:[Column3]],2,FALSE)),"",(VLOOKUP([1]IMM!F156,Table8[[#All],[Column2]:[Column3]],2,FALSE)))</f>
        <v/>
      </c>
      <c r="U157" s="2" t="str">
        <f>IF([1]IMM!P156="","",[1]IMM!P156)</f>
        <v/>
      </c>
      <c r="V157" s="2" t="str">
        <f t="shared" si="18"/>
        <v/>
      </c>
      <c r="W157" s="2" t="str">
        <f t="shared" si="19"/>
        <v/>
      </c>
      <c r="X157" s="2" t="str">
        <f t="shared" si="20"/>
        <v/>
      </c>
      <c r="Y157" s="16" t="str">
        <f t="shared" si="21"/>
        <v/>
      </c>
      <c r="Z157" s="16"/>
      <c r="AE157" s="3" t="str">
        <f>[1]Country!E156</f>
        <v>NA</v>
      </c>
      <c r="AF157" s="3" t="str">
        <f>[1]Country!C156</f>
        <v>Namibia</v>
      </c>
      <c r="AH157" s="3" t="str">
        <f t="shared" si="22"/>
        <v/>
      </c>
      <c r="AJ157" s="2" t="str">
        <f>IF([1]IMM!N156="","",[1]IMM!N156)</f>
        <v/>
      </c>
      <c r="AK157" s="16" t="str">
        <f t="shared" si="23"/>
        <v/>
      </c>
      <c r="AL157" s="16" t="str">
        <f t="shared" si="24"/>
        <v/>
      </c>
      <c r="AM157" s="2" t="str">
        <f t="shared" si="25"/>
        <v/>
      </c>
      <c r="AN157" s="16" t="str">
        <f t="shared" si="26"/>
        <v/>
      </c>
    </row>
    <row r="158" spans="4:40">
      <c r="D158" s="13" t="e">
        <f>#REF!</f>
        <v>#REF!</v>
      </c>
      <c r="G158" s="17" t="s">
        <v>1617</v>
      </c>
      <c r="H158" s="3" t="s">
        <v>1618</v>
      </c>
      <c r="I158" s="3" t="s">
        <v>1619</v>
      </c>
      <c r="L158" s="2" t="s">
        <v>1620</v>
      </c>
      <c r="M158" s="2" t="s">
        <v>1621</v>
      </c>
      <c r="N158" s="18" t="s">
        <v>1622</v>
      </c>
      <c r="R158" s="2" t="str">
        <f>IF(ISERROR(VLOOKUP([1]IMM!F157,Table8[[#All],[Column2]:[Column3]],2,FALSE)),"",(VLOOKUP([1]IMM!F157,Table8[[#All],[Column2]:[Column3]],2,FALSE)))</f>
        <v/>
      </c>
      <c r="U158" s="2" t="str">
        <f>IF([1]IMM!P157="","",[1]IMM!P157)</f>
        <v/>
      </c>
      <c r="V158" s="2" t="str">
        <f t="shared" si="18"/>
        <v/>
      </c>
      <c r="W158" s="2" t="str">
        <f t="shared" si="19"/>
        <v/>
      </c>
      <c r="X158" s="2" t="str">
        <f t="shared" si="20"/>
        <v/>
      </c>
      <c r="Y158" s="16" t="str">
        <f t="shared" si="21"/>
        <v/>
      </c>
      <c r="Z158" s="16"/>
      <c r="AE158" s="3" t="str">
        <f>[1]Country!E157</f>
        <v>NR</v>
      </c>
      <c r="AF158" s="3" t="str">
        <f>[1]Country!C157</f>
        <v>Nauru</v>
      </c>
      <c r="AH158" s="3" t="str">
        <f t="shared" si="22"/>
        <v>NRU</v>
      </c>
      <c r="AJ158" s="2" t="str">
        <f>IF([1]IMM!N157="","",[1]IMM!N157)</f>
        <v/>
      </c>
      <c r="AK158" s="16" t="str">
        <f t="shared" si="23"/>
        <v/>
      </c>
      <c r="AL158" s="16" t="str">
        <f t="shared" si="24"/>
        <v/>
      </c>
      <c r="AM158" s="2" t="str">
        <f t="shared" si="25"/>
        <v/>
      </c>
      <c r="AN158" s="16" t="str">
        <f t="shared" si="26"/>
        <v/>
      </c>
    </row>
    <row r="159" spans="4:40">
      <c r="D159" s="13" t="e">
        <f>#REF!</f>
        <v>#REF!</v>
      </c>
      <c r="G159" s="17" t="s">
        <v>1623</v>
      </c>
      <c r="H159" s="3" t="s">
        <v>1624</v>
      </c>
      <c r="I159" s="3" t="s">
        <v>1625</v>
      </c>
      <c r="L159" s="2" t="s">
        <v>1626</v>
      </c>
      <c r="M159" s="2" t="s">
        <v>1080</v>
      </c>
      <c r="N159" s="18" t="s">
        <v>1227</v>
      </c>
      <c r="R159" s="2" t="str">
        <f>IF(ISERROR(VLOOKUP([1]IMM!F158,Table8[[#All],[Column2]:[Column3]],2,FALSE)),"",(VLOOKUP([1]IMM!F158,Table8[[#All],[Column2]:[Column3]],2,FALSE)))</f>
        <v/>
      </c>
      <c r="U159" s="2" t="str">
        <f>IF([1]IMM!P158="","",[1]IMM!P158)</f>
        <v/>
      </c>
      <c r="V159" s="2" t="str">
        <f t="shared" si="18"/>
        <v/>
      </c>
      <c r="W159" s="2" t="str">
        <f t="shared" si="19"/>
        <v/>
      </c>
      <c r="X159" s="2" t="str">
        <f t="shared" si="20"/>
        <v/>
      </c>
      <c r="Y159" s="16" t="str">
        <f t="shared" si="21"/>
        <v/>
      </c>
      <c r="Z159" s="16"/>
      <c r="AE159" s="3" t="str">
        <f>[1]Country!E158</f>
        <v>NP</v>
      </c>
      <c r="AF159" s="3" t="str">
        <f>[1]Country!C158</f>
        <v>Nepal</v>
      </c>
      <c r="AH159" s="3" t="str">
        <f t="shared" si="22"/>
        <v/>
      </c>
      <c r="AJ159" s="2" t="str">
        <f>IF([1]IMM!N158="","",[1]IMM!N158)</f>
        <v/>
      </c>
      <c r="AK159" s="16" t="str">
        <f t="shared" si="23"/>
        <v/>
      </c>
      <c r="AL159" s="16" t="str">
        <f t="shared" si="24"/>
        <v/>
      </c>
      <c r="AM159" s="2" t="str">
        <f t="shared" si="25"/>
        <v/>
      </c>
      <c r="AN159" s="16" t="str">
        <f t="shared" si="26"/>
        <v/>
      </c>
    </row>
    <row r="160" spans="4:40">
      <c r="D160" s="13" t="e">
        <f>#REF!</f>
        <v>#REF!</v>
      </c>
      <c r="G160" s="17" t="s">
        <v>1627</v>
      </c>
      <c r="H160" s="3" t="s">
        <v>1628</v>
      </c>
      <c r="I160" s="3" t="s">
        <v>1629</v>
      </c>
      <c r="L160" s="2" t="s">
        <v>1630</v>
      </c>
      <c r="M160" s="2" t="s">
        <v>1631</v>
      </c>
      <c r="N160" s="18" t="s">
        <v>942</v>
      </c>
      <c r="R160" s="2" t="str">
        <f>IF(ISERROR(VLOOKUP([1]IMM!F159,Table8[[#All],[Column2]:[Column3]],2,FALSE)),"",(VLOOKUP([1]IMM!F159,Table8[[#All],[Column2]:[Column3]],2,FALSE)))</f>
        <v/>
      </c>
      <c r="U160" s="2" t="str">
        <f>IF([1]IMM!P159="","",[1]IMM!P159)</f>
        <v/>
      </c>
      <c r="V160" s="2" t="str">
        <f t="shared" si="18"/>
        <v/>
      </c>
      <c r="W160" s="2" t="str">
        <f t="shared" si="19"/>
        <v/>
      </c>
      <c r="X160" s="2" t="str">
        <f t="shared" si="20"/>
        <v/>
      </c>
      <c r="Y160" s="16" t="str">
        <f t="shared" si="21"/>
        <v/>
      </c>
      <c r="Z160" s="16"/>
      <c r="AE160" s="3" t="str">
        <f>[1]Country!E159</f>
        <v>NL</v>
      </c>
      <c r="AF160" s="3" t="str">
        <f>[1]Country!C159</f>
        <v>Netherlands</v>
      </c>
      <c r="AH160" s="3" t="str">
        <f t="shared" si="22"/>
        <v>NLD</v>
      </c>
      <c r="AJ160" s="2" t="str">
        <f>IF([1]IMM!N159="","",[1]IMM!N159)</f>
        <v/>
      </c>
      <c r="AK160" s="16" t="str">
        <f t="shared" si="23"/>
        <v/>
      </c>
      <c r="AL160" s="16" t="str">
        <f t="shared" si="24"/>
        <v/>
      </c>
      <c r="AM160" s="2" t="str">
        <f t="shared" si="25"/>
        <v/>
      </c>
      <c r="AN160" s="16" t="str">
        <f t="shared" si="26"/>
        <v/>
      </c>
    </row>
    <row r="161" spans="4:40">
      <c r="D161" s="13" t="e">
        <f>#REF!</f>
        <v>#REF!</v>
      </c>
      <c r="G161" s="17" t="s">
        <v>1581</v>
      </c>
      <c r="H161" s="3" t="s">
        <v>1632</v>
      </c>
      <c r="I161" s="3" t="s">
        <v>1633</v>
      </c>
      <c r="L161" s="2" t="s">
        <v>1634</v>
      </c>
      <c r="M161" s="2" t="s">
        <v>1635</v>
      </c>
      <c r="N161" s="18" t="s">
        <v>1636</v>
      </c>
      <c r="R161" s="2" t="str">
        <f>IF(ISERROR(VLOOKUP([1]IMM!F160,Table8[[#All],[Column2]:[Column3]],2,FALSE)),"",(VLOOKUP([1]IMM!F160,Table8[[#All],[Column2]:[Column3]],2,FALSE)))</f>
        <v/>
      </c>
      <c r="U161" s="2" t="str">
        <f>IF([1]IMM!P160="","",[1]IMM!P160)</f>
        <v/>
      </c>
      <c r="V161" s="2" t="str">
        <f t="shared" si="18"/>
        <v/>
      </c>
      <c r="W161" s="2" t="str">
        <f t="shared" si="19"/>
        <v/>
      </c>
      <c r="X161" s="2" t="str">
        <f t="shared" si="20"/>
        <v/>
      </c>
      <c r="Y161" s="16" t="str">
        <f t="shared" si="21"/>
        <v/>
      </c>
      <c r="Z161" s="16"/>
      <c r="AE161" s="3" t="str">
        <f>[1]Country!E160</f>
        <v>AN</v>
      </c>
      <c r="AF161" s="3" t="str">
        <f>[1]Country!C160</f>
        <v>Netherlands Antilles</v>
      </c>
      <c r="AH161" s="3" t="str">
        <f t="shared" si="22"/>
        <v/>
      </c>
      <c r="AJ161" s="2" t="str">
        <f>IF([1]IMM!N160="","",[1]IMM!N160)</f>
        <v/>
      </c>
      <c r="AK161" s="16" t="str">
        <f t="shared" si="23"/>
        <v/>
      </c>
      <c r="AL161" s="16" t="str">
        <f t="shared" si="24"/>
        <v/>
      </c>
      <c r="AM161" s="2" t="str">
        <f t="shared" si="25"/>
        <v/>
      </c>
      <c r="AN161" s="16" t="str">
        <f t="shared" si="26"/>
        <v/>
      </c>
    </row>
    <row r="162" spans="4:40">
      <c r="D162" s="13" t="e">
        <f>#REF!</f>
        <v>#REF!</v>
      </c>
      <c r="G162" s="17" t="s">
        <v>1637</v>
      </c>
      <c r="H162" s="3" t="s">
        <v>1638</v>
      </c>
      <c r="I162" s="3" t="s">
        <v>1639</v>
      </c>
      <c r="L162" s="2" t="s">
        <v>1640</v>
      </c>
      <c r="M162" s="2" t="s">
        <v>1086</v>
      </c>
      <c r="N162" s="18" t="s">
        <v>1641</v>
      </c>
      <c r="R162" s="2" t="str">
        <f>IF(ISERROR(VLOOKUP([1]IMM!F161,Table8[[#All],[Column2]:[Column3]],2,FALSE)),"",(VLOOKUP([1]IMM!F161,Table8[[#All],[Column2]:[Column3]],2,FALSE)))</f>
        <v/>
      </c>
      <c r="U162" s="2" t="str">
        <f>IF([1]IMM!P161="","",[1]IMM!P161)</f>
        <v/>
      </c>
      <c r="V162" s="2" t="str">
        <f t="shared" si="18"/>
        <v/>
      </c>
      <c r="W162" s="2" t="str">
        <f t="shared" si="19"/>
        <v/>
      </c>
      <c r="X162" s="2" t="str">
        <f t="shared" si="20"/>
        <v/>
      </c>
      <c r="Y162" s="16" t="str">
        <f t="shared" si="21"/>
        <v/>
      </c>
      <c r="Z162" s="16"/>
      <c r="AE162" s="3" t="str">
        <f>[1]Country!E161</f>
        <v>NC</v>
      </c>
      <c r="AF162" s="3" t="str">
        <f>[1]Country!C161</f>
        <v>New Caledonia</v>
      </c>
      <c r="AH162" s="3" t="str">
        <f t="shared" si="22"/>
        <v/>
      </c>
      <c r="AJ162" s="2" t="str">
        <f>IF([1]IMM!N161="","",[1]IMM!N161)</f>
        <v/>
      </c>
      <c r="AK162" s="16" t="str">
        <f t="shared" si="23"/>
        <v/>
      </c>
      <c r="AL162" s="16" t="str">
        <f t="shared" si="24"/>
        <v/>
      </c>
      <c r="AM162" s="2" t="str">
        <f t="shared" si="25"/>
        <v/>
      </c>
      <c r="AN162" s="16" t="str">
        <f t="shared" si="26"/>
        <v/>
      </c>
    </row>
    <row r="163" spans="4:40">
      <c r="D163" s="13" t="e">
        <f>#REF!</f>
        <v>#REF!</v>
      </c>
      <c r="G163" s="17" t="s">
        <v>1547</v>
      </c>
      <c r="H163" s="3" t="s">
        <v>1642</v>
      </c>
      <c r="I163" s="3" t="s">
        <v>1643</v>
      </c>
      <c r="L163" s="2" t="s">
        <v>1644</v>
      </c>
      <c r="M163" s="2" t="s">
        <v>1645</v>
      </c>
      <c r="N163" s="18" t="s">
        <v>1646</v>
      </c>
      <c r="R163" s="2" t="str">
        <f>IF(ISERROR(VLOOKUP([1]IMM!F162,Table8[[#All],[Column2]:[Column3]],2,FALSE)),"",(VLOOKUP([1]IMM!F162,Table8[[#All],[Column2]:[Column3]],2,FALSE)))</f>
        <v/>
      </c>
      <c r="U163" s="2" t="str">
        <f>IF([1]IMM!P162="","",[1]IMM!P162)</f>
        <v/>
      </c>
      <c r="V163" s="2" t="str">
        <f t="shared" si="18"/>
        <v/>
      </c>
      <c r="W163" s="2" t="str">
        <f t="shared" si="19"/>
        <v/>
      </c>
      <c r="X163" s="2" t="str">
        <f t="shared" si="20"/>
        <v/>
      </c>
      <c r="Y163" s="16" t="str">
        <f t="shared" si="21"/>
        <v/>
      </c>
      <c r="Z163" s="16"/>
      <c r="AE163" s="3" t="str">
        <f>[1]Country!E162</f>
        <v>NZ</v>
      </c>
      <c r="AF163" s="3" t="str">
        <f>[1]Country!C162</f>
        <v>New Zealand</v>
      </c>
      <c r="AH163" s="3" t="str">
        <f t="shared" si="22"/>
        <v>NZL</v>
      </c>
      <c r="AJ163" s="2" t="str">
        <f>IF([1]IMM!N162="","",[1]IMM!N162)</f>
        <v/>
      </c>
      <c r="AK163" s="16" t="str">
        <f t="shared" si="23"/>
        <v/>
      </c>
      <c r="AL163" s="16" t="str">
        <f t="shared" si="24"/>
        <v/>
      </c>
      <c r="AM163" s="2" t="str">
        <f t="shared" si="25"/>
        <v/>
      </c>
      <c r="AN163" s="16" t="str">
        <f t="shared" si="26"/>
        <v/>
      </c>
    </row>
    <row r="164" spans="4:40">
      <c r="D164" s="13" t="e">
        <f>#REF!</f>
        <v>#REF!</v>
      </c>
      <c r="G164" s="17" t="s">
        <v>1514</v>
      </c>
      <c r="H164" s="3" t="s">
        <v>484</v>
      </c>
      <c r="I164" s="3" t="s">
        <v>485</v>
      </c>
      <c r="L164" s="2" t="s">
        <v>1647</v>
      </c>
      <c r="M164" s="2" t="s">
        <v>1648</v>
      </c>
      <c r="N164" s="18" t="s">
        <v>1649</v>
      </c>
      <c r="R164" s="2" t="str">
        <f>IF(ISERROR(VLOOKUP([1]IMM!F163,Table8[[#All],[Column2]:[Column3]],2,FALSE)),"",(VLOOKUP([1]IMM!F163,Table8[[#All],[Column2]:[Column3]],2,FALSE)))</f>
        <v/>
      </c>
      <c r="U164" s="2" t="str">
        <f>IF([1]IMM!P163="","",[1]IMM!P163)</f>
        <v/>
      </c>
      <c r="V164" s="2" t="str">
        <f t="shared" si="18"/>
        <v/>
      </c>
      <c r="W164" s="2" t="str">
        <f t="shared" si="19"/>
        <v/>
      </c>
      <c r="X164" s="2" t="str">
        <f t="shared" si="20"/>
        <v/>
      </c>
      <c r="Y164" s="16" t="str">
        <f t="shared" si="21"/>
        <v/>
      </c>
      <c r="Z164" s="16"/>
      <c r="AE164" s="3" t="str">
        <f>[1]Country!E163</f>
        <v>NI</v>
      </c>
      <c r="AF164" s="3" t="str">
        <f>[1]Country!C163</f>
        <v>Nicaragua</v>
      </c>
      <c r="AH164" s="3" t="str">
        <f t="shared" si="22"/>
        <v/>
      </c>
      <c r="AJ164" s="2" t="str">
        <f>IF([1]IMM!N163="","",[1]IMM!N163)</f>
        <v/>
      </c>
      <c r="AK164" s="16" t="str">
        <f t="shared" si="23"/>
        <v/>
      </c>
      <c r="AL164" s="16" t="str">
        <f t="shared" si="24"/>
        <v/>
      </c>
      <c r="AM164" s="2" t="str">
        <f t="shared" si="25"/>
        <v/>
      </c>
      <c r="AN164" s="16" t="str">
        <f t="shared" si="26"/>
        <v/>
      </c>
    </row>
    <row r="165" spans="4:40">
      <c r="D165" s="13" t="e">
        <f>#REF!</f>
        <v>#REF!</v>
      </c>
      <c r="G165" s="17" t="s">
        <v>1593</v>
      </c>
      <c r="H165" s="3" t="s">
        <v>488</v>
      </c>
      <c r="I165" s="3" t="s">
        <v>488</v>
      </c>
      <c r="L165" s="2" t="s">
        <v>1650</v>
      </c>
      <c r="M165" s="2" t="s">
        <v>1651</v>
      </c>
      <c r="N165" s="18" t="s">
        <v>1652</v>
      </c>
      <c r="R165" s="2" t="str">
        <f>IF(ISERROR(VLOOKUP([1]IMM!F164,Table8[[#All],[Column2]:[Column3]],2,FALSE)),"",(VLOOKUP([1]IMM!F164,Table8[[#All],[Column2]:[Column3]],2,FALSE)))</f>
        <v/>
      </c>
      <c r="U165" s="2" t="str">
        <f>IF([1]IMM!P164="","",[1]IMM!P164)</f>
        <v/>
      </c>
      <c r="V165" s="2" t="str">
        <f t="shared" si="18"/>
        <v/>
      </c>
      <c r="W165" s="2" t="str">
        <f t="shared" si="19"/>
        <v/>
      </c>
      <c r="X165" s="2" t="str">
        <f t="shared" si="20"/>
        <v/>
      </c>
      <c r="Y165" s="16" t="str">
        <f t="shared" si="21"/>
        <v/>
      </c>
      <c r="Z165" s="16"/>
      <c r="AE165" s="3" t="str">
        <f>[1]Country!E164</f>
        <v>NE</v>
      </c>
      <c r="AF165" s="3" t="str">
        <f>[1]Country!C164</f>
        <v>Niger</v>
      </c>
      <c r="AH165" s="3" t="str">
        <f t="shared" si="22"/>
        <v/>
      </c>
      <c r="AJ165" s="2" t="str">
        <f>IF([1]IMM!N164="","",[1]IMM!N164)</f>
        <v/>
      </c>
      <c r="AK165" s="16" t="str">
        <f t="shared" si="23"/>
        <v/>
      </c>
      <c r="AL165" s="16" t="str">
        <f t="shared" si="24"/>
        <v/>
      </c>
      <c r="AM165" s="2" t="str">
        <f t="shared" si="25"/>
        <v/>
      </c>
      <c r="AN165" s="16" t="str">
        <f t="shared" si="26"/>
        <v/>
      </c>
    </row>
    <row r="166" spans="4:40">
      <c r="D166" s="13" t="e">
        <f>#REF!</f>
        <v>#REF!</v>
      </c>
      <c r="G166" s="17" t="s">
        <v>1596</v>
      </c>
      <c r="H166" s="3" t="s">
        <v>491</v>
      </c>
      <c r="I166" s="3" t="s">
        <v>491</v>
      </c>
      <c r="L166" s="2" t="s">
        <v>1653</v>
      </c>
      <c r="M166" s="2" t="s">
        <v>1654</v>
      </c>
      <c r="N166" s="18" t="s">
        <v>1655</v>
      </c>
      <c r="R166" s="2" t="str">
        <f>IF(ISERROR(VLOOKUP([1]IMM!F165,Table8[[#All],[Column2]:[Column3]],2,FALSE)),"",(VLOOKUP([1]IMM!F165,Table8[[#All],[Column2]:[Column3]],2,FALSE)))</f>
        <v/>
      </c>
      <c r="U166" s="2" t="str">
        <f>IF([1]IMM!P165="","",[1]IMM!P165)</f>
        <v/>
      </c>
      <c r="V166" s="2" t="str">
        <f t="shared" si="18"/>
        <v/>
      </c>
      <c r="W166" s="2" t="str">
        <f t="shared" si="19"/>
        <v/>
      </c>
      <c r="X166" s="2" t="str">
        <f t="shared" si="20"/>
        <v/>
      </c>
      <c r="Y166" s="16" t="str">
        <f t="shared" si="21"/>
        <v/>
      </c>
      <c r="Z166" s="16"/>
      <c r="AE166" s="3" t="str">
        <f>[1]Country!E165</f>
        <v>NG</v>
      </c>
      <c r="AF166" s="3" t="str">
        <f>[1]Country!C165</f>
        <v>Nigeria</v>
      </c>
      <c r="AH166" s="3" t="str">
        <f t="shared" si="22"/>
        <v/>
      </c>
      <c r="AJ166" s="2" t="str">
        <f>IF([1]IMM!N165="","",[1]IMM!N165)</f>
        <v/>
      </c>
      <c r="AK166" s="16" t="str">
        <f t="shared" si="23"/>
        <v/>
      </c>
      <c r="AL166" s="16" t="str">
        <f t="shared" si="24"/>
        <v/>
      </c>
      <c r="AM166" s="2" t="str">
        <f t="shared" si="25"/>
        <v/>
      </c>
      <c r="AN166" s="16" t="str">
        <f t="shared" si="26"/>
        <v/>
      </c>
    </row>
    <row r="167" spans="4:40">
      <c r="D167" s="13" t="e">
        <f>#REF!</f>
        <v>#REF!</v>
      </c>
      <c r="G167" s="17" t="s">
        <v>1566</v>
      </c>
      <c r="H167" s="3" t="s">
        <v>494</v>
      </c>
      <c r="I167" s="3" t="s">
        <v>494</v>
      </c>
      <c r="L167" s="2" t="s">
        <v>1656</v>
      </c>
      <c r="M167" s="2" t="s">
        <v>1657</v>
      </c>
      <c r="N167" s="18" t="s">
        <v>1658</v>
      </c>
      <c r="R167" s="2" t="str">
        <f>IF(ISERROR(VLOOKUP([1]IMM!F166,Table8[[#All],[Column2]:[Column3]],2,FALSE)),"",(VLOOKUP([1]IMM!F166,Table8[[#All],[Column2]:[Column3]],2,FALSE)))</f>
        <v/>
      </c>
      <c r="U167" s="2" t="str">
        <f>IF([1]IMM!P166="","",[1]IMM!P166)</f>
        <v/>
      </c>
      <c r="V167" s="2" t="str">
        <f t="shared" si="18"/>
        <v/>
      </c>
      <c r="W167" s="2" t="str">
        <f t="shared" si="19"/>
        <v/>
      </c>
      <c r="X167" s="2" t="str">
        <f t="shared" si="20"/>
        <v/>
      </c>
      <c r="Y167" s="16" t="str">
        <f t="shared" si="21"/>
        <v/>
      </c>
      <c r="Z167" s="16"/>
      <c r="AE167" s="3" t="str">
        <f>[1]Country!E166</f>
        <v>NU</v>
      </c>
      <c r="AF167" s="3" t="str">
        <f>[1]Country!C166</f>
        <v>Niue</v>
      </c>
      <c r="AH167" s="3" t="str">
        <f t="shared" si="22"/>
        <v/>
      </c>
      <c r="AJ167" s="2" t="str">
        <f>IF([1]IMM!N166="","",[1]IMM!N166)</f>
        <v/>
      </c>
      <c r="AK167" s="16" t="str">
        <f t="shared" si="23"/>
        <v/>
      </c>
      <c r="AL167" s="16" t="str">
        <f t="shared" si="24"/>
        <v/>
      </c>
      <c r="AM167" s="2" t="str">
        <f t="shared" si="25"/>
        <v/>
      </c>
      <c r="AN167" s="16" t="str">
        <f t="shared" si="26"/>
        <v/>
      </c>
    </row>
    <row r="168" spans="4:40">
      <c r="D168" s="13" t="e">
        <f>#REF!</f>
        <v>#REF!</v>
      </c>
      <c r="G168" s="17" t="s">
        <v>1622</v>
      </c>
      <c r="H168" s="3" t="s">
        <v>1659</v>
      </c>
      <c r="I168" s="3" t="s">
        <v>1660</v>
      </c>
      <c r="L168" s="2" t="s">
        <v>1661</v>
      </c>
      <c r="M168" s="2" t="s">
        <v>1662</v>
      </c>
      <c r="N168" s="18"/>
      <c r="R168" s="2" t="str">
        <f>IF(ISERROR(VLOOKUP([1]IMM!F167,Table8[[#All],[Column2]:[Column3]],2,FALSE)),"",(VLOOKUP([1]IMM!F167,Table8[[#All],[Column2]:[Column3]],2,FALSE)))</f>
        <v/>
      </c>
      <c r="U168" s="2" t="str">
        <f>IF([1]IMM!P167="","",[1]IMM!P167)</f>
        <v/>
      </c>
      <c r="V168" s="2" t="str">
        <f t="shared" si="18"/>
        <v/>
      </c>
      <c r="W168" s="2" t="str">
        <f t="shared" si="19"/>
        <v/>
      </c>
      <c r="X168" s="2" t="str">
        <f t="shared" si="20"/>
        <v/>
      </c>
      <c r="Y168" s="16" t="str">
        <f t="shared" si="21"/>
        <v/>
      </c>
      <c r="Z168" s="16"/>
      <c r="AE168" s="3" t="str">
        <f>[1]Country!E167</f>
        <v>NF</v>
      </c>
      <c r="AF168" s="3" t="str">
        <f>[1]Country!C167</f>
        <v>Norfolk Island</v>
      </c>
      <c r="AH168" s="3" t="str">
        <f t="shared" si="22"/>
        <v/>
      </c>
      <c r="AJ168" s="2" t="str">
        <f>IF([1]IMM!N167="","",[1]IMM!N167)</f>
        <v/>
      </c>
      <c r="AK168" s="16" t="str">
        <f t="shared" si="23"/>
        <v/>
      </c>
      <c r="AL168" s="16" t="str">
        <f t="shared" si="24"/>
        <v/>
      </c>
      <c r="AM168" s="2" t="str">
        <f t="shared" si="25"/>
        <v/>
      </c>
      <c r="AN168" s="16" t="str">
        <f t="shared" si="26"/>
        <v/>
      </c>
    </row>
    <row r="169" spans="4:40">
      <c r="D169" s="13" t="e">
        <f>#REF!</f>
        <v>#REF!</v>
      </c>
      <c r="G169" s="17" t="s">
        <v>498</v>
      </c>
      <c r="H169" s="3" t="s">
        <v>295</v>
      </c>
      <c r="I169" s="3" t="s">
        <v>1374</v>
      </c>
      <c r="L169" s="2" t="s">
        <v>1663</v>
      </c>
      <c r="M169" s="2" t="s">
        <v>1090</v>
      </c>
      <c r="N169" s="18" t="s">
        <v>1664</v>
      </c>
      <c r="R169" s="2" t="str">
        <f>IF(ISERROR(VLOOKUP([1]IMM!F168,Table8[[#All],[Column2]:[Column3]],2,FALSE)),"",(VLOOKUP([1]IMM!F168,Table8[[#All],[Column2]:[Column3]],2,FALSE)))</f>
        <v/>
      </c>
      <c r="U169" s="2" t="str">
        <f>IF([1]IMM!P168="","",[1]IMM!P168)</f>
        <v/>
      </c>
      <c r="V169" s="2" t="str">
        <f t="shared" si="18"/>
        <v/>
      </c>
      <c r="W169" s="2" t="str">
        <f t="shared" si="19"/>
        <v/>
      </c>
      <c r="X169" s="2" t="str">
        <f t="shared" si="20"/>
        <v/>
      </c>
      <c r="Y169" s="16" t="str">
        <f t="shared" si="21"/>
        <v/>
      </c>
      <c r="Z169" s="16"/>
      <c r="AE169" s="3" t="str">
        <f>[1]Country!E168</f>
        <v>MP</v>
      </c>
      <c r="AF169" s="3" t="str">
        <f>[1]Country!C168</f>
        <v>Northern Mariana Islands</v>
      </c>
      <c r="AH169" s="3" t="str">
        <f t="shared" si="22"/>
        <v/>
      </c>
      <c r="AJ169" s="2" t="str">
        <f>IF([1]IMM!N168="","",[1]IMM!N168)</f>
        <v/>
      </c>
      <c r="AK169" s="16" t="str">
        <f t="shared" si="23"/>
        <v/>
      </c>
      <c r="AL169" s="16" t="str">
        <f t="shared" si="24"/>
        <v/>
      </c>
      <c r="AM169" s="2" t="str">
        <f t="shared" si="25"/>
        <v/>
      </c>
      <c r="AN169" s="16" t="str">
        <f t="shared" si="26"/>
        <v/>
      </c>
    </row>
    <row r="170" spans="4:40">
      <c r="D170" s="13" t="e">
        <f>#REF!</f>
        <v>#REF!</v>
      </c>
      <c r="G170" s="17" t="s">
        <v>1641</v>
      </c>
      <c r="H170" s="3" t="s">
        <v>1665</v>
      </c>
      <c r="I170" s="3" t="s">
        <v>1666</v>
      </c>
      <c r="L170" s="2" t="s">
        <v>1667</v>
      </c>
      <c r="M170" s="2" t="s">
        <v>1668</v>
      </c>
      <c r="N170" s="18" t="s">
        <v>1669</v>
      </c>
      <c r="R170" s="2" t="str">
        <f>IF(ISERROR(VLOOKUP([1]IMM!F169,Table8[[#All],[Column2]:[Column3]],2,FALSE)),"",(VLOOKUP([1]IMM!F169,Table8[[#All],[Column2]:[Column3]],2,FALSE)))</f>
        <v/>
      </c>
      <c r="U170" s="2" t="str">
        <f>IF([1]IMM!P169="","",[1]IMM!P169)</f>
        <v/>
      </c>
      <c r="V170" s="2" t="str">
        <f t="shared" si="18"/>
        <v/>
      </c>
      <c r="W170" s="2" t="str">
        <f t="shared" si="19"/>
        <v/>
      </c>
      <c r="X170" s="2" t="str">
        <f t="shared" si="20"/>
        <v/>
      </c>
      <c r="Y170" s="16" t="str">
        <f t="shared" si="21"/>
        <v/>
      </c>
      <c r="Z170" s="16"/>
      <c r="AE170" s="3" t="str">
        <f>[1]Country!E169</f>
        <v>NO</v>
      </c>
      <c r="AF170" s="3" t="str">
        <f>[1]Country!C169</f>
        <v>Norway</v>
      </c>
      <c r="AH170" s="3" t="str">
        <f t="shared" si="22"/>
        <v>NOR</v>
      </c>
      <c r="AJ170" s="2" t="str">
        <f>IF([1]IMM!N169="","",[1]IMM!N169)</f>
        <v/>
      </c>
      <c r="AK170" s="16" t="str">
        <f t="shared" si="23"/>
        <v/>
      </c>
      <c r="AL170" s="16" t="str">
        <f t="shared" si="24"/>
        <v/>
      </c>
      <c r="AM170" s="2" t="str">
        <f t="shared" si="25"/>
        <v/>
      </c>
      <c r="AN170" s="16" t="str">
        <f t="shared" si="26"/>
        <v/>
      </c>
    </row>
    <row r="171" spans="4:40">
      <c r="D171" s="13" t="e">
        <f>#REF!</f>
        <v>#REF!</v>
      </c>
      <c r="G171" s="17" t="s">
        <v>1646</v>
      </c>
      <c r="H171" s="3" t="s">
        <v>1670</v>
      </c>
      <c r="I171" s="3" t="s">
        <v>1671</v>
      </c>
      <c r="L171" s="2" t="s">
        <v>1672</v>
      </c>
      <c r="M171" s="2" t="s">
        <v>1241</v>
      </c>
      <c r="N171" s="18" t="s">
        <v>1673</v>
      </c>
      <c r="R171" s="2" t="str">
        <f>IF(ISERROR(VLOOKUP([1]IMM!F170,Table8[[#All],[Column2]:[Column3]],2,FALSE)),"",(VLOOKUP([1]IMM!F170,Table8[[#All],[Column2]:[Column3]],2,FALSE)))</f>
        <v/>
      </c>
      <c r="U171" s="2" t="str">
        <f>IF([1]IMM!P170="","",[1]IMM!P170)</f>
        <v/>
      </c>
      <c r="V171" s="2" t="str">
        <f t="shared" si="18"/>
        <v/>
      </c>
      <c r="W171" s="2" t="str">
        <f t="shared" si="19"/>
        <v/>
      </c>
      <c r="X171" s="2" t="str">
        <f t="shared" si="20"/>
        <v/>
      </c>
      <c r="Y171" s="16" t="str">
        <f t="shared" si="21"/>
        <v/>
      </c>
      <c r="Z171" s="16"/>
      <c r="AE171" s="3" t="str">
        <f>[1]Country!E170</f>
        <v>OM</v>
      </c>
      <c r="AF171" s="3" t="str">
        <f>[1]Country!C170</f>
        <v>Oman</v>
      </c>
      <c r="AH171" s="3" t="str">
        <f t="shared" si="22"/>
        <v/>
      </c>
      <c r="AJ171" s="2" t="str">
        <f>IF([1]IMM!N170="","",[1]IMM!N170)</f>
        <v/>
      </c>
      <c r="AK171" s="16" t="str">
        <f t="shared" si="23"/>
        <v/>
      </c>
      <c r="AL171" s="16" t="str">
        <f t="shared" si="24"/>
        <v/>
      </c>
      <c r="AM171" s="2" t="str">
        <f t="shared" si="25"/>
        <v/>
      </c>
      <c r="AN171" s="16" t="str">
        <f t="shared" si="26"/>
        <v/>
      </c>
    </row>
    <row r="172" spans="4:40">
      <c r="D172" s="13" t="e">
        <f>#REF!</f>
        <v>#REF!</v>
      </c>
      <c r="G172" s="17" t="s">
        <v>1649</v>
      </c>
      <c r="H172" s="3" t="s">
        <v>1674</v>
      </c>
      <c r="I172" s="3" t="s">
        <v>1675</v>
      </c>
      <c r="L172" s="2" t="s">
        <v>1676</v>
      </c>
      <c r="M172" s="2" t="s">
        <v>1677</v>
      </c>
      <c r="N172" s="18" t="s">
        <v>1678</v>
      </c>
      <c r="R172" s="2" t="str">
        <f>IF(ISERROR(VLOOKUP([1]IMM!F171,Table8[[#All],[Column2]:[Column3]],2,FALSE)),"",(VLOOKUP([1]IMM!F171,Table8[[#All],[Column2]:[Column3]],2,FALSE)))</f>
        <v/>
      </c>
      <c r="U172" s="2" t="str">
        <f>IF([1]IMM!P171="","",[1]IMM!P171)</f>
        <v/>
      </c>
      <c r="V172" s="2" t="str">
        <f t="shared" si="18"/>
        <v/>
      </c>
      <c r="W172" s="2" t="str">
        <f t="shared" si="19"/>
        <v/>
      </c>
      <c r="X172" s="2" t="str">
        <f t="shared" si="20"/>
        <v/>
      </c>
      <c r="Y172" s="16" t="str">
        <f t="shared" si="21"/>
        <v/>
      </c>
      <c r="Z172" s="16"/>
      <c r="AE172" s="3" t="str">
        <f>[1]Country!E171</f>
        <v>PK</v>
      </c>
      <c r="AF172" s="3" t="str">
        <f>[1]Country!C171</f>
        <v>Pakistan</v>
      </c>
      <c r="AH172" s="3" t="str">
        <f t="shared" si="22"/>
        <v>PAK</v>
      </c>
      <c r="AJ172" s="2" t="str">
        <f>IF([1]IMM!N171="","",[1]IMM!N171)</f>
        <v/>
      </c>
      <c r="AK172" s="16" t="str">
        <f t="shared" si="23"/>
        <v/>
      </c>
      <c r="AL172" s="16" t="str">
        <f t="shared" si="24"/>
        <v/>
      </c>
      <c r="AM172" s="2" t="str">
        <f t="shared" si="25"/>
        <v/>
      </c>
      <c r="AN172" s="16" t="str">
        <f t="shared" si="26"/>
        <v/>
      </c>
    </row>
    <row r="173" spans="4:40">
      <c r="D173" s="13" t="e">
        <f>#REF!</f>
        <v>#REF!</v>
      </c>
      <c r="G173" s="17" t="s">
        <v>1652</v>
      </c>
      <c r="H173" s="3" t="s">
        <v>1679</v>
      </c>
      <c r="I173" s="3" t="s">
        <v>1680</v>
      </c>
      <c r="L173" s="2" t="s">
        <v>1681</v>
      </c>
      <c r="M173" s="2" t="s">
        <v>1682</v>
      </c>
      <c r="N173" s="18" t="s">
        <v>1683</v>
      </c>
      <c r="R173" s="2" t="str">
        <f>IF(ISERROR(VLOOKUP([1]IMM!F172,Table8[[#All],[Column2]:[Column3]],2,FALSE)),"",(VLOOKUP([1]IMM!F172,Table8[[#All],[Column2]:[Column3]],2,FALSE)))</f>
        <v/>
      </c>
      <c r="U173" s="2" t="str">
        <f>IF([1]IMM!P172="","",[1]IMM!P172)</f>
        <v/>
      </c>
      <c r="V173" s="2" t="str">
        <f t="shared" si="18"/>
        <v/>
      </c>
      <c r="W173" s="2" t="str">
        <f t="shared" si="19"/>
        <v/>
      </c>
      <c r="X173" s="2" t="str">
        <f t="shared" si="20"/>
        <v/>
      </c>
      <c r="Y173" s="16" t="str">
        <f t="shared" si="21"/>
        <v/>
      </c>
      <c r="Z173" s="16"/>
      <c r="AE173" s="3" t="str">
        <f>[1]Country!E172</f>
        <v>PW</v>
      </c>
      <c r="AF173" s="3" t="str">
        <f>[1]Country!C172</f>
        <v>Palau</v>
      </c>
      <c r="AH173" s="3" t="str">
        <f t="shared" si="22"/>
        <v/>
      </c>
      <c r="AJ173" s="2" t="str">
        <f>IF([1]IMM!N172="","",[1]IMM!N172)</f>
        <v/>
      </c>
      <c r="AK173" s="16" t="str">
        <f t="shared" si="23"/>
        <v/>
      </c>
      <c r="AL173" s="16" t="str">
        <f t="shared" si="24"/>
        <v/>
      </c>
      <c r="AM173" s="2" t="str">
        <f t="shared" si="25"/>
        <v/>
      </c>
      <c r="AN173" s="16" t="str">
        <f t="shared" si="26"/>
        <v/>
      </c>
    </row>
    <row r="174" spans="4:40">
      <c r="D174" s="13" t="e">
        <f>#REF!</f>
        <v>#REF!</v>
      </c>
      <c r="G174" s="17" t="s">
        <v>1664</v>
      </c>
      <c r="H174" s="3" t="s">
        <v>1684</v>
      </c>
      <c r="I174" s="3" t="s">
        <v>1685</v>
      </c>
      <c r="L174" s="2" t="s">
        <v>1686</v>
      </c>
      <c r="M174" s="2" t="s">
        <v>1260</v>
      </c>
      <c r="N174" s="18" t="s">
        <v>1687</v>
      </c>
      <c r="R174" s="2" t="str">
        <f>IF(ISERROR(VLOOKUP([1]IMM!F173,Table8[[#All],[Column2]:[Column3]],2,FALSE)),"",(VLOOKUP([1]IMM!F173,Table8[[#All],[Column2]:[Column3]],2,FALSE)))</f>
        <v/>
      </c>
      <c r="U174" s="2" t="str">
        <f>IF([1]IMM!P173="","",[1]IMM!P173)</f>
        <v/>
      </c>
      <c r="V174" s="2" t="str">
        <f t="shared" si="18"/>
        <v/>
      </c>
      <c r="W174" s="2" t="str">
        <f t="shared" si="19"/>
        <v/>
      </c>
      <c r="X174" s="2" t="str">
        <f t="shared" si="20"/>
        <v/>
      </c>
      <c r="Y174" s="16" t="str">
        <f t="shared" si="21"/>
        <v/>
      </c>
      <c r="Z174" s="16"/>
      <c r="AE174" s="3" t="str">
        <f>[1]Country!E173</f>
        <v>PA</v>
      </c>
      <c r="AF174" s="3" t="str">
        <f>[1]Country!C173</f>
        <v>Panama</v>
      </c>
      <c r="AH174" s="3" t="str">
        <f t="shared" si="22"/>
        <v>PAN</v>
      </c>
      <c r="AJ174" s="2" t="str">
        <f>IF([1]IMM!N173="","",[1]IMM!N173)</f>
        <v/>
      </c>
      <c r="AK174" s="16" t="str">
        <f t="shared" si="23"/>
        <v/>
      </c>
      <c r="AL174" s="16" t="str">
        <f t="shared" si="24"/>
        <v/>
      </c>
      <c r="AM174" s="2" t="str">
        <f t="shared" si="25"/>
        <v/>
      </c>
      <c r="AN174" s="16" t="str">
        <f t="shared" si="26"/>
        <v/>
      </c>
    </row>
    <row r="175" spans="4:40">
      <c r="D175" s="13" t="e">
        <f>#REF!</f>
        <v>#REF!</v>
      </c>
      <c r="G175" s="17" t="s">
        <v>1616</v>
      </c>
      <c r="H175" s="3" t="s">
        <v>1688</v>
      </c>
      <c r="I175" s="3" t="s">
        <v>1689</v>
      </c>
      <c r="L175" s="2" t="s">
        <v>1690</v>
      </c>
      <c r="M175" s="2" t="s">
        <v>1691</v>
      </c>
      <c r="N175" s="18" t="s">
        <v>1692</v>
      </c>
      <c r="R175" s="2" t="str">
        <f>IF(ISERROR(VLOOKUP([1]IMM!F174,Table8[[#All],[Column2]:[Column3]],2,FALSE)),"",(VLOOKUP([1]IMM!F174,Table8[[#All],[Column2]:[Column3]],2,FALSE)))</f>
        <v/>
      </c>
      <c r="U175" s="2" t="str">
        <f>IF([1]IMM!P174="","",[1]IMM!P174)</f>
        <v/>
      </c>
      <c r="V175" s="2" t="str">
        <f t="shared" si="18"/>
        <v/>
      </c>
      <c r="W175" s="2" t="str">
        <f t="shared" si="19"/>
        <v/>
      </c>
      <c r="X175" s="2" t="str">
        <f t="shared" si="20"/>
        <v/>
      </c>
      <c r="Y175" s="16" t="str">
        <f t="shared" si="21"/>
        <v/>
      </c>
      <c r="Z175" s="16"/>
      <c r="AE175" s="3" t="str">
        <f>[1]Country!E174</f>
        <v>PG</v>
      </c>
      <c r="AF175" s="3" t="str">
        <f>[1]Country!C174</f>
        <v>Papua New Guinea</v>
      </c>
      <c r="AH175" s="3" t="str">
        <f t="shared" si="22"/>
        <v/>
      </c>
      <c r="AJ175" s="2" t="str">
        <f>IF([1]IMM!N174="","",[1]IMM!N174)</f>
        <v/>
      </c>
      <c r="AK175" s="16" t="str">
        <f t="shared" si="23"/>
        <v/>
      </c>
      <c r="AL175" s="16" t="str">
        <f t="shared" si="24"/>
        <v/>
      </c>
      <c r="AM175" s="2" t="str">
        <f t="shared" si="25"/>
        <v/>
      </c>
      <c r="AN175" s="16" t="str">
        <f t="shared" si="26"/>
        <v/>
      </c>
    </row>
    <row r="176" spans="4:40">
      <c r="D176" s="13" t="e">
        <f>#REF!</f>
        <v>#REF!</v>
      </c>
      <c r="G176" s="17" t="s">
        <v>1613</v>
      </c>
      <c r="H176" s="3" t="s">
        <v>1693</v>
      </c>
      <c r="I176" s="3" t="s">
        <v>1694</v>
      </c>
      <c r="L176" s="2" t="s">
        <v>1695</v>
      </c>
      <c r="M176" s="2" t="s">
        <v>1696</v>
      </c>
      <c r="N176" s="18" t="s">
        <v>1697</v>
      </c>
      <c r="R176" s="2" t="str">
        <f>IF(ISERROR(VLOOKUP([1]IMM!F175,Table8[[#All],[Column2]:[Column3]],2,FALSE)),"",(VLOOKUP([1]IMM!F175,Table8[[#All],[Column2]:[Column3]],2,FALSE)))</f>
        <v/>
      </c>
      <c r="U176" s="2" t="str">
        <f>IF([1]IMM!P175="","",[1]IMM!P175)</f>
        <v/>
      </c>
      <c r="V176" s="2" t="str">
        <f t="shared" si="18"/>
        <v/>
      </c>
      <c r="W176" s="2" t="str">
        <f t="shared" si="19"/>
        <v/>
      </c>
      <c r="X176" s="2" t="str">
        <f t="shared" si="20"/>
        <v/>
      </c>
      <c r="Y176" s="16" t="str">
        <f t="shared" si="21"/>
        <v/>
      </c>
      <c r="Z176" s="16"/>
      <c r="AE176" s="3" t="str">
        <f>[1]Country!E175</f>
        <v>PY</v>
      </c>
      <c r="AF176" s="3" t="str">
        <f>[1]Country!C175</f>
        <v>Paraguay</v>
      </c>
      <c r="AH176" s="3" t="str">
        <f t="shared" si="22"/>
        <v/>
      </c>
      <c r="AJ176" s="2" t="str">
        <f>IF([1]IMM!N175="","",[1]IMM!N175)</f>
        <v/>
      </c>
      <c r="AK176" s="16" t="str">
        <f t="shared" si="23"/>
        <v/>
      </c>
      <c r="AL176" s="16" t="str">
        <f t="shared" si="24"/>
        <v/>
      </c>
      <c r="AM176" s="2" t="str">
        <f t="shared" si="25"/>
        <v/>
      </c>
      <c r="AN176" s="16" t="str">
        <f t="shared" si="26"/>
        <v/>
      </c>
    </row>
    <row r="177" spans="4:40">
      <c r="D177" s="13" t="e">
        <f>#REF!</f>
        <v>#REF!</v>
      </c>
      <c r="G177" s="17" t="s">
        <v>1636</v>
      </c>
      <c r="H177" s="3" t="s">
        <v>1698</v>
      </c>
      <c r="I177" s="3" t="s">
        <v>1699</v>
      </c>
      <c r="L177" s="2" t="s">
        <v>1700</v>
      </c>
      <c r="M177" s="2" t="s">
        <v>1473</v>
      </c>
      <c r="N177" s="18" t="s">
        <v>1701</v>
      </c>
      <c r="R177" s="2" t="str">
        <f>IF(ISERROR(VLOOKUP([1]IMM!F176,Table8[[#All],[Column2]:[Column3]],2,FALSE)),"",(VLOOKUP([1]IMM!F176,Table8[[#All],[Column2]:[Column3]],2,FALSE)))</f>
        <v/>
      </c>
      <c r="U177" s="2" t="str">
        <f>IF([1]IMM!P176="","",[1]IMM!P176)</f>
        <v/>
      </c>
      <c r="V177" s="2" t="str">
        <f t="shared" si="18"/>
        <v/>
      </c>
      <c r="W177" s="2" t="str">
        <f t="shared" si="19"/>
        <v/>
      </c>
      <c r="X177" s="2" t="str">
        <f t="shared" si="20"/>
        <v/>
      </c>
      <c r="Y177" s="16" t="str">
        <f t="shared" si="21"/>
        <v/>
      </c>
      <c r="Z177" s="16"/>
      <c r="AE177" s="3" t="str">
        <f>[1]Country!E176</f>
        <v>PE</v>
      </c>
      <c r="AF177" s="3" t="str">
        <f>[1]Country!C176</f>
        <v>Peru</v>
      </c>
      <c r="AH177" s="3" t="str">
        <f t="shared" si="22"/>
        <v/>
      </c>
      <c r="AJ177" s="2" t="str">
        <f>IF([1]IMM!N176="","",[1]IMM!N176)</f>
        <v/>
      </c>
      <c r="AK177" s="16" t="str">
        <f t="shared" si="23"/>
        <v/>
      </c>
      <c r="AL177" s="16" t="str">
        <f t="shared" si="24"/>
        <v/>
      </c>
      <c r="AM177" s="2" t="str">
        <f t="shared" si="25"/>
        <v/>
      </c>
      <c r="AN177" s="16" t="str">
        <f t="shared" si="26"/>
        <v/>
      </c>
    </row>
    <row r="178" spans="4:40">
      <c r="D178" s="13" t="e">
        <f>#REF!</f>
        <v>#REF!</v>
      </c>
      <c r="G178" s="17" t="s">
        <v>1658</v>
      </c>
      <c r="H178" s="3" t="s">
        <v>527</v>
      </c>
      <c r="I178" s="3" t="s">
        <v>527</v>
      </c>
      <c r="L178" s="2" t="s">
        <v>1702</v>
      </c>
      <c r="M178" s="2" t="s">
        <v>1095</v>
      </c>
      <c r="N178" s="18" t="s">
        <v>1703</v>
      </c>
      <c r="R178" s="2" t="str">
        <f>IF(ISERROR(VLOOKUP([1]IMM!F177,Table8[[#All],[Column2]:[Column3]],2,FALSE)),"",(VLOOKUP([1]IMM!F177,Table8[[#All],[Column2]:[Column3]],2,FALSE)))</f>
        <v/>
      </c>
      <c r="U178" s="2" t="str">
        <f>IF([1]IMM!P177="","",[1]IMM!P177)</f>
        <v/>
      </c>
      <c r="V178" s="2" t="str">
        <f t="shared" si="18"/>
        <v/>
      </c>
      <c r="W178" s="2" t="str">
        <f t="shared" si="19"/>
        <v/>
      </c>
      <c r="X178" s="2" t="str">
        <f t="shared" si="20"/>
        <v/>
      </c>
      <c r="Y178" s="16" t="str">
        <f t="shared" si="21"/>
        <v/>
      </c>
      <c r="Z178" s="16"/>
      <c r="AE178" s="3" t="str">
        <f>[1]Country!E177</f>
        <v>PH</v>
      </c>
      <c r="AF178" s="3" t="str">
        <f>[1]Country!C177</f>
        <v>Philippines</v>
      </c>
      <c r="AH178" s="3" t="str">
        <f t="shared" si="22"/>
        <v>PHL</v>
      </c>
      <c r="AJ178" s="2" t="str">
        <f>IF([1]IMM!N177="","",[1]IMM!N177)</f>
        <v/>
      </c>
      <c r="AK178" s="16" t="str">
        <f t="shared" si="23"/>
        <v/>
      </c>
      <c r="AL178" s="16" t="str">
        <f t="shared" si="24"/>
        <v/>
      </c>
      <c r="AM178" s="2" t="str">
        <f t="shared" si="25"/>
        <v/>
      </c>
      <c r="AN178" s="16" t="str">
        <f t="shared" si="26"/>
        <v/>
      </c>
    </row>
    <row r="179" spans="4:40">
      <c r="D179" s="13" t="e">
        <f>#REF!</f>
        <v>#REF!</v>
      </c>
      <c r="G179" s="17" t="s">
        <v>1655</v>
      </c>
      <c r="H179" s="3" t="s">
        <v>530</v>
      </c>
      <c r="I179" s="3" t="s">
        <v>530</v>
      </c>
      <c r="L179" s="2" t="s">
        <v>1704</v>
      </c>
      <c r="M179" s="2" t="s">
        <v>1705</v>
      </c>
      <c r="N179" s="18" t="s">
        <v>1706</v>
      </c>
      <c r="R179" s="2" t="str">
        <f>IF(ISERROR(VLOOKUP([1]IMM!F178,Table8[[#All],[Column2]:[Column3]],2,FALSE)),"",(VLOOKUP([1]IMM!F178,Table8[[#All],[Column2]:[Column3]],2,FALSE)))</f>
        <v/>
      </c>
      <c r="U179" s="2" t="str">
        <f>IF([1]IMM!P178="","",[1]IMM!P178)</f>
        <v/>
      </c>
      <c r="V179" s="2" t="str">
        <f t="shared" si="18"/>
        <v/>
      </c>
      <c r="W179" s="2" t="str">
        <f t="shared" si="19"/>
        <v/>
      </c>
      <c r="X179" s="2" t="str">
        <f t="shared" si="20"/>
        <v/>
      </c>
      <c r="Y179" s="16" t="str">
        <f t="shared" si="21"/>
        <v/>
      </c>
      <c r="Z179" s="16"/>
      <c r="AE179" s="3" t="str">
        <f>[1]Country!E178</f>
        <v>PN</v>
      </c>
      <c r="AF179" s="3" t="str">
        <f>[1]Country!C178</f>
        <v>Pitcairn</v>
      </c>
      <c r="AH179" s="3" t="str">
        <f t="shared" si="22"/>
        <v/>
      </c>
      <c r="AJ179" s="2" t="str">
        <f>IF([1]IMM!N178="","",[1]IMM!N178)</f>
        <v/>
      </c>
      <c r="AK179" s="16" t="str">
        <f t="shared" si="23"/>
        <v/>
      </c>
      <c r="AL179" s="16" t="str">
        <f t="shared" si="24"/>
        <v/>
      </c>
      <c r="AM179" s="2" t="str">
        <f t="shared" si="25"/>
        <v/>
      </c>
      <c r="AN179" s="16" t="str">
        <f t="shared" si="26"/>
        <v/>
      </c>
    </row>
    <row r="180" spans="4:40">
      <c r="D180" s="13" t="e">
        <f>#REF!</f>
        <v>#REF!</v>
      </c>
      <c r="G180" s="17" t="s">
        <v>1669</v>
      </c>
      <c r="H180" s="3" t="s">
        <v>1707</v>
      </c>
      <c r="I180" s="3" t="s">
        <v>1708</v>
      </c>
      <c r="L180" s="2" t="s">
        <v>1709</v>
      </c>
      <c r="M180" s="2" t="s">
        <v>1100</v>
      </c>
      <c r="N180" s="18" t="s">
        <v>1710</v>
      </c>
      <c r="R180" s="2" t="str">
        <f>IF(ISERROR(VLOOKUP([1]IMM!F179,Table8[[#All],[Column2]:[Column3]],2,FALSE)),"",(VLOOKUP([1]IMM!F179,Table8[[#All],[Column2]:[Column3]],2,FALSE)))</f>
        <v/>
      </c>
      <c r="U180" s="2" t="str">
        <f>IF([1]IMM!P179="","",[1]IMM!P179)</f>
        <v/>
      </c>
      <c r="V180" s="2" t="str">
        <f t="shared" si="18"/>
        <v/>
      </c>
      <c r="W180" s="2" t="str">
        <f t="shared" si="19"/>
        <v/>
      </c>
      <c r="X180" s="2" t="str">
        <f t="shared" si="20"/>
        <v/>
      </c>
      <c r="Y180" s="16" t="str">
        <f t="shared" si="21"/>
        <v/>
      </c>
      <c r="Z180" s="16"/>
      <c r="AE180" s="3" t="str">
        <f>[1]Country!E179</f>
        <v>PL</v>
      </c>
      <c r="AF180" s="3" t="str">
        <f>[1]Country!C179</f>
        <v>Poland</v>
      </c>
      <c r="AH180" s="3" t="str">
        <f t="shared" si="22"/>
        <v>POL</v>
      </c>
      <c r="AJ180" s="2" t="str">
        <f>IF([1]IMM!N179="","",[1]IMM!N179)</f>
        <v/>
      </c>
      <c r="AK180" s="16" t="str">
        <f t="shared" si="23"/>
        <v/>
      </c>
      <c r="AL180" s="16" t="str">
        <f t="shared" si="24"/>
        <v/>
      </c>
      <c r="AM180" s="2" t="str">
        <f t="shared" si="25"/>
        <v/>
      </c>
      <c r="AN180" s="16" t="str">
        <f t="shared" si="26"/>
        <v/>
      </c>
    </row>
    <row r="181" spans="4:40">
      <c r="D181" s="13" t="e">
        <f>#REF!</f>
        <v>#REF!</v>
      </c>
      <c r="G181" s="17" t="s">
        <v>1673</v>
      </c>
      <c r="H181" s="3" t="s">
        <v>1711</v>
      </c>
      <c r="I181" s="3" t="s">
        <v>1712</v>
      </c>
      <c r="L181" s="2" t="s">
        <v>1713</v>
      </c>
      <c r="M181" s="2" t="s">
        <v>1106</v>
      </c>
      <c r="N181" s="18" t="s">
        <v>1714</v>
      </c>
      <c r="R181" s="2" t="str">
        <f>IF(ISERROR(VLOOKUP([1]IMM!F180,Table8[[#All],[Column2]:[Column3]],2,FALSE)),"",(VLOOKUP([1]IMM!F180,Table8[[#All],[Column2]:[Column3]],2,FALSE)))</f>
        <v/>
      </c>
      <c r="U181" s="2" t="str">
        <f>IF([1]IMM!P180="","",[1]IMM!P180)</f>
        <v/>
      </c>
      <c r="V181" s="2" t="str">
        <f t="shared" si="18"/>
        <v/>
      </c>
      <c r="W181" s="2" t="str">
        <f t="shared" si="19"/>
        <v/>
      </c>
      <c r="X181" s="2" t="str">
        <f t="shared" si="20"/>
        <v/>
      </c>
      <c r="Y181" s="16" t="str">
        <f t="shared" si="21"/>
        <v/>
      </c>
      <c r="Z181" s="16"/>
      <c r="AE181" s="3" t="str">
        <f>[1]Country!E180</f>
        <v>PT</v>
      </c>
      <c r="AF181" s="3" t="str">
        <f>[1]Country!C180</f>
        <v>Portugal</v>
      </c>
      <c r="AH181" s="3" t="str">
        <f t="shared" si="22"/>
        <v>PRT</v>
      </c>
      <c r="AJ181" s="2" t="str">
        <f>IF([1]IMM!N180="","",[1]IMM!N180)</f>
        <v/>
      </c>
      <c r="AK181" s="16" t="str">
        <f t="shared" si="23"/>
        <v/>
      </c>
      <c r="AL181" s="16" t="str">
        <f t="shared" si="24"/>
        <v/>
      </c>
      <c r="AM181" s="2" t="str">
        <f t="shared" si="25"/>
        <v/>
      </c>
      <c r="AN181" s="16" t="str">
        <f t="shared" si="26"/>
        <v/>
      </c>
    </row>
    <row r="182" spans="4:40">
      <c r="D182" s="13" t="e">
        <f>#REF!</f>
        <v>#REF!</v>
      </c>
      <c r="G182" s="17" t="s">
        <v>1683</v>
      </c>
      <c r="H182" s="3" t="s">
        <v>1715</v>
      </c>
      <c r="I182" s="3" t="s">
        <v>1716</v>
      </c>
      <c r="L182" s="2" t="s">
        <v>1717</v>
      </c>
      <c r="M182" s="2" t="s">
        <v>1256</v>
      </c>
      <c r="N182" s="18" t="s">
        <v>1718</v>
      </c>
      <c r="R182" s="2" t="str">
        <f>IF(ISERROR(VLOOKUP([1]IMM!F181,Table8[[#All],[Column2]:[Column3]],2,FALSE)),"",(VLOOKUP([1]IMM!F181,Table8[[#All],[Column2]:[Column3]],2,FALSE)))</f>
        <v/>
      </c>
      <c r="U182" s="2" t="str">
        <f>IF([1]IMM!P181="","",[1]IMM!P181)</f>
        <v/>
      </c>
      <c r="V182" s="2" t="str">
        <f t="shared" si="18"/>
        <v/>
      </c>
      <c r="W182" s="2" t="str">
        <f t="shared" si="19"/>
        <v/>
      </c>
      <c r="X182" s="2" t="str">
        <f t="shared" si="20"/>
        <v/>
      </c>
      <c r="Y182" s="16" t="str">
        <f t="shared" si="21"/>
        <v/>
      </c>
      <c r="Z182" s="16"/>
      <c r="AE182" s="3" t="str">
        <f>[1]Country!E181</f>
        <v>PR</v>
      </c>
      <c r="AF182" s="3" t="str">
        <f>[1]Country!C181</f>
        <v>Puerto Rico</v>
      </c>
      <c r="AH182" s="3" t="str">
        <f t="shared" si="22"/>
        <v>PRI</v>
      </c>
      <c r="AJ182" s="2" t="str">
        <f>IF([1]IMM!N181="","",[1]IMM!N181)</f>
        <v/>
      </c>
      <c r="AK182" s="16" t="str">
        <f t="shared" si="23"/>
        <v/>
      </c>
      <c r="AL182" s="16" t="str">
        <f t="shared" si="24"/>
        <v/>
      </c>
      <c r="AM182" s="2" t="str">
        <f t="shared" si="25"/>
        <v/>
      </c>
      <c r="AN182" s="16" t="str">
        <f t="shared" si="26"/>
        <v/>
      </c>
    </row>
    <row r="183" spans="4:40">
      <c r="D183" s="13" t="e">
        <f>#REF!</f>
        <v>#REF!</v>
      </c>
      <c r="G183" s="17" t="s">
        <v>1687</v>
      </c>
      <c r="H183" s="3" t="s">
        <v>1719</v>
      </c>
      <c r="I183" s="3" t="s">
        <v>1720</v>
      </c>
      <c r="L183" s="2" t="s">
        <v>1721</v>
      </c>
      <c r="M183" s="2" t="s">
        <v>1722</v>
      </c>
      <c r="N183" s="18" t="s">
        <v>1723</v>
      </c>
      <c r="R183" s="2" t="str">
        <f>IF(ISERROR(VLOOKUP([1]IMM!F182,Table8[[#All],[Column2]:[Column3]],2,FALSE)),"",(VLOOKUP([1]IMM!F182,Table8[[#All],[Column2]:[Column3]],2,FALSE)))</f>
        <v/>
      </c>
      <c r="U183" s="2" t="str">
        <f>IF([1]IMM!P182="","",[1]IMM!P182)</f>
        <v/>
      </c>
      <c r="V183" s="2" t="str">
        <f t="shared" si="18"/>
        <v/>
      </c>
      <c r="W183" s="2" t="str">
        <f t="shared" si="19"/>
        <v/>
      </c>
      <c r="X183" s="2" t="str">
        <f t="shared" si="20"/>
        <v/>
      </c>
      <c r="Y183" s="16" t="str">
        <f t="shared" si="21"/>
        <v/>
      </c>
      <c r="Z183" s="16"/>
      <c r="AE183" s="3" t="str">
        <f>[1]Country!E182</f>
        <v>QA</v>
      </c>
      <c r="AF183" s="3" t="str">
        <f>[1]Country!C182</f>
        <v>Qatar</v>
      </c>
      <c r="AH183" s="3" t="str">
        <f t="shared" si="22"/>
        <v/>
      </c>
      <c r="AJ183" s="2" t="str">
        <f>IF([1]IMM!N182="","",[1]IMM!N182)</f>
        <v/>
      </c>
      <c r="AK183" s="16" t="str">
        <f t="shared" si="23"/>
        <v/>
      </c>
      <c r="AL183" s="16" t="str">
        <f t="shared" si="24"/>
        <v/>
      </c>
      <c r="AM183" s="2" t="str">
        <f t="shared" si="25"/>
        <v/>
      </c>
      <c r="AN183" s="16" t="str">
        <f t="shared" si="26"/>
        <v/>
      </c>
    </row>
    <row r="184" spans="4:40">
      <c r="D184" s="13" t="e">
        <f>#REF!</f>
        <v>#REF!</v>
      </c>
      <c r="G184" s="17" t="s">
        <v>1692</v>
      </c>
      <c r="H184" s="3" t="s">
        <v>544</v>
      </c>
      <c r="I184" s="3" t="s">
        <v>1724</v>
      </c>
      <c r="L184" s="2" t="s">
        <v>1725</v>
      </c>
      <c r="M184" s="2" t="s">
        <v>1726</v>
      </c>
      <c r="N184" s="18" t="s">
        <v>1727</v>
      </c>
      <c r="R184" s="2" t="str">
        <f>IF(ISERROR(VLOOKUP([1]IMM!F183,Table8[[#All],[Column2]:[Column3]],2,FALSE)),"",(VLOOKUP([1]IMM!F183,Table8[[#All],[Column2]:[Column3]],2,FALSE)))</f>
        <v/>
      </c>
      <c r="U184" s="2" t="str">
        <f>IF([1]IMM!P183="","",[1]IMM!P183)</f>
        <v/>
      </c>
      <c r="V184" s="2" t="str">
        <f t="shared" si="18"/>
        <v/>
      </c>
      <c r="W184" s="2" t="str">
        <f t="shared" si="19"/>
        <v/>
      </c>
      <c r="X184" s="2" t="str">
        <f t="shared" si="20"/>
        <v/>
      </c>
      <c r="Y184" s="16" t="str">
        <f t="shared" si="21"/>
        <v/>
      </c>
      <c r="Z184" s="16"/>
      <c r="AE184" s="3" t="str">
        <f>[1]Country!E183</f>
        <v>RE</v>
      </c>
      <c r="AF184" s="3" t="str">
        <f>[1]Country!C183</f>
        <v>Reunion</v>
      </c>
      <c r="AH184" s="3" t="str">
        <f t="shared" si="22"/>
        <v/>
      </c>
      <c r="AJ184" s="2" t="str">
        <f>IF([1]IMM!N183="","",[1]IMM!N183)</f>
        <v/>
      </c>
      <c r="AK184" s="16" t="str">
        <f t="shared" si="23"/>
        <v/>
      </c>
      <c r="AL184" s="16" t="str">
        <f t="shared" si="24"/>
        <v/>
      </c>
      <c r="AM184" s="2" t="str">
        <f t="shared" si="25"/>
        <v/>
      </c>
      <c r="AN184" s="16" t="str">
        <f t="shared" si="26"/>
        <v/>
      </c>
    </row>
    <row r="185" spans="4:40">
      <c r="D185" s="13" t="e">
        <f>#REF!</f>
        <v>#REF!</v>
      </c>
      <c r="G185" s="17" t="s">
        <v>1697</v>
      </c>
      <c r="H185" s="3" t="s">
        <v>1728</v>
      </c>
      <c r="I185" s="3" t="s">
        <v>1729</v>
      </c>
      <c r="L185" s="2" t="s">
        <v>1730</v>
      </c>
      <c r="M185" s="2" t="s">
        <v>1112</v>
      </c>
      <c r="N185" s="18" t="s">
        <v>1731</v>
      </c>
      <c r="R185" s="2" t="str">
        <f>IF(ISERROR(VLOOKUP([1]IMM!F184,Table8[[#All],[Column2]:[Column3]],2,FALSE)),"",(VLOOKUP([1]IMM!F184,Table8[[#All],[Column2]:[Column3]],2,FALSE)))</f>
        <v/>
      </c>
      <c r="U185" s="2" t="str">
        <f>IF([1]IMM!P184="","",[1]IMM!P184)</f>
        <v/>
      </c>
      <c r="V185" s="2" t="str">
        <f t="shared" si="18"/>
        <v/>
      </c>
      <c r="W185" s="2" t="str">
        <f t="shared" si="19"/>
        <v/>
      </c>
      <c r="X185" s="2" t="str">
        <f t="shared" si="20"/>
        <v/>
      </c>
      <c r="Y185" s="16" t="str">
        <f t="shared" si="21"/>
        <v/>
      </c>
      <c r="Z185" s="16"/>
      <c r="AE185" s="3" t="str">
        <f>[1]Country!E184</f>
        <v>RO</v>
      </c>
      <c r="AF185" s="3" t="str">
        <f>[1]Country!C184</f>
        <v>Romania</v>
      </c>
      <c r="AH185" s="3" t="str">
        <f t="shared" si="22"/>
        <v>ROU</v>
      </c>
      <c r="AJ185" s="2" t="str">
        <f>IF([1]IMM!N184="","",[1]IMM!N184)</f>
        <v/>
      </c>
      <c r="AK185" s="16" t="str">
        <f t="shared" si="23"/>
        <v/>
      </c>
      <c r="AL185" s="16" t="str">
        <f t="shared" si="24"/>
        <v/>
      </c>
      <c r="AM185" s="2" t="str">
        <f t="shared" si="25"/>
        <v/>
      </c>
      <c r="AN185" s="16" t="str">
        <f t="shared" si="26"/>
        <v/>
      </c>
    </row>
    <row r="186" spans="4:40">
      <c r="D186" s="13" t="e">
        <f>#REF!</f>
        <v>#REF!</v>
      </c>
      <c r="G186" s="17" t="s">
        <v>1701</v>
      </c>
      <c r="H186" s="3" t="s">
        <v>1732</v>
      </c>
      <c r="I186" s="3" t="s">
        <v>1733</v>
      </c>
      <c r="L186" s="2" t="s">
        <v>1734</v>
      </c>
      <c r="M186" s="2" t="s">
        <v>1123</v>
      </c>
      <c r="N186" s="18" t="s">
        <v>1735</v>
      </c>
      <c r="R186" s="2" t="str">
        <f>IF(ISERROR(VLOOKUP([1]IMM!F185,Table8[[#All],[Column2]:[Column3]],2,FALSE)),"",(VLOOKUP([1]IMM!F185,Table8[[#All],[Column2]:[Column3]],2,FALSE)))</f>
        <v/>
      </c>
      <c r="U186" s="2" t="str">
        <f>IF([1]IMM!P185="","",[1]IMM!P185)</f>
        <v/>
      </c>
      <c r="V186" s="2" t="str">
        <f t="shared" si="18"/>
        <v/>
      </c>
      <c r="W186" s="2" t="str">
        <f t="shared" si="19"/>
        <v/>
      </c>
      <c r="X186" s="2" t="str">
        <f t="shared" si="20"/>
        <v/>
      </c>
      <c r="Y186" s="16" t="str">
        <f t="shared" si="21"/>
        <v/>
      </c>
      <c r="Z186" s="16"/>
      <c r="AE186" s="3" t="str">
        <f>[1]Country!E185</f>
        <v>RU</v>
      </c>
      <c r="AF186" s="3" t="str">
        <f>[1]Country!C185</f>
        <v>Russia</v>
      </c>
      <c r="AH186" s="3" t="str">
        <f t="shared" si="22"/>
        <v>RUS</v>
      </c>
      <c r="AJ186" s="2" t="str">
        <f>IF([1]IMM!N185="","",[1]IMM!N185)</f>
        <v/>
      </c>
      <c r="AK186" s="16" t="str">
        <f t="shared" si="23"/>
        <v/>
      </c>
      <c r="AL186" s="16" t="str">
        <f t="shared" si="24"/>
        <v/>
      </c>
      <c r="AM186" s="2" t="str">
        <f t="shared" si="25"/>
        <v/>
      </c>
      <c r="AN186" s="16" t="str">
        <f t="shared" si="26"/>
        <v/>
      </c>
    </row>
    <row r="187" spans="4:40">
      <c r="D187" s="13" t="e">
        <f>#REF!</f>
        <v>#REF!</v>
      </c>
      <c r="G187" s="17" t="s">
        <v>1703</v>
      </c>
      <c r="H187" s="3" t="s">
        <v>1736</v>
      </c>
      <c r="I187" s="3" t="s">
        <v>1737</v>
      </c>
      <c r="L187" s="2" t="s">
        <v>1738</v>
      </c>
      <c r="M187" s="2" t="s">
        <v>1739</v>
      </c>
      <c r="N187" s="18" t="s">
        <v>1740</v>
      </c>
      <c r="R187" s="2" t="str">
        <f>IF(ISERROR(VLOOKUP([1]IMM!F186,Table8[[#All],[Column2]:[Column3]],2,FALSE)),"",(VLOOKUP([1]IMM!F186,Table8[[#All],[Column2]:[Column3]],2,FALSE)))</f>
        <v/>
      </c>
      <c r="U187" s="2" t="str">
        <f>IF([1]IMM!P186="","",[1]IMM!P186)</f>
        <v/>
      </c>
      <c r="V187" s="2" t="str">
        <f t="shared" si="18"/>
        <v/>
      </c>
      <c r="W187" s="2" t="str">
        <f t="shared" si="19"/>
        <v/>
      </c>
      <c r="X187" s="2" t="str">
        <f t="shared" si="20"/>
        <v/>
      </c>
      <c r="Y187" s="16" t="str">
        <f t="shared" si="21"/>
        <v/>
      </c>
      <c r="Z187" s="16"/>
      <c r="AE187" s="3" t="str">
        <f>[1]Country!E186</f>
        <v>RQ</v>
      </c>
      <c r="AF187" s="3" t="str">
        <f>[1]Country!C186</f>
        <v>Russian Federation</v>
      </c>
      <c r="AH187" s="3" t="str">
        <f t="shared" si="22"/>
        <v/>
      </c>
      <c r="AJ187" s="2" t="str">
        <f>IF([1]IMM!N186="","",[1]IMM!N186)</f>
        <v/>
      </c>
      <c r="AK187" s="16" t="str">
        <f t="shared" si="23"/>
        <v/>
      </c>
      <c r="AL187" s="16" t="str">
        <f t="shared" si="24"/>
        <v/>
      </c>
      <c r="AM187" s="2" t="str">
        <f t="shared" si="25"/>
        <v/>
      </c>
      <c r="AN187" s="16" t="str">
        <f t="shared" si="26"/>
        <v/>
      </c>
    </row>
    <row r="188" spans="4:40">
      <c r="D188" s="13" t="e">
        <f>#REF!</f>
        <v>#REF!</v>
      </c>
      <c r="G188" s="17" t="s">
        <v>1710</v>
      </c>
      <c r="H188" s="3" t="s">
        <v>1741</v>
      </c>
      <c r="I188" s="3" t="s">
        <v>1742</v>
      </c>
      <c r="L188" s="2" t="s">
        <v>1743</v>
      </c>
      <c r="M188" s="2" t="s">
        <v>1744</v>
      </c>
      <c r="N188" s="18" t="s">
        <v>1745</v>
      </c>
      <c r="R188" s="2" t="str">
        <f>IF(ISERROR(VLOOKUP([1]IMM!F187,Table8[[#All],[Column2]:[Column3]],2,FALSE)),"",(VLOOKUP([1]IMM!F187,Table8[[#All],[Column2]:[Column3]],2,FALSE)))</f>
        <v/>
      </c>
      <c r="U188" s="2" t="str">
        <f>IF([1]IMM!P187="","",[1]IMM!P187)</f>
        <v/>
      </c>
      <c r="V188" s="2" t="str">
        <f t="shared" si="18"/>
        <v/>
      </c>
      <c r="W188" s="2" t="str">
        <f t="shared" si="19"/>
        <v/>
      </c>
      <c r="X188" s="2" t="str">
        <f t="shared" si="20"/>
        <v/>
      </c>
      <c r="Y188" s="16" t="str">
        <f t="shared" si="21"/>
        <v/>
      </c>
      <c r="Z188" s="16"/>
      <c r="AE188" s="3" t="str">
        <f>[1]Country!E187</f>
        <v>RW</v>
      </c>
      <c r="AF188" s="3" t="str">
        <f>[1]Country!C187</f>
        <v>Rwanda</v>
      </c>
      <c r="AH188" s="3" t="str">
        <f t="shared" si="22"/>
        <v/>
      </c>
      <c r="AJ188" s="2" t="str">
        <f>IF([1]IMM!N187="","",[1]IMM!N187)</f>
        <v/>
      </c>
      <c r="AK188" s="16" t="str">
        <f t="shared" si="23"/>
        <v/>
      </c>
      <c r="AL188" s="16" t="str">
        <f t="shared" si="24"/>
        <v/>
      </c>
      <c r="AM188" s="2" t="str">
        <f t="shared" si="25"/>
        <v/>
      </c>
      <c r="AN188" s="16" t="str">
        <f t="shared" si="26"/>
        <v/>
      </c>
    </row>
    <row r="189" spans="4:40">
      <c r="D189" s="13" t="e">
        <f>#REF!</f>
        <v>#REF!</v>
      </c>
      <c r="G189" s="17" t="s">
        <v>1714</v>
      </c>
      <c r="H189" s="3" t="s">
        <v>1746</v>
      </c>
      <c r="I189" s="3" t="s">
        <v>1747</v>
      </c>
      <c r="L189" s="2" t="s">
        <v>1748</v>
      </c>
      <c r="M189" s="2" t="s">
        <v>1749</v>
      </c>
      <c r="N189" s="18"/>
      <c r="R189" s="2" t="str">
        <f>IF(ISERROR(VLOOKUP([1]IMM!F188,Table8[[#All],[Column2]:[Column3]],2,FALSE)),"",(VLOOKUP([1]IMM!F188,Table8[[#All],[Column2]:[Column3]],2,FALSE)))</f>
        <v/>
      </c>
      <c r="U189" s="2" t="str">
        <f>IF([1]IMM!P188="","",[1]IMM!P188)</f>
        <v/>
      </c>
      <c r="V189" s="2" t="str">
        <f t="shared" si="18"/>
        <v/>
      </c>
      <c r="W189" s="2" t="str">
        <f t="shared" si="19"/>
        <v/>
      </c>
      <c r="X189" s="2" t="str">
        <f t="shared" si="20"/>
        <v/>
      </c>
      <c r="Y189" s="16" t="str">
        <f t="shared" si="21"/>
        <v/>
      </c>
      <c r="Z189" s="16"/>
      <c r="AE189" s="3" t="str">
        <f>[1]Country!E188</f>
        <v>SH</v>
      </c>
      <c r="AF189" s="3" t="str">
        <f>[1]Country!C188</f>
        <v>Saint Helena</v>
      </c>
      <c r="AH189" s="3" t="str">
        <f t="shared" si="22"/>
        <v/>
      </c>
      <c r="AJ189" s="2" t="str">
        <f>IF([1]IMM!N188="","",[1]IMM!N188)</f>
        <v/>
      </c>
      <c r="AK189" s="16" t="str">
        <f t="shared" si="23"/>
        <v/>
      </c>
      <c r="AL189" s="16" t="str">
        <f t="shared" si="24"/>
        <v/>
      </c>
      <c r="AM189" s="2" t="str">
        <f t="shared" si="25"/>
        <v/>
      </c>
      <c r="AN189" s="16" t="str">
        <f t="shared" si="26"/>
        <v/>
      </c>
    </row>
    <row r="190" spans="4:40">
      <c r="D190" s="13" t="e">
        <f>#REF!</f>
        <v>#REF!</v>
      </c>
      <c r="G190" s="17" t="s">
        <v>561</v>
      </c>
      <c r="H190" s="3" t="s">
        <v>562</v>
      </c>
      <c r="I190" s="3" t="s">
        <v>563</v>
      </c>
      <c r="L190" s="2" t="s">
        <v>1750</v>
      </c>
      <c r="M190" s="2" t="s">
        <v>1751</v>
      </c>
      <c r="N190" s="18" t="s">
        <v>1752</v>
      </c>
      <c r="R190" s="2" t="str">
        <f>IF(ISERROR(VLOOKUP([1]IMM!F189,Table8[[#All],[Column2]:[Column3]],2,FALSE)),"",(VLOOKUP([1]IMM!F189,Table8[[#All],[Column2]:[Column3]],2,FALSE)))</f>
        <v/>
      </c>
      <c r="U190" s="2" t="str">
        <f>IF([1]IMM!P189="","",[1]IMM!P189)</f>
        <v/>
      </c>
      <c r="V190" s="2" t="str">
        <f t="shared" si="18"/>
        <v/>
      </c>
      <c r="W190" s="2" t="str">
        <f t="shared" si="19"/>
        <v/>
      </c>
      <c r="X190" s="2" t="str">
        <f t="shared" si="20"/>
        <v/>
      </c>
      <c r="Y190" s="16" t="str">
        <f t="shared" si="21"/>
        <v/>
      </c>
      <c r="Z190" s="16"/>
      <c r="AE190" s="3" t="str">
        <f>[1]Country!E189</f>
        <v>KN</v>
      </c>
      <c r="AF190" s="3" t="str">
        <f>[1]Country!C189</f>
        <v>Saint Kitts and Nevis</v>
      </c>
      <c r="AH190" s="3" t="str">
        <f t="shared" si="22"/>
        <v/>
      </c>
      <c r="AJ190" s="2" t="str">
        <f>IF([1]IMM!N189="","",[1]IMM!N189)</f>
        <v/>
      </c>
      <c r="AK190" s="16" t="str">
        <f t="shared" si="23"/>
        <v/>
      </c>
      <c r="AL190" s="16" t="str">
        <f t="shared" si="24"/>
        <v/>
      </c>
      <c r="AM190" s="2" t="str">
        <f t="shared" si="25"/>
        <v/>
      </c>
      <c r="AN190" s="16" t="str">
        <f t="shared" si="26"/>
        <v/>
      </c>
    </row>
    <row r="191" spans="4:40">
      <c r="D191" s="13" t="e">
        <f>#REF!</f>
        <v>#REF!</v>
      </c>
      <c r="G191" s="17" t="s">
        <v>1718</v>
      </c>
      <c r="H191" s="3" t="s">
        <v>1753</v>
      </c>
      <c r="I191" s="3" t="s">
        <v>1754</v>
      </c>
      <c r="L191" s="2" t="s">
        <v>1755</v>
      </c>
      <c r="M191" s="2" t="s">
        <v>1756</v>
      </c>
      <c r="N191" s="18" t="s">
        <v>1757</v>
      </c>
      <c r="R191" s="2" t="str">
        <f>IF(ISERROR(VLOOKUP([1]IMM!F190,Table8[[#All],[Column2]:[Column3]],2,FALSE)),"",(VLOOKUP([1]IMM!F190,Table8[[#All],[Column2]:[Column3]],2,FALSE)))</f>
        <v/>
      </c>
      <c r="U191" s="2" t="str">
        <f>IF([1]IMM!P190="","",[1]IMM!P190)</f>
        <v/>
      </c>
      <c r="V191" s="2" t="str">
        <f t="shared" si="18"/>
        <v/>
      </c>
      <c r="W191" s="2" t="str">
        <f t="shared" si="19"/>
        <v/>
      </c>
      <c r="X191" s="2" t="str">
        <f t="shared" si="20"/>
        <v/>
      </c>
      <c r="Y191" s="16" t="str">
        <f t="shared" si="21"/>
        <v/>
      </c>
      <c r="Z191" s="16"/>
      <c r="AE191" s="3" t="str">
        <f>[1]Country!E190</f>
        <v>LC</v>
      </c>
      <c r="AF191" s="3" t="str">
        <f>[1]Country!C190</f>
        <v>Saint Lucia</v>
      </c>
      <c r="AH191" s="3" t="str">
        <f t="shared" si="22"/>
        <v/>
      </c>
      <c r="AJ191" s="2" t="str">
        <f>IF([1]IMM!N190="","",[1]IMM!N190)</f>
        <v/>
      </c>
      <c r="AK191" s="16" t="str">
        <f t="shared" si="23"/>
        <v/>
      </c>
      <c r="AL191" s="16" t="str">
        <f t="shared" si="24"/>
        <v/>
      </c>
      <c r="AM191" s="2" t="str">
        <f t="shared" si="25"/>
        <v/>
      </c>
      <c r="AN191" s="16" t="str">
        <f t="shared" si="26"/>
        <v/>
      </c>
    </row>
    <row r="192" spans="4:40">
      <c r="D192" s="13" t="e">
        <f>#REF!</f>
        <v>#REF!</v>
      </c>
      <c r="G192" s="17" t="s">
        <v>1678</v>
      </c>
      <c r="H192" s="3" t="s">
        <v>1758</v>
      </c>
      <c r="I192" s="3" t="s">
        <v>1759</v>
      </c>
      <c r="L192" s="2" t="s">
        <v>1760</v>
      </c>
      <c r="M192" s="2" t="s">
        <v>1761</v>
      </c>
      <c r="N192" s="18" t="s">
        <v>1762</v>
      </c>
      <c r="R192" s="2" t="str">
        <f>IF(ISERROR(VLOOKUP([1]IMM!F191,Table8[[#All],[Column2]:[Column3]],2,FALSE)),"",(VLOOKUP([1]IMM!F191,Table8[[#All],[Column2]:[Column3]],2,FALSE)))</f>
        <v/>
      </c>
      <c r="U192" s="2" t="str">
        <f>IF([1]IMM!P191="","",[1]IMM!P191)</f>
        <v/>
      </c>
      <c r="V192" s="2" t="str">
        <f t="shared" si="18"/>
        <v/>
      </c>
      <c r="W192" s="2" t="str">
        <f t="shared" si="19"/>
        <v/>
      </c>
      <c r="X192" s="2" t="str">
        <f t="shared" si="20"/>
        <v/>
      </c>
      <c r="Y192" s="16" t="str">
        <f t="shared" si="21"/>
        <v/>
      </c>
      <c r="Z192" s="16"/>
      <c r="AE192" s="3" t="str">
        <f>[1]Country!E191</f>
        <v>PM</v>
      </c>
      <c r="AF192" s="3" t="str">
        <f>[1]Country!C191</f>
        <v>Saint Pierre And Miquelon</v>
      </c>
      <c r="AH192" s="3" t="str">
        <f t="shared" si="22"/>
        <v/>
      </c>
      <c r="AJ192" s="2" t="str">
        <f>IF([1]IMM!N191="","",[1]IMM!N191)</f>
        <v/>
      </c>
      <c r="AK192" s="16" t="str">
        <f t="shared" si="23"/>
        <v/>
      </c>
      <c r="AL192" s="16" t="str">
        <f t="shared" si="24"/>
        <v/>
      </c>
      <c r="AM192" s="2" t="str">
        <f t="shared" si="25"/>
        <v/>
      </c>
      <c r="AN192" s="16" t="str">
        <f t="shared" si="26"/>
        <v/>
      </c>
    </row>
    <row r="193" spans="4:40">
      <c r="D193" s="13" t="e">
        <f>#REF!</f>
        <v>#REF!</v>
      </c>
      <c r="G193" s="17" t="s">
        <v>1706</v>
      </c>
      <c r="H193" s="3" t="s">
        <v>572</v>
      </c>
      <c r="I193" s="3" t="s">
        <v>572</v>
      </c>
      <c r="L193" s="2" t="s">
        <v>1763</v>
      </c>
      <c r="M193" s="2" t="s">
        <v>1764</v>
      </c>
      <c r="N193" s="18" t="s">
        <v>1765</v>
      </c>
      <c r="R193" s="2" t="str">
        <f>IF(ISERROR(VLOOKUP([1]IMM!F192,Table8[[#All],[Column2]:[Column3]],2,FALSE)),"",(VLOOKUP([1]IMM!F192,Table8[[#All],[Column2]:[Column3]],2,FALSE)))</f>
        <v/>
      </c>
      <c r="U193" s="2" t="str">
        <f>IF([1]IMM!P192="","",[1]IMM!P192)</f>
        <v/>
      </c>
      <c r="V193" s="2" t="str">
        <f t="shared" si="18"/>
        <v/>
      </c>
      <c r="W193" s="2" t="str">
        <f t="shared" si="19"/>
        <v/>
      </c>
      <c r="X193" s="2" t="str">
        <f t="shared" si="20"/>
        <v/>
      </c>
      <c r="Y193" s="16" t="str">
        <f t="shared" si="21"/>
        <v/>
      </c>
      <c r="Z193" s="16"/>
      <c r="AE193" s="3" t="str">
        <f>[1]Country!E192</f>
        <v>VC</v>
      </c>
      <c r="AF193" s="3" t="str">
        <f>[1]Country!C192</f>
        <v>Saint Vincent And The Grenadines</v>
      </c>
      <c r="AH193" s="3" t="str">
        <f t="shared" si="22"/>
        <v/>
      </c>
      <c r="AJ193" s="2" t="str">
        <f>IF([1]IMM!N192="","",[1]IMM!N192)</f>
        <v/>
      </c>
      <c r="AK193" s="16" t="str">
        <f t="shared" si="23"/>
        <v/>
      </c>
      <c r="AL193" s="16" t="str">
        <f t="shared" si="24"/>
        <v/>
      </c>
      <c r="AM193" s="2" t="str">
        <f t="shared" si="25"/>
        <v/>
      </c>
      <c r="AN193" s="16" t="str">
        <f t="shared" si="26"/>
        <v/>
      </c>
    </row>
    <row r="194" spans="4:40">
      <c r="D194" s="13" t="e">
        <f>#REF!</f>
        <v>#REF!</v>
      </c>
      <c r="G194" s="17" t="s">
        <v>1271</v>
      </c>
      <c r="H194" s="3" t="s">
        <v>575</v>
      </c>
      <c r="I194" s="3" t="s">
        <v>575</v>
      </c>
      <c r="L194" s="2" t="s">
        <v>1766</v>
      </c>
      <c r="M194" s="2" t="s">
        <v>1767</v>
      </c>
      <c r="N194" s="18" t="s">
        <v>1768</v>
      </c>
      <c r="R194" s="2" t="str">
        <f>IF(ISERROR(VLOOKUP([1]IMM!F193,Table8[[#All],[Column2]:[Column3]],2,FALSE)),"",(VLOOKUP([1]IMM!F193,Table8[[#All],[Column2]:[Column3]],2,FALSE)))</f>
        <v/>
      </c>
      <c r="U194" s="2" t="str">
        <f>IF([1]IMM!P193="","",[1]IMM!P193)</f>
        <v/>
      </c>
      <c r="V194" s="2" t="str">
        <f t="shared" si="18"/>
        <v/>
      </c>
      <c r="W194" s="2" t="str">
        <f t="shared" si="19"/>
        <v/>
      </c>
      <c r="X194" s="2" t="str">
        <f t="shared" si="20"/>
        <v/>
      </c>
      <c r="Y194" s="16" t="str">
        <f t="shared" si="21"/>
        <v/>
      </c>
      <c r="Z194" s="16"/>
      <c r="AE194" s="3" t="str">
        <f>[1]Country!E193</f>
        <v>WS</v>
      </c>
      <c r="AF194" s="3" t="str">
        <f>[1]Country!C193</f>
        <v>Samoa</v>
      </c>
      <c r="AH194" s="3" t="str">
        <f t="shared" si="22"/>
        <v/>
      </c>
      <c r="AJ194" s="2" t="str">
        <f>IF([1]IMM!N193="","",[1]IMM!N193)</f>
        <v/>
      </c>
      <c r="AK194" s="16" t="str">
        <f t="shared" si="23"/>
        <v/>
      </c>
      <c r="AL194" s="16" t="str">
        <f t="shared" si="24"/>
        <v/>
      </c>
      <c r="AM194" s="2" t="str">
        <f t="shared" si="25"/>
        <v/>
      </c>
      <c r="AN194" s="16" t="str">
        <f t="shared" si="26"/>
        <v/>
      </c>
    </row>
    <row r="195" spans="4:40">
      <c r="D195" s="13" t="e">
        <f>#REF!</f>
        <v>#REF!</v>
      </c>
      <c r="G195" s="17" t="s">
        <v>1723</v>
      </c>
      <c r="H195" s="3" t="s">
        <v>1769</v>
      </c>
      <c r="I195" s="3" t="s">
        <v>1770</v>
      </c>
      <c r="L195" s="2" t="s">
        <v>1771</v>
      </c>
      <c r="M195" s="2" t="s">
        <v>1772</v>
      </c>
      <c r="N195" s="18" t="s">
        <v>1773</v>
      </c>
      <c r="R195" s="2" t="str">
        <f>IF(ISERROR(VLOOKUP([1]IMM!F194,Table8[[#All],[Column2]:[Column3]],2,FALSE)),"",(VLOOKUP([1]IMM!F194,Table8[[#All],[Column2]:[Column3]],2,FALSE)))</f>
        <v/>
      </c>
      <c r="U195" s="2" t="str">
        <f>IF([1]IMM!P194="","",[1]IMM!P194)</f>
        <v/>
      </c>
      <c r="V195" s="2" t="str">
        <f t="shared" si="18"/>
        <v/>
      </c>
      <c r="W195" s="2" t="str">
        <f t="shared" si="19"/>
        <v/>
      </c>
      <c r="X195" s="2" t="str">
        <f t="shared" si="20"/>
        <v/>
      </c>
      <c r="Y195" s="16" t="str">
        <f t="shared" si="21"/>
        <v/>
      </c>
      <c r="Z195" s="16"/>
      <c r="AE195" s="3" t="str">
        <f>[1]Country!E194</f>
        <v>SM</v>
      </c>
      <c r="AF195" s="3" t="str">
        <f>[1]Country!C194</f>
        <v>San Marino</v>
      </c>
      <c r="AH195" s="3" t="str">
        <f t="shared" si="22"/>
        <v/>
      </c>
      <c r="AJ195" s="2" t="str">
        <f>IF([1]IMM!N194="","",[1]IMM!N194)</f>
        <v/>
      </c>
      <c r="AK195" s="16" t="str">
        <f t="shared" si="23"/>
        <v/>
      </c>
      <c r="AL195" s="16" t="str">
        <f t="shared" si="24"/>
        <v/>
      </c>
      <c r="AM195" s="2" t="str">
        <f t="shared" si="25"/>
        <v/>
      </c>
      <c r="AN195" s="16" t="str">
        <f t="shared" si="26"/>
        <v/>
      </c>
    </row>
    <row r="196" spans="4:40">
      <c r="D196" s="13" t="e">
        <f>#REF!</f>
        <v>#REF!</v>
      </c>
      <c r="G196" s="17" t="s">
        <v>1727</v>
      </c>
      <c r="H196" s="3" t="s">
        <v>580</v>
      </c>
      <c r="I196" s="3" t="s">
        <v>1774</v>
      </c>
      <c r="L196" s="2" t="s">
        <v>1775</v>
      </c>
      <c r="M196" s="2" t="s">
        <v>1130</v>
      </c>
      <c r="N196" s="18" t="s">
        <v>1776</v>
      </c>
      <c r="R196" s="2" t="str">
        <f>IF(ISERROR(VLOOKUP([1]IMM!F195,Table8[[#All],[Column2]:[Column3]],2,FALSE)),"",(VLOOKUP([1]IMM!F195,Table8[[#All],[Column2]:[Column3]],2,FALSE)))</f>
        <v/>
      </c>
      <c r="U196" s="2" t="str">
        <f>IF([1]IMM!P195="","",[1]IMM!P195)</f>
        <v/>
      </c>
      <c r="V196" s="2" t="str">
        <f t="shared" ref="V196:V259" si="27">LEFT(U196,2)</f>
        <v/>
      </c>
      <c r="W196" s="2" t="str">
        <f t="shared" ref="W196:W259" si="28">MID(U196,4,2)</f>
        <v/>
      </c>
      <c r="X196" s="2" t="str">
        <f t="shared" ref="X196:X259" si="29">RIGHT(U196,4)</f>
        <v/>
      </c>
      <c r="Y196" s="16" t="str">
        <f t="shared" ref="Y196:Y259" si="30">IFERROR(DATE(X196,V196,W196),"")</f>
        <v/>
      </c>
      <c r="Z196" s="16"/>
      <c r="AE196" s="3" t="str">
        <f>[1]Country!E195</f>
        <v>ST</v>
      </c>
      <c r="AF196" s="3" t="str">
        <f>[1]Country!C195</f>
        <v>Sao Tome and Principe</v>
      </c>
      <c r="AH196" s="3" t="str">
        <f t="shared" ref="AH196:AH252" si="31">IFERROR(VLOOKUP(AF196,$AB$3:$AC$100,2,),"")</f>
        <v/>
      </c>
      <c r="AJ196" s="2" t="str">
        <f>IF([1]IMM!N195="","",[1]IMM!N195)</f>
        <v/>
      </c>
      <c r="AK196" s="16" t="str">
        <f t="shared" ref="AK196:AK259" si="32">LEFT(AJ196,2)</f>
        <v/>
      </c>
      <c r="AL196" s="16" t="str">
        <f t="shared" ref="AL196:AL259" si="33">MID(AJ196,4,2)</f>
        <v/>
      </c>
      <c r="AM196" s="2" t="str">
        <f t="shared" ref="AM196:AM259" si="34">RIGHT(AJ196,4)</f>
        <v/>
      </c>
      <c r="AN196" s="16" t="str">
        <f t="shared" ref="AN196:AN259" si="35">IFERROR(DATE(AM196,AK196,AL196),"")</f>
        <v/>
      </c>
    </row>
    <row r="197" spans="4:40">
      <c r="D197" s="13" t="e">
        <f>#REF!</f>
        <v>#REF!</v>
      </c>
      <c r="G197" s="17" t="s">
        <v>1731</v>
      </c>
      <c r="H197" s="3" t="s">
        <v>583</v>
      </c>
      <c r="I197" s="3" t="s">
        <v>1777</v>
      </c>
      <c r="L197" s="2" t="s">
        <v>1778</v>
      </c>
      <c r="M197" s="2" t="s">
        <v>1779</v>
      </c>
      <c r="N197" s="18" t="s">
        <v>1780</v>
      </c>
      <c r="R197" s="2" t="str">
        <f>IF(ISERROR(VLOOKUP([1]IMM!F196,Table8[[#All],[Column2]:[Column3]],2,FALSE)),"",(VLOOKUP([1]IMM!F196,Table8[[#All],[Column2]:[Column3]],2,FALSE)))</f>
        <v/>
      </c>
      <c r="U197" s="2" t="str">
        <f>IF([1]IMM!P196="","",[1]IMM!P196)</f>
        <v/>
      </c>
      <c r="V197" s="2" t="str">
        <f t="shared" si="27"/>
        <v/>
      </c>
      <c r="W197" s="2" t="str">
        <f t="shared" si="28"/>
        <v/>
      </c>
      <c r="X197" s="2" t="str">
        <f t="shared" si="29"/>
        <v/>
      </c>
      <c r="Y197" s="16" t="str">
        <f t="shared" si="30"/>
        <v/>
      </c>
      <c r="Z197" s="16"/>
      <c r="AE197" s="3" t="str">
        <f>[1]Country!E196</f>
        <v>SA</v>
      </c>
      <c r="AF197" s="3" t="str">
        <f>[1]Country!C196</f>
        <v>Saudi Arabia</v>
      </c>
      <c r="AH197" s="3" t="str">
        <f t="shared" si="31"/>
        <v>SAU</v>
      </c>
      <c r="AJ197" s="2" t="str">
        <f>IF([1]IMM!N196="","",[1]IMM!N196)</f>
        <v/>
      </c>
      <c r="AK197" s="16" t="str">
        <f t="shared" si="32"/>
        <v/>
      </c>
      <c r="AL197" s="16" t="str">
        <f t="shared" si="33"/>
        <v/>
      </c>
      <c r="AM197" s="2" t="str">
        <f t="shared" si="34"/>
        <v/>
      </c>
      <c r="AN197" s="16" t="str">
        <f t="shared" si="35"/>
        <v/>
      </c>
    </row>
    <row r="198" spans="4:40">
      <c r="D198" s="13" t="e">
        <f>#REF!</f>
        <v>#REF!</v>
      </c>
      <c r="G198" s="17" t="s">
        <v>1735</v>
      </c>
      <c r="H198" s="3" t="s">
        <v>1781</v>
      </c>
      <c r="I198" s="3" t="s">
        <v>1782</v>
      </c>
      <c r="L198" s="2" t="s">
        <v>1783</v>
      </c>
      <c r="M198" s="2" t="s">
        <v>1117</v>
      </c>
      <c r="N198" s="18"/>
      <c r="R198" s="2" t="str">
        <f>IF(ISERROR(VLOOKUP([1]IMM!F197,Table8[[#All],[Column2]:[Column3]],2,FALSE)),"",(VLOOKUP([1]IMM!F197,Table8[[#All],[Column2]:[Column3]],2,FALSE)))</f>
        <v/>
      </c>
      <c r="U198" s="2" t="str">
        <f>IF([1]IMM!P197="","",[1]IMM!P197)</f>
        <v/>
      </c>
      <c r="V198" s="2" t="str">
        <f t="shared" si="27"/>
        <v/>
      </c>
      <c r="W198" s="2" t="str">
        <f t="shared" si="28"/>
        <v/>
      </c>
      <c r="X198" s="2" t="str">
        <f t="shared" si="29"/>
        <v/>
      </c>
      <c r="Y198" s="16" t="str">
        <f t="shared" si="30"/>
        <v/>
      </c>
      <c r="Z198" s="16"/>
      <c r="AE198" s="3" t="str">
        <f>[1]Country!E197</f>
        <v>SN</v>
      </c>
      <c r="AF198" s="3" t="str">
        <f>[1]Country!C197</f>
        <v>Senegal</v>
      </c>
      <c r="AH198" s="3" t="str">
        <f t="shared" si="31"/>
        <v/>
      </c>
      <c r="AJ198" s="2" t="str">
        <f>IF([1]IMM!N197="","",[1]IMM!N197)</f>
        <v/>
      </c>
      <c r="AK198" s="16" t="str">
        <f t="shared" si="32"/>
        <v/>
      </c>
      <c r="AL198" s="16" t="str">
        <f t="shared" si="33"/>
        <v/>
      </c>
      <c r="AM198" s="2" t="str">
        <f t="shared" si="34"/>
        <v/>
      </c>
      <c r="AN198" s="16" t="str">
        <f t="shared" si="35"/>
        <v/>
      </c>
    </row>
    <row r="199" spans="4:40">
      <c r="D199" s="13" t="e">
        <f>#REF!</f>
        <v>#REF!</v>
      </c>
      <c r="G199" s="17" t="s">
        <v>1740</v>
      </c>
      <c r="H199" s="3" t="s">
        <v>1784</v>
      </c>
      <c r="I199" s="3" t="s">
        <v>1785</v>
      </c>
      <c r="L199" s="2" t="s">
        <v>1786</v>
      </c>
      <c r="M199" s="2" t="s">
        <v>1787</v>
      </c>
      <c r="N199" s="18" t="s">
        <v>1788</v>
      </c>
      <c r="R199" s="2" t="str">
        <f>IF(ISERROR(VLOOKUP([1]IMM!F198,Table8[[#All],[Column2]:[Column3]],2,FALSE)),"",(VLOOKUP([1]IMM!F198,Table8[[#All],[Column2]:[Column3]],2,FALSE)))</f>
        <v/>
      </c>
      <c r="U199" s="2" t="str">
        <f>IF([1]IMM!P198="","",[1]IMM!P198)</f>
        <v/>
      </c>
      <c r="V199" s="2" t="str">
        <f t="shared" si="27"/>
        <v/>
      </c>
      <c r="W199" s="2" t="str">
        <f t="shared" si="28"/>
        <v/>
      </c>
      <c r="X199" s="2" t="str">
        <f t="shared" si="29"/>
        <v/>
      </c>
      <c r="Y199" s="16" t="str">
        <f t="shared" si="30"/>
        <v/>
      </c>
      <c r="Z199" s="16"/>
      <c r="AE199" s="3" t="str">
        <f>[1]Country!E198</f>
        <v>RS</v>
      </c>
      <c r="AF199" s="3" t="str">
        <f>[1]Country!C198</f>
        <v>Serbia</v>
      </c>
      <c r="AH199" s="3" t="str">
        <f t="shared" si="31"/>
        <v>SRB</v>
      </c>
      <c r="AJ199" s="2" t="str">
        <f>IF([1]IMM!N198="","",[1]IMM!N198)</f>
        <v/>
      </c>
      <c r="AK199" s="16" t="str">
        <f t="shared" si="32"/>
        <v/>
      </c>
      <c r="AL199" s="16" t="str">
        <f t="shared" si="33"/>
        <v/>
      </c>
      <c r="AM199" s="2" t="str">
        <f t="shared" si="34"/>
        <v/>
      </c>
      <c r="AN199" s="16" t="str">
        <f t="shared" si="35"/>
        <v/>
      </c>
    </row>
    <row r="200" spans="4:40">
      <c r="D200" s="13" t="e">
        <f>#REF!</f>
        <v>#REF!</v>
      </c>
      <c r="G200" s="17" t="s">
        <v>1789</v>
      </c>
      <c r="H200" s="3" t="s">
        <v>592</v>
      </c>
      <c r="I200" s="3" t="s">
        <v>593</v>
      </c>
      <c r="L200" s="2" t="s">
        <v>1790</v>
      </c>
      <c r="M200" s="2" t="s">
        <v>1791</v>
      </c>
      <c r="N200" s="18" t="s">
        <v>1792</v>
      </c>
      <c r="R200" s="2" t="str">
        <f>IF(ISERROR(VLOOKUP([1]IMM!F199,Table8[[#All],[Column2]:[Column3]],2,FALSE)),"",(VLOOKUP([1]IMM!F199,Table8[[#All],[Column2]:[Column3]],2,FALSE)))</f>
        <v/>
      </c>
      <c r="U200" s="2" t="str">
        <f>IF([1]IMM!P199="","",[1]IMM!P199)</f>
        <v/>
      </c>
      <c r="V200" s="2" t="str">
        <f t="shared" si="27"/>
        <v/>
      </c>
      <c r="W200" s="2" t="str">
        <f t="shared" si="28"/>
        <v/>
      </c>
      <c r="X200" s="2" t="str">
        <f t="shared" si="29"/>
        <v/>
      </c>
      <c r="Y200" s="16" t="str">
        <f t="shared" si="30"/>
        <v/>
      </c>
      <c r="Z200" s="16"/>
      <c r="AE200" s="3" t="str">
        <f>[1]Country!E199</f>
        <v>SC</v>
      </c>
      <c r="AF200" s="3" t="str">
        <f>[1]Country!C199</f>
        <v>Seychelles</v>
      </c>
      <c r="AH200" s="3" t="str">
        <f t="shared" si="31"/>
        <v/>
      </c>
      <c r="AJ200" s="2" t="str">
        <f>IF([1]IMM!N199="","",[1]IMM!N199)</f>
        <v/>
      </c>
      <c r="AK200" s="16" t="str">
        <f t="shared" si="32"/>
        <v/>
      </c>
      <c r="AL200" s="16" t="str">
        <f t="shared" si="33"/>
        <v/>
      </c>
      <c r="AM200" s="2" t="str">
        <f t="shared" si="34"/>
        <v/>
      </c>
      <c r="AN200" s="16" t="str">
        <f t="shared" si="35"/>
        <v/>
      </c>
    </row>
    <row r="201" spans="4:40">
      <c r="D201" s="13" t="e">
        <f>#REF!</f>
        <v>#REF!</v>
      </c>
      <c r="G201" s="17" t="s">
        <v>1776</v>
      </c>
      <c r="H201" s="3" t="s">
        <v>1793</v>
      </c>
      <c r="I201" s="3" t="s">
        <v>1794</v>
      </c>
      <c r="L201" s="2" t="s">
        <v>1795</v>
      </c>
      <c r="M201" s="2" t="s">
        <v>1134</v>
      </c>
      <c r="N201" s="18" t="s">
        <v>1796</v>
      </c>
      <c r="R201" s="2" t="str">
        <f>IF(ISERROR(VLOOKUP([1]IMM!F200,Table8[[#All],[Column2]:[Column3]],2,FALSE)),"",(VLOOKUP([1]IMM!F200,Table8[[#All],[Column2]:[Column3]],2,FALSE)))</f>
        <v/>
      </c>
      <c r="U201" s="2" t="str">
        <f>IF([1]IMM!P200="","",[1]IMM!P200)</f>
        <v/>
      </c>
      <c r="V201" s="2" t="str">
        <f t="shared" si="27"/>
        <v/>
      </c>
      <c r="W201" s="2" t="str">
        <f t="shared" si="28"/>
        <v/>
      </c>
      <c r="X201" s="2" t="str">
        <f t="shared" si="29"/>
        <v/>
      </c>
      <c r="Y201" s="16" t="str">
        <f t="shared" si="30"/>
        <v/>
      </c>
      <c r="Z201" s="16"/>
      <c r="AE201" s="3" t="str">
        <f>[1]Country!E200</f>
        <v>SL</v>
      </c>
      <c r="AF201" s="3" t="str">
        <f>[1]Country!C200</f>
        <v>Sierra Leone</v>
      </c>
      <c r="AH201" s="3" t="str">
        <f t="shared" si="31"/>
        <v/>
      </c>
      <c r="AJ201" s="2" t="str">
        <f>IF([1]IMM!N200="","",[1]IMM!N200)</f>
        <v/>
      </c>
      <c r="AK201" s="16" t="str">
        <f t="shared" si="32"/>
        <v/>
      </c>
      <c r="AL201" s="16" t="str">
        <f t="shared" si="33"/>
        <v/>
      </c>
      <c r="AM201" s="2" t="str">
        <f t="shared" si="34"/>
        <v/>
      </c>
      <c r="AN201" s="16" t="str">
        <f t="shared" si="35"/>
        <v/>
      </c>
    </row>
    <row r="202" spans="4:40">
      <c r="D202" s="13" t="e">
        <f>#REF!</f>
        <v>#REF!</v>
      </c>
      <c r="G202" s="17" t="s">
        <v>1773</v>
      </c>
      <c r="H202" s="3" t="s">
        <v>1797</v>
      </c>
      <c r="I202" s="3" t="s">
        <v>1798</v>
      </c>
      <c r="L202" s="2" t="s">
        <v>1799</v>
      </c>
      <c r="M202" s="2" t="s">
        <v>1800</v>
      </c>
      <c r="N202" s="18"/>
      <c r="R202" s="2" t="str">
        <f>IF(ISERROR(VLOOKUP([1]IMM!F201,Table8[[#All],[Column2]:[Column3]],2,FALSE)),"",(VLOOKUP([1]IMM!F201,Table8[[#All],[Column2]:[Column3]],2,FALSE)))</f>
        <v/>
      </c>
      <c r="U202" s="2" t="str">
        <f>IF([1]IMM!P201="","",[1]IMM!P201)</f>
        <v/>
      </c>
      <c r="V202" s="2" t="str">
        <f t="shared" si="27"/>
        <v/>
      </c>
      <c r="W202" s="2" t="str">
        <f t="shared" si="28"/>
        <v/>
      </c>
      <c r="X202" s="2" t="str">
        <f t="shared" si="29"/>
        <v/>
      </c>
      <c r="Y202" s="16" t="str">
        <f t="shared" si="30"/>
        <v/>
      </c>
      <c r="Z202" s="16"/>
      <c r="AE202" s="3" t="str">
        <f>[1]Country!E201</f>
        <v>SG</v>
      </c>
      <c r="AF202" s="3" t="str">
        <f>[1]Country!C201</f>
        <v>Singapore</v>
      </c>
      <c r="AH202" s="3" t="str">
        <f t="shared" si="31"/>
        <v>SGP</v>
      </c>
      <c r="AJ202" s="2" t="str">
        <f>IF([1]IMM!N201="","",[1]IMM!N201)</f>
        <v/>
      </c>
      <c r="AK202" s="16" t="str">
        <f t="shared" si="32"/>
        <v/>
      </c>
      <c r="AL202" s="16" t="str">
        <f t="shared" si="33"/>
        <v/>
      </c>
      <c r="AM202" s="2" t="str">
        <f t="shared" si="34"/>
        <v/>
      </c>
      <c r="AN202" s="16" t="str">
        <f t="shared" si="35"/>
        <v/>
      </c>
    </row>
    <row r="203" spans="4:40">
      <c r="D203" s="13" t="e">
        <f>#REF!</f>
        <v>#REF!</v>
      </c>
      <c r="G203" s="17" t="s">
        <v>1801</v>
      </c>
      <c r="H203" s="3" t="s">
        <v>1802</v>
      </c>
      <c r="I203" s="3" t="s">
        <v>1803</v>
      </c>
      <c r="L203" s="2" t="s">
        <v>1804</v>
      </c>
      <c r="M203" s="2" t="s">
        <v>1266</v>
      </c>
      <c r="N203" s="18" t="s">
        <v>1805</v>
      </c>
      <c r="R203" s="2" t="str">
        <f>IF(ISERROR(VLOOKUP([1]IMM!F202,Table8[[#All],[Column2]:[Column3]],2,FALSE)),"",(VLOOKUP([1]IMM!F202,Table8[[#All],[Column2]:[Column3]],2,FALSE)))</f>
        <v/>
      </c>
      <c r="U203" s="2" t="str">
        <f>IF([1]IMM!P202="","",[1]IMM!P202)</f>
        <v/>
      </c>
      <c r="V203" s="2" t="str">
        <f t="shared" si="27"/>
        <v/>
      </c>
      <c r="W203" s="2" t="str">
        <f t="shared" si="28"/>
        <v/>
      </c>
      <c r="X203" s="2" t="str">
        <f t="shared" si="29"/>
        <v/>
      </c>
      <c r="Y203" s="16" t="str">
        <f t="shared" si="30"/>
        <v/>
      </c>
      <c r="Z203" s="16"/>
      <c r="AE203" s="3" t="str">
        <f>[1]Country!E202</f>
        <v>SX</v>
      </c>
      <c r="AF203" s="3" t="str">
        <f>[1]Country!C202</f>
        <v>Sint Maarten</v>
      </c>
      <c r="AH203" s="3" t="str">
        <f t="shared" si="31"/>
        <v/>
      </c>
      <c r="AJ203" s="2" t="str">
        <f>IF([1]IMM!N202="","",[1]IMM!N202)</f>
        <v/>
      </c>
      <c r="AK203" s="16" t="str">
        <f t="shared" si="32"/>
        <v/>
      </c>
      <c r="AL203" s="16" t="str">
        <f t="shared" si="33"/>
        <v/>
      </c>
      <c r="AM203" s="2" t="str">
        <f t="shared" si="34"/>
        <v/>
      </c>
      <c r="AN203" s="16" t="str">
        <f t="shared" si="35"/>
        <v/>
      </c>
    </row>
    <row r="204" spans="4:40">
      <c r="D204" s="13" t="e">
        <f>#REF!</f>
        <v>#REF!</v>
      </c>
      <c r="G204" s="17" t="s">
        <v>1780</v>
      </c>
      <c r="H204" s="3" t="s">
        <v>1806</v>
      </c>
      <c r="I204" s="3" t="s">
        <v>1807</v>
      </c>
      <c r="L204" s="2" t="s">
        <v>1808</v>
      </c>
      <c r="M204" s="2" t="s">
        <v>1272</v>
      </c>
      <c r="N204" s="18" t="s">
        <v>1809</v>
      </c>
      <c r="R204" s="2" t="str">
        <f>IF(ISERROR(VLOOKUP([1]IMM!F203,Table8[[#All],[Column2]:[Column3]],2,FALSE)),"",(VLOOKUP([1]IMM!F203,Table8[[#All],[Column2]:[Column3]],2,FALSE)))</f>
        <v/>
      </c>
      <c r="U204" s="2" t="str">
        <f>IF([1]IMM!P203="","",[1]IMM!P203)</f>
        <v/>
      </c>
      <c r="V204" s="2" t="str">
        <f t="shared" si="27"/>
        <v/>
      </c>
      <c r="W204" s="2" t="str">
        <f t="shared" si="28"/>
        <v/>
      </c>
      <c r="X204" s="2" t="str">
        <f t="shared" si="29"/>
        <v/>
      </c>
      <c r="Y204" s="16" t="str">
        <f t="shared" si="30"/>
        <v/>
      </c>
      <c r="Z204" s="16"/>
      <c r="AE204" s="3" t="str">
        <f>[1]Country!E203</f>
        <v>SK</v>
      </c>
      <c r="AF204" s="3" t="str">
        <f>[1]Country!C203</f>
        <v>Slovakia</v>
      </c>
      <c r="AH204" s="3" t="str">
        <f t="shared" si="31"/>
        <v>SVK</v>
      </c>
      <c r="AJ204" s="2" t="str">
        <f>IF([1]IMM!N203="","",[1]IMM!N203)</f>
        <v/>
      </c>
      <c r="AK204" s="16" t="str">
        <f t="shared" si="32"/>
        <v/>
      </c>
      <c r="AL204" s="16" t="str">
        <f t="shared" si="33"/>
        <v/>
      </c>
      <c r="AM204" s="2" t="str">
        <f t="shared" si="34"/>
        <v/>
      </c>
      <c r="AN204" s="16" t="str">
        <f t="shared" si="35"/>
        <v/>
      </c>
    </row>
    <row r="205" spans="4:40">
      <c r="D205" s="13" t="e">
        <f>#REF!</f>
        <v>#REF!</v>
      </c>
      <c r="G205" s="17" t="s">
        <v>1792</v>
      </c>
      <c r="H205" s="3" t="s">
        <v>1810</v>
      </c>
      <c r="I205" s="3" t="s">
        <v>1811</v>
      </c>
      <c r="L205" s="2" t="s">
        <v>1812</v>
      </c>
      <c r="M205" s="2" t="s">
        <v>1813</v>
      </c>
      <c r="N205" s="18" t="s">
        <v>1789</v>
      </c>
      <c r="R205" s="2" t="str">
        <f>IF(ISERROR(VLOOKUP([1]IMM!F204,Table8[[#All],[Column2]:[Column3]],2,FALSE)),"",(VLOOKUP([1]IMM!F204,Table8[[#All],[Column2]:[Column3]],2,FALSE)))</f>
        <v/>
      </c>
      <c r="U205" s="2" t="str">
        <f>IF([1]IMM!P204="","",[1]IMM!P204)</f>
        <v/>
      </c>
      <c r="V205" s="2" t="str">
        <f t="shared" si="27"/>
        <v/>
      </c>
      <c r="W205" s="2" t="str">
        <f t="shared" si="28"/>
        <v/>
      </c>
      <c r="X205" s="2" t="str">
        <f t="shared" si="29"/>
        <v/>
      </c>
      <c r="Y205" s="16" t="str">
        <f t="shared" si="30"/>
        <v/>
      </c>
      <c r="Z205" s="16"/>
      <c r="AE205" s="3" t="str">
        <f>[1]Country!E204</f>
        <v>SI</v>
      </c>
      <c r="AF205" s="3" t="str">
        <f>[1]Country!C204</f>
        <v>Slovenia</v>
      </c>
      <c r="AH205" s="3" t="str">
        <f t="shared" si="31"/>
        <v>SVN</v>
      </c>
      <c r="AJ205" s="2" t="str">
        <f>IF([1]IMM!N204="","",[1]IMM!N204)</f>
        <v/>
      </c>
      <c r="AK205" s="16" t="str">
        <f t="shared" si="32"/>
        <v/>
      </c>
      <c r="AL205" s="16" t="str">
        <f t="shared" si="33"/>
        <v/>
      </c>
      <c r="AM205" s="2" t="str">
        <f t="shared" si="34"/>
        <v/>
      </c>
      <c r="AN205" s="16" t="str">
        <f t="shared" si="35"/>
        <v/>
      </c>
    </row>
    <row r="206" spans="4:40">
      <c r="D206" s="13" t="e">
        <f>#REF!</f>
        <v>#REF!</v>
      </c>
      <c r="G206" s="17" t="s">
        <v>1796</v>
      </c>
      <c r="H206" s="3" t="s">
        <v>1814</v>
      </c>
      <c r="I206" s="3" t="s">
        <v>1815</v>
      </c>
      <c r="L206" s="2" t="s">
        <v>1816</v>
      </c>
      <c r="M206" s="2" t="s">
        <v>1817</v>
      </c>
      <c r="N206" s="18" t="s">
        <v>1818</v>
      </c>
      <c r="R206" s="2" t="str">
        <f>IF(ISERROR(VLOOKUP([1]IMM!F205,Table8[[#All],[Column2]:[Column3]],2,FALSE)),"",(VLOOKUP([1]IMM!F205,Table8[[#All],[Column2]:[Column3]],2,FALSE)))</f>
        <v/>
      </c>
      <c r="U206" s="2" t="str">
        <f>IF([1]IMM!P205="","",[1]IMM!P205)</f>
        <v/>
      </c>
      <c r="V206" s="2" t="str">
        <f t="shared" si="27"/>
        <v/>
      </c>
      <c r="W206" s="2" t="str">
        <f t="shared" si="28"/>
        <v/>
      </c>
      <c r="X206" s="2" t="str">
        <f t="shared" si="29"/>
        <v/>
      </c>
      <c r="Y206" s="16" t="str">
        <f t="shared" si="30"/>
        <v/>
      </c>
      <c r="Z206" s="16"/>
      <c r="AE206" s="3" t="str">
        <f>[1]Country!E205</f>
        <v>SB</v>
      </c>
      <c r="AF206" s="3" t="str">
        <f>[1]Country!C205</f>
        <v>Solomon Islands</v>
      </c>
      <c r="AH206" s="3" t="str">
        <f t="shared" si="31"/>
        <v/>
      </c>
      <c r="AJ206" s="2" t="str">
        <f>IF([1]IMM!N205="","",[1]IMM!N205)</f>
        <v/>
      </c>
      <c r="AK206" s="16" t="str">
        <f t="shared" si="32"/>
        <v/>
      </c>
      <c r="AL206" s="16" t="str">
        <f t="shared" si="33"/>
        <v/>
      </c>
      <c r="AM206" s="2" t="str">
        <f t="shared" si="34"/>
        <v/>
      </c>
      <c r="AN206" s="16" t="str">
        <f t="shared" si="35"/>
        <v/>
      </c>
    </row>
    <row r="207" spans="4:40">
      <c r="D207" s="13" t="e">
        <f>#REF!</f>
        <v>#REF!</v>
      </c>
      <c r="G207" s="17" t="s">
        <v>1818</v>
      </c>
      <c r="H207" s="3" t="s">
        <v>1819</v>
      </c>
      <c r="I207" s="3" t="s">
        <v>1820</v>
      </c>
      <c r="L207" s="2" t="s">
        <v>1821</v>
      </c>
      <c r="M207" s="2" t="s">
        <v>1140</v>
      </c>
      <c r="N207" s="18" t="s">
        <v>1822</v>
      </c>
      <c r="R207" s="2" t="str">
        <f>IF(ISERROR(VLOOKUP([1]IMM!F206,Table8[[#All],[Column2]:[Column3]],2,FALSE)),"",(VLOOKUP([1]IMM!F206,Table8[[#All],[Column2]:[Column3]],2,FALSE)))</f>
        <v/>
      </c>
      <c r="U207" s="2" t="str">
        <f>IF([1]IMM!P206="","",[1]IMM!P206)</f>
        <v/>
      </c>
      <c r="V207" s="2" t="str">
        <f t="shared" si="27"/>
        <v/>
      </c>
      <c r="W207" s="2" t="str">
        <f t="shared" si="28"/>
        <v/>
      </c>
      <c r="X207" s="2" t="str">
        <f t="shared" si="29"/>
        <v/>
      </c>
      <c r="Y207" s="16" t="str">
        <f t="shared" si="30"/>
        <v/>
      </c>
      <c r="Z207" s="16"/>
      <c r="AE207" s="3" t="str">
        <f>[1]Country!E206</f>
        <v>SO</v>
      </c>
      <c r="AF207" s="3" t="str">
        <f>[1]Country!C206</f>
        <v>Somalia</v>
      </c>
      <c r="AH207" s="3" t="str">
        <f t="shared" si="31"/>
        <v/>
      </c>
      <c r="AJ207" s="2" t="str">
        <f>IF([1]IMM!N206="","",[1]IMM!N206)</f>
        <v/>
      </c>
      <c r="AK207" s="16" t="str">
        <f t="shared" si="32"/>
        <v/>
      </c>
      <c r="AL207" s="16" t="str">
        <f t="shared" si="33"/>
        <v/>
      </c>
      <c r="AM207" s="2" t="str">
        <f t="shared" si="34"/>
        <v/>
      </c>
      <c r="AN207" s="16" t="str">
        <f t="shared" si="35"/>
        <v/>
      </c>
    </row>
    <row r="208" spans="4:40">
      <c r="D208" s="13" t="e">
        <f>#REF!</f>
        <v>#REF!</v>
      </c>
      <c r="G208" s="17" t="s">
        <v>1822</v>
      </c>
      <c r="H208" s="3" t="s">
        <v>1823</v>
      </c>
      <c r="I208" s="3" t="s">
        <v>1824</v>
      </c>
      <c r="L208" s="2" t="s">
        <v>1825</v>
      </c>
      <c r="M208" s="2" t="s">
        <v>1826</v>
      </c>
      <c r="N208" s="18" t="s">
        <v>1827</v>
      </c>
      <c r="R208" s="2" t="str">
        <f>IF(ISERROR(VLOOKUP([1]IMM!F207,Table8[[#All],[Column2]:[Column3]],2,FALSE)),"",(VLOOKUP([1]IMM!F207,Table8[[#All],[Column2]:[Column3]],2,FALSE)))</f>
        <v/>
      </c>
      <c r="U208" s="2" t="str">
        <f>IF([1]IMM!P207="","",[1]IMM!P207)</f>
        <v/>
      </c>
      <c r="V208" s="2" t="str">
        <f t="shared" si="27"/>
        <v/>
      </c>
      <c r="W208" s="2" t="str">
        <f t="shared" si="28"/>
        <v/>
      </c>
      <c r="X208" s="2" t="str">
        <f t="shared" si="29"/>
        <v/>
      </c>
      <c r="Y208" s="16" t="str">
        <f t="shared" si="30"/>
        <v/>
      </c>
      <c r="Z208" s="16"/>
      <c r="AE208" s="3" t="str">
        <f>[1]Country!E207</f>
        <v>ZA</v>
      </c>
      <c r="AF208" s="3" t="str">
        <f>[1]Country!C207</f>
        <v>South Africa</v>
      </c>
      <c r="AH208" s="3" t="str">
        <f t="shared" si="31"/>
        <v>ZAF</v>
      </c>
      <c r="AJ208" s="2" t="str">
        <f>IF([1]IMM!N207="","",[1]IMM!N207)</f>
        <v/>
      </c>
      <c r="AK208" s="16" t="str">
        <f t="shared" si="32"/>
        <v/>
      </c>
      <c r="AL208" s="16" t="str">
        <f t="shared" si="33"/>
        <v/>
      </c>
      <c r="AM208" s="2" t="str">
        <f t="shared" si="34"/>
        <v/>
      </c>
      <c r="AN208" s="16" t="str">
        <f t="shared" si="35"/>
        <v/>
      </c>
    </row>
    <row r="209" spans="4:40">
      <c r="D209" s="13" t="e">
        <f>#REF!</f>
        <v>#REF!</v>
      </c>
      <c r="G209" s="17" t="s">
        <v>1828</v>
      </c>
      <c r="H209" s="3" t="s">
        <v>1829</v>
      </c>
      <c r="I209" s="3" t="s">
        <v>1830</v>
      </c>
      <c r="L209" s="2" t="s">
        <v>1831</v>
      </c>
      <c r="M209" s="2" t="s">
        <v>1832</v>
      </c>
      <c r="N209" s="18"/>
      <c r="R209" s="2" t="str">
        <f>IF(ISERROR(VLOOKUP([1]IMM!F208,Table8[[#All],[Column2]:[Column3]],2,FALSE)),"",(VLOOKUP([1]IMM!F208,Table8[[#All],[Column2]:[Column3]],2,FALSE)))</f>
        <v/>
      </c>
      <c r="U209" s="2" t="str">
        <f>IF([1]IMM!P208="","",[1]IMM!P208)</f>
        <v/>
      </c>
      <c r="V209" s="2" t="str">
        <f t="shared" si="27"/>
        <v/>
      </c>
      <c r="W209" s="2" t="str">
        <f t="shared" si="28"/>
        <v/>
      </c>
      <c r="X209" s="2" t="str">
        <f t="shared" si="29"/>
        <v/>
      </c>
      <c r="Y209" s="16" t="str">
        <f t="shared" si="30"/>
        <v/>
      </c>
      <c r="Z209" s="16"/>
      <c r="AE209" s="3" t="str">
        <f>[1]Country!E208</f>
        <v>GS</v>
      </c>
      <c r="AF209" s="3" t="str">
        <f>[1]Country!C208</f>
        <v>South Georgia and the South Sandwich Islands</v>
      </c>
      <c r="AH209" s="3" t="str">
        <f t="shared" si="31"/>
        <v/>
      </c>
      <c r="AJ209" s="2" t="str">
        <f>IF([1]IMM!N208="","",[1]IMM!N208)</f>
        <v/>
      </c>
      <c r="AK209" s="16" t="str">
        <f t="shared" si="32"/>
        <v/>
      </c>
      <c r="AL209" s="16" t="str">
        <f t="shared" si="33"/>
        <v/>
      </c>
      <c r="AM209" s="2" t="str">
        <f t="shared" si="34"/>
        <v/>
      </c>
      <c r="AN209" s="16" t="str">
        <f t="shared" si="35"/>
        <v/>
      </c>
    </row>
    <row r="210" spans="4:40">
      <c r="D210" s="13" t="e">
        <f>#REF!</f>
        <v>#REF!</v>
      </c>
      <c r="G210" s="17" t="s">
        <v>621</v>
      </c>
      <c r="H210" s="3" t="s">
        <v>622</v>
      </c>
      <c r="I210" s="3" t="s">
        <v>623</v>
      </c>
      <c r="L210" s="2" t="s">
        <v>1833</v>
      </c>
      <c r="M210" s="2" t="s">
        <v>1146</v>
      </c>
      <c r="N210" s="18" t="s">
        <v>1828</v>
      </c>
      <c r="R210" s="2" t="str">
        <f>IF(ISERROR(VLOOKUP([1]IMM!F209,Table8[[#All],[Column2]:[Column3]],2,FALSE)),"",(VLOOKUP([1]IMM!F209,Table8[[#All],[Column2]:[Column3]],2,FALSE)))</f>
        <v/>
      </c>
      <c r="U210" s="2" t="str">
        <f>IF([1]IMM!P209="","",[1]IMM!P209)</f>
        <v/>
      </c>
      <c r="V210" s="2" t="str">
        <f t="shared" si="27"/>
        <v/>
      </c>
      <c r="W210" s="2" t="str">
        <f t="shared" si="28"/>
        <v/>
      </c>
      <c r="X210" s="2" t="str">
        <f t="shared" si="29"/>
        <v/>
      </c>
      <c r="Y210" s="16" t="str">
        <f t="shared" si="30"/>
        <v/>
      </c>
      <c r="Z210" s="16"/>
      <c r="AE210" s="3" t="str">
        <f>[1]Country!E209</f>
        <v>SS</v>
      </c>
      <c r="AF210" s="3" t="str">
        <f>[1]Country!C209</f>
        <v>South Sudan</v>
      </c>
      <c r="AH210" s="3" t="str">
        <f t="shared" si="31"/>
        <v/>
      </c>
      <c r="AJ210" s="2" t="str">
        <f>IF([1]IMM!N209="","",[1]IMM!N209)</f>
        <v/>
      </c>
      <c r="AK210" s="16" t="str">
        <f t="shared" si="32"/>
        <v/>
      </c>
      <c r="AL210" s="16" t="str">
        <f t="shared" si="33"/>
        <v/>
      </c>
      <c r="AM210" s="2" t="str">
        <f t="shared" si="34"/>
        <v/>
      </c>
      <c r="AN210" s="16" t="str">
        <f t="shared" si="35"/>
        <v/>
      </c>
    </row>
    <row r="211" spans="4:40">
      <c r="D211" s="13" t="e">
        <f>#REF!</f>
        <v>#REF!</v>
      </c>
      <c r="G211" s="17" t="s">
        <v>1834</v>
      </c>
      <c r="H211" s="3" t="s">
        <v>1835</v>
      </c>
      <c r="I211" s="3" t="s">
        <v>1836</v>
      </c>
      <c r="L211" s="2" t="s">
        <v>1837</v>
      </c>
      <c r="M211" s="2" t="s">
        <v>1151</v>
      </c>
      <c r="N211" s="18" t="s">
        <v>1124</v>
      </c>
      <c r="R211" s="2" t="str">
        <f>IF(ISERROR(VLOOKUP([1]IMM!F210,Table8[[#All],[Column2]:[Column3]],2,FALSE)),"",(VLOOKUP([1]IMM!F210,Table8[[#All],[Column2]:[Column3]],2,FALSE)))</f>
        <v/>
      </c>
      <c r="U211" s="2" t="str">
        <f>IF([1]IMM!P210="","",[1]IMM!P210)</f>
        <v/>
      </c>
      <c r="V211" s="2" t="str">
        <f t="shared" si="27"/>
        <v/>
      </c>
      <c r="W211" s="2" t="str">
        <f t="shared" si="28"/>
        <v/>
      </c>
      <c r="X211" s="2" t="str">
        <f t="shared" si="29"/>
        <v/>
      </c>
      <c r="Y211" s="16" t="str">
        <f t="shared" si="30"/>
        <v/>
      </c>
      <c r="Z211" s="16"/>
      <c r="AE211" s="3" t="str">
        <f>[1]Country!E210</f>
        <v>ES</v>
      </c>
      <c r="AF211" s="3" t="str">
        <f>[1]Country!C210</f>
        <v>Spain</v>
      </c>
      <c r="AH211" s="3" t="str">
        <f t="shared" si="31"/>
        <v>ESP</v>
      </c>
      <c r="AJ211" s="2" t="str">
        <f>IF([1]IMM!N210="","",[1]IMM!N210)</f>
        <v/>
      </c>
      <c r="AK211" s="16" t="str">
        <f t="shared" si="32"/>
        <v/>
      </c>
      <c r="AL211" s="16" t="str">
        <f t="shared" si="33"/>
        <v/>
      </c>
      <c r="AM211" s="2" t="str">
        <f t="shared" si="34"/>
        <v/>
      </c>
      <c r="AN211" s="16" t="str">
        <f t="shared" si="35"/>
        <v/>
      </c>
    </row>
    <row r="212" spans="4:40">
      <c r="D212" s="13" t="e">
        <f>#REF!</f>
        <v>#REF!</v>
      </c>
      <c r="G212" s="17" t="s">
        <v>1838</v>
      </c>
      <c r="H212" s="3" t="s">
        <v>1839</v>
      </c>
      <c r="I212" s="3" t="s">
        <v>1840</v>
      </c>
      <c r="L212" s="2" t="s">
        <v>1841</v>
      </c>
      <c r="M212" s="2" t="s">
        <v>1842</v>
      </c>
      <c r="N212" s="18" t="s">
        <v>1834</v>
      </c>
      <c r="R212" s="2" t="str">
        <f>IF(ISERROR(VLOOKUP([1]IMM!F211,Table8[[#All],[Column2]:[Column3]],2,FALSE)),"",(VLOOKUP([1]IMM!F211,Table8[[#All],[Column2]:[Column3]],2,FALSE)))</f>
        <v/>
      </c>
      <c r="U212" s="2" t="str">
        <f>IF([1]IMM!P211="","",[1]IMM!P211)</f>
        <v/>
      </c>
      <c r="V212" s="2" t="str">
        <f t="shared" si="27"/>
        <v/>
      </c>
      <c r="W212" s="2" t="str">
        <f t="shared" si="28"/>
        <v/>
      </c>
      <c r="X212" s="2" t="str">
        <f t="shared" si="29"/>
        <v/>
      </c>
      <c r="Y212" s="16" t="str">
        <f t="shared" si="30"/>
        <v/>
      </c>
      <c r="Z212" s="16"/>
      <c r="AE212" s="3" t="str">
        <f>[1]Country!E211</f>
        <v>LK</v>
      </c>
      <c r="AF212" s="3" t="str">
        <f>[1]Country!C211</f>
        <v>Sri Lanka</v>
      </c>
      <c r="AH212" s="3" t="str">
        <f t="shared" si="31"/>
        <v>LKA</v>
      </c>
      <c r="AJ212" s="2" t="str">
        <f>IF([1]IMM!N211="","",[1]IMM!N211)</f>
        <v/>
      </c>
      <c r="AK212" s="16" t="str">
        <f t="shared" si="32"/>
        <v/>
      </c>
      <c r="AL212" s="16" t="str">
        <f t="shared" si="33"/>
        <v/>
      </c>
      <c r="AM212" s="2" t="str">
        <f t="shared" si="34"/>
        <v/>
      </c>
      <c r="AN212" s="16" t="str">
        <f t="shared" si="35"/>
        <v/>
      </c>
    </row>
    <row r="213" spans="4:40">
      <c r="D213" s="13" t="e">
        <f>#REF!</f>
        <v>#REF!</v>
      </c>
      <c r="G213" s="17" t="s">
        <v>1843</v>
      </c>
      <c r="H213" s="3" t="s">
        <v>1844</v>
      </c>
      <c r="I213" s="3" t="s">
        <v>1845</v>
      </c>
      <c r="L213" s="2" t="s">
        <v>1846</v>
      </c>
      <c r="M213" s="2" t="s">
        <v>1322</v>
      </c>
      <c r="N213" s="18" t="s">
        <v>1838</v>
      </c>
      <c r="R213" s="2" t="str">
        <f>IF(ISERROR(VLOOKUP([1]IMM!F212,Table8[[#All],[Column2]:[Column3]],2,FALSE)),"",(VLOOKUP([1]IMM!F212,Table8[[#All],[Column2]:[Column3]],2,FALSE)))</f>
        <v/>
      </c>
      <c r="U213" s="2" t="str">
        <f>IF([1]IMM!P212="","",[1]IMM!P212)</f>
        <v/>
      </c>
      <c r="V213" s="2" t="str">
        <f t="shared" si="27"/>
        <v/>
      </c>
      <c r="W213" s="2" t="str">
        <f t="shared" si="28"/>
        <v/>
      </c>
      <c r="X213" s="2" t="str">
        <f t="shared" si="29"/>
        <v/>
      </c>
      <c r="Y213" s="16" t="str">
        <f t="shared" si="30"/>
        <v/>
      </c>
      <c r="Z213" s="16"/>
      <c r="AE213" s="3" t="str">
        <f>[1]Country!E212</f>
        <v>SD</v>
      </c>
      <c r="AF213" s="3" t="str">
        <f>[1]Country!C212</f>
        <v>Sudan</v>
      </c>
      <c r="AH213" s="3" t="str">
        <f t="shared" si="31"/>
        <v/>
      </c>
      <c r="AJ213" s="2" t="str">
        <f>IF([1]IMM!N212="","",[1]IMM!N212)</f>
        <v/>
      </c>
      <c r="AK213" s="16" t="str">
        <f t="shared" si="32"/>
        <v/>
      </c>
      <c r="AL213" s="16" t="str">
        <f t="shared" si="33"/>
        <v/>
      </c>
      <c r="AM213" s="2" t="str">
        <f t="shared" si="34"/>
        <v/>
      </c>
      <c r="AN213" s="16" t="str">
        <f t="shared" si="35"/>
        <v/>
      </c>
    </row>
    <row r="214" spans="4:40">
      <c r="D214" s="13" t="e">
        <f>#REF!</f>
        <v>#REF!</v>
      </c>
      <c r="G214" s="17" t="s">
        <v>1847</v>
      </c>
      <c r="H214" s="3" t="s">
        <v>1848</v>
      </c>
      <c r="I214" s="3" t="s">
        <v>1849</v>
      </c>
      <c r="L214" s="2" t="s">
        <v>1850</v>
      </c>
      <c r="M214" s="2" t="s">
        <v>1851</v>
      </c>
      <c r="N214" s="18" t="s">
        <v>1852</v>
      </c>
      <c r="R214" s="2" t="str">
        <f>IF(ISERROR(VLOOKUP([1]IMM!F213,Table8[[#All],[Column2]:[Column3]],2,FALSE)),"",(VLOOKUP([1]IMM!F213,Table8[[#All],[Column2]:[Column3]],2,FALSE)))</f>
        <v/>
      </c>
      <c r="U214" s="2" t="str">
        <f>IF([1]IMM!P213="","",[1]IMM!P213)</f>
        <v/>
      </c>
      <c r="V214" s="2" t="str">
        <f t="shared" si="27"/>
        <v/>
      </c>
      <c r="W214" s="2" t="str">
        <f t="shared" si="28"/>
        <v/>
      </c>
      <c r="X214" s="2" t="str">
        <f t="shared" si="29"/>
        <v/>
      </c>
      <c r="Y214" s="16" t="str">
        <f t="shared" si="30"/>
        <v/>
      </c>
      <c r="Z214" s="16"/>
      <c r="AE214" s="3" t="str">
        <f>[1]Country!E213</f>
        <v>SR</v>
      </c>
      <c r="AF214" s="3" t="str">
        <f>[1]Country!C213</f>
        <v>Suriname</v>
      </c>
      <c r="AH214" s="3" t="str">
        <f t="shared" si="31"/>
        <v>SUR</v>
      </c>
      <c r="AJ214" s="2" t="str">
        <f>IF([1]IMM!N213="","",[1]IMM!N213)</f>
        <v/>
      </c>
      <c r="AK214" s="16" t="str">
        <f t="shared" si="32"/>
        <v/>
      </c>
      <c r="AL214" s="16" t="str">
        <f t="shared" si="33"/>
        <v/>
      </c>
      <c r="AM214" s="2" t="str">
        <f t="shared" si="34"/>
        <v/>
      </c>
      <c r="AN214" s="16" t="str">
        <f t="shared" si="35"/>
        <v/>
      </c>
    </row>
    <row r="215" spans="4:40">
      <c r="D215" s="13" t="e">
        <f>#REF!</f>
        <v>#REF!</v>
      </c>
      <c r="G215" s="17" t="s">
        <v>1853</v>
      </c>
      <c r="H215" s="3" t="s">
        <v>1854</v>
      </c>
      <c r="I215" s="3" t="s">
        <v>1855</v>
      </c>
      <c r="L215" s="2" t="s">
        <v>1856</v>
      </c>
      <c r="M215" s="2" t="s">
        <v>1857</v>
      </c>
      <c r="N215" s="18" t="s">
        <v>1843</v>
      </c>
      <c r="R215" s="2" t="str">
        <f>IF(ISERROR(VLOOKUP([1]IMM!F214,Table8[[#All],[Column2]:[Column3]],2,FALSE)),"",(VLOOKUP([1]IMM!F214,Table8[[#All],[Column2]:[Column3]],2,FALSE)))</f>
        <v/>
      </c>
      <c r="U215" s="2" t="str">
        <f>IF([1]IMM!P214="","",[1]IMM!P214)</f>
        <v/>
      </c>
      <c r="V215" s="2" t="str">
        <f t="shared" si="27"/>
        <v/>
      </c>
      <c r="W215" s="2" t="str">
        <f t="shared" si="28"/>
        <v/>
      </c>
      <c r="X215" s="2" t="str">
        <f t="shared" si="29"/>
        <v/>
      </c>
      <c r="Y215" s="16" t="str">
        <f t="shared" si="30"/>
        <v/>
      </c>
      <c r="Z215" s="16"/>
      <c r="AE215" s="3" t="str">
        <f>[1]Country!E214</f>
        <v>SJ</v>
      </c>
      <c r="AF215" s="3" t="str">
        <f>[1]Country!C214</f>
        <v>Svalbard and Jan Mayen Islands</v>
      </c>
      <c r="AH215" s="3" t="str">
        <f t="shared" si="31"/>
        <v/>
      </c>
      <c r="AJ215" s="2" t="str">
        <f>IF([1]IMM!N214="","",[1]IMM!N214)</f>
        <v/>
      </c>
      <c r="AK215" s="16" t="str">
        <f t="shared" si="32"/>
        <v/>
      </c>
      <c r="AL215" s="16" t="str">
        <f t="shared" si="33"/>
        <v/>
      </c>
      <c r="AM215" s="2" t="str">
        <f t="shared" si="34"/>
        <v/>
      </c>
      <c r="AN215" s="16" t="str">
        <f t="shared" si="35"/>
        <v/>
      </c>
    </row>
    <row r="216" spans="4:40">
      <c r="D216" s="13" t="e">
        <f>#REF!</f>
        <v>#REF!</v>
      </c>
      <c r="G216" s="17" t="s">
        <v>1858</v>
      </c>
      <c r="H216" s="3" t="s">
        <v>1859</v>
      </c>
      <c r="I216" s="3" t="s">
        <v>1860</v>
      </c>
      <c r="L216" s="2" t="s">
        <v>1861</v>
      </c>
      <c r="M216" s="2" t="s">
        <v>1156</v>
      </c>
      <c r="N216" s="18" t="s">
        <v>1847</v>
      </c>
      <c r="R216" s="2" t="str">
        <f>IF(ISERROR(VLOOKUP([1]IMM!F215,Table8[[#All],[Column2]:[Column3]],2,FALSE)),"",(VLOOKUP([1]IMM!F215,Table8[[#All],[Column2]:[Column3]],2,FALSE)))</f>
        <v/>
      </c>
      <c r="U216" s="2" t="str">
        <f>IF([1]IMM!P215="","",[1]IMM!P215)</f>
        <v/>
      </c>
      <c r="V216" s="2" t="str">
        <f t="shared" si="27"/>
        <v/>
      </c>
      <c r="W216" s="2" t="str">
        <f t="shared" si="28"/>
        <v/>
      </c>
      <c r="X216" s="2" t="str">
        <f t="shared" si="29"/>
        <v/>
      </c>
      <c r="Y216" s="16" t="str">
        <f t="shared" si="30"/>
        <v/>
      </c>
      <c r="Z216" s="16"/>
      <c r="AE216" s="3" t="str">
        <f>[1]Country!E215</f>
        <v>SZ</v>
      </c>
      <c r="AF216" s="3" t="str">
        <f>[1]Country!C215</f>
        <v>Swaziland</v>
      </c>
      <c r="AH216" s="3" t="str">
        <f t="shared" si="31"/>
        <v/>
      </c>
      <c r="AJ216" s="2" t="str">
        <f>IF([1]IMM!N215="","",[1]IMM!N215)</f>
        <v/>
      </c>
      <c r="AK216" s="16" t="str">
        <f t="shared" si="32"/>
        <v/>
      </c>
      <c r="AL216" s="16" t="str">
        <f t="shared" si="33"/>
        <v/>
      </c>
      <c r="AM216" s="2" t="str">
        <f t="shared" si="34"/>
        <v/>
      </c>
      <c r="AN216" s="16" t="str">
        <f t="shared" si="35"/>
        <v/>
      </c>
    </row>
    <row r="217" spans="4:40">
      <c r="D217" s="13" t="e">
        <f>#REF!</f>
        <v>#REF!</v>
      </c>
      <c r="G217" s="17" t="s">
        <v>1862</v>
      </c>
      <c r="H217" s="3" t="s">
        <v>643</v>
      </c>
      <c r="I217" s="3" t="s">
        <v>644</v>
      </c>
      <c r="L217" s="2" t="s">
        <v>1863</v>
      </c>
      <c r="M217" s="2" t="s">
        <v>1162</v>
      </c>
      <c r="N217" s="18" t="s">
        <v>1853</v>
      </c>
      <c r="R217" s="2" t="str">
        <f>IF(ISERROR(VLOOKUP([1]IMM!F216,Table8[[#All],[Column2]:[Column3]],2,FALSE)),"",(VLOOKUP([1]IMM!F216,Table8[[#All],[Column2]:[Column3]],2,FALSE)))</f>
        <v/>
      </c>
      <c r="U217" s="2" t="str">
        <f>IF([1]IMM!P216="","",[1]IMM!P216)</f>
        <v/>
      </c>
      <c r="V217" s="2" t="str">
        <f t="shared" si="27"/>
        <v/>
      </c>
      <c r="W217" s="2" t="str">
        <f t="shared" si="28"/>
        <v/>
      </c>
      <c r="X217" s="2" t="str">
        <f t="shared" si="29"/>
        <v/>
      </c>
      <c r="Y217" s="16" t="str">
        <f t="shared" si="30"/>
        <v/>
      </c>
      <c r="Z217" s="16"/>
      <c r="AE217" s="3" t="str">
        <f>[1]Country!E216</f>
        <v>SE</v>
      </c>
      <c r="AF217" s="3" t="str">
        <f>[1]Country!C216</f>
        <v>Sweden</v>
      </c>
      <c r="AH217" s="3" t="str">
        <f t="shared" si="31"/>
        <v>SWE</v>
      </c>
      <c r="AJ217" s="2" t="str">
        <f>IF([1]IMM!N216="","",[1]IMM!N216)</f>
        <v/>
      </c>
      <c r="AK217" s="16" t="str">
        <f t="shared" si="32"/>
        <v/>
      </c>
      <c r="AL217" s="16" t="str">
        <f t="shared" si="33"/>
        <v/>
      </c>
      <c r="AM217" s="2" t="str">
        <f t="shared" si="34"/>
        <v/>
      </c>
      <c r="AN217" s="16" t="str">
        <f t="shared" si="35"/>
        <v/>
      </c>
    </row>
    <row r="218" spans="4:40">
      <c r="D218" s="13" t="e">
        <f>#REF!</f>
        <v>#REF!</v>
      </c>
      <c r="G218" s="17" t="s">
        <v>1765</v>
      </c>
      <c r="H218" s="3" t="s">
        <v>1864</v>
      </c>
      <c r="I218" s="3" t="s">
        <v>1865</v>
      </c>
      <c r="L218" s="2" t="s">
        <v>1866</v>
      </c>
      <c r="M218" s="2" t="s">
        <v>1867</v>
      </c>
      <c r="N218" s="18" t="s">
        <v>1858</v>
      </c>
      <c r="R218" s="2" t="str">
        <f>IF(ISERROR(VLOOKUP([1]IMM!F217,Table8[[#All],[Column2]:[Column3]],2,FALSE)),"",(VLOOKUP([1]IMM!F217,Table8[[#All],[Column2]:[Column3]],2,FALSE)))</f>
        <v/>
      </c>
      <c r="U218" s="2" t="str">
        <f>IF([1]IMM!P217="","",[1]IMM!P217)</f>
        <v/>
      </c>
      <c r="V218" s="2" t="str">
        <f t="shared" si="27"/>
        <v/>
      </c>
      <c r="W218" s="2" t="str">
        <f t="shared" si="28"/>
        <v/>
      </c>
      <c r="X218" s="2" t="str">
        <f t="shared" si="29"/>
        <v/>
      </c>
      <c r="Y218" s="16" t="str">
        <f t="shared" si="30"/>
        <v/>
      </c>
      <c r="Z218" s="16"/>
      <c r="AE218" s="3" t="str">
        <f>[1]Country!E217</f>
        <v>CH</v>
      </c>
      <c r="AF218" s="3" t="str">
        <f>[1]Country!C217</f>
        <v>Switzerland</v>
      </c>
      <c r="AH218" s="3" t="str">
        <f t="shared" si="31"/>
        <v>CHE</v>
      </c>
      <c r="AJ218" s="2" t="str">
        <f>IF([1]IMM!N217="","",[1]IMM!N217)</f>
        <v/>
      </c>
      <c r="AK218" s="16" t="str">
        <f t="shared" si="32"/>
        <v/>
      </c>
      <c r="AL218" s="16" t="str">
        <f t="shared" si="33"/>
        <v/>
      </c>
      <c r="AM218" s="2" t="str">
        <f t="shared" si="34"/>
        <v/>
      </c>
      <c r="AN218" s="16" t="str">
        <f t="shared" si="35"/>
        <v/>
      </c>
    </row>
    <row r="219" spans="4:40">
      <c r="D219" s="13" t="e">
        <f>#REF!</f>
        <v>#REF!</v>
      </c>
      <c r="G219" s="17" t="s">
        <v>1788</v>
      </c>
      <c r="H219" s="3" t="s">
        <v>1868</v>
      </c>
      <c r="I219" s="3" t="s">
        <v>1869</v>
      </c>
      <c r="L219" s="2" t="s">
        <v>1870</v>
      </c>
      <c r="M219" s="2" t="s">
        <v>1173</v>
      </c>
      <c r="N219" s="18" t="s">
        <v>1871</v>
      </c>
      <c r="R219" s="2" t="str">
        <f>IF(ISERROR(VLOOKUP([1]IMM!F218,Table8[[#All],[Column2]:[Column3]],2,FALSE)),"",(VLOOKUP([1]IMM!F218,Table8[[#All],[Column2]:[Column3]],2,FALSE)))</f>
        <v/>
      </c>
      <c r="U219" s="2" t="str">
        <f>IF([1]IMM!P218="","",[1]IMM!P218)</f>
        <v/>
      </c>
      <c r="V219" s="2" t="str">
        <f t="shared" si="27"/>
        <v/>
      </c>
      <c r="W219" s="2" t="str">
        <f t="shared" si="28"/>
        <v/>
      </c>
      <c r="X219" s="2" t="str">
        <f t="shared" si="29"/>
        <v/>
      </c>
      <c r="Y219" s="16" t="str">
        <f t="shared" si="30"/>
        <v/>
      </c>
      <c r="Z219" s="16"/>
      <c r="AE219" s="3" t="str">
        <f>[1]Country!E218</f>
        <v>SY</v>
      </c>
      <c r="AF219" s="3" t="str">
        <f>[1]Country!C218</f>
        <v>Syria</v>
      </c>
      <c r="AH219" s="3" t="str">
        <f t="shared" si="31"/>
        <v/>
      </c>
      <c r="AJ219" s="2" t="str">
        <f>IF([1]IMM!N218="","",[1]IMM!N218)</f>
        <v/>
      </c>
      <c r="AK219" s="16" t="str">
        <f t="shared" si="32"/>
        <v/>
      </c>
      <c r="AL219" s="16" t="str">
        <f t="shared" si="33"/>
        <v/>
      </c>
      <c r="AM219" s="2" t="str">
        <f t="shared" si="34"/>
        <v/>
      </c>
      <c r="AN219" s="16" t="str">
        <f t="shared" si="35"/>
        <v/>
      </c>
    </row>
    <row r="220" spans="4:40">
      <c r="D220" s="13" t="e">
        <f>#REF!</f>
        <v>#REF!</v>
      </c>
      <c r="G220" s="17" t="s">
        <v>1768</v>
      </c>
      <c r="H220" s="3" t="s">
        <v>1872</v>
      </c>
      <c r="I220" s="3" t="s">
        <v>1873</v>
      </c>
      <c r="L220" s="2" t="s">
        <v>1874</v>
      </c>
      <c r="M220" s="2" t="s">
        <v>1875</v>
      </c>
      <c r="N220" s="18" t="s">
        <v>1876</v>
      </c>
      <c r="R220" s="2" t="str">
        <f>IF(ISERROR(VLOOKUP([1]IMM!F219,Table8[[#All],[Column2]:[Column3]],2,FALSE)),"",(VLOOKUP([1]IMM!F219,Table8[[#All],[Column2]:[Column3]],2,FALSE)))</f>
        <v/>
      </c>
      <c r="U220" s="2" t="str">
        <f>IF([1]IMM!P219="","",[1]IMM!P219)</f>
        <v/>
      </c>
      <c r="V220" s="2" t="str">
        <f t="shared" si="27"/>
        <v/>
      </c>
      <c r="W220" s="2" t="str">
        <f t="shared" si="28"/>
        <v/>
      </c>
      <c r="X220" s="2" t="str">
        <f t="shared" si="29"/>
        <v/>
      </c>
      <c r="Y220" s="16" t="str">
        <f t="shared" si="30"/>
        <v/>
      </c>
      <c r="Z220" s="16"/>
      <c r="AE220" s="3" t="str">
        <f>[1]Country!E219</f>
        <v>TW</v>
      </c>
      <c r="AF220" s="3" t="str">
        <f>[1]Country!C219</f>
        <v>Taiwan</v>
      </c>
      <c r="AH220" s="3" t="str">
        <f t="shared" si="31"/>
        <v>TWN</v>
      </c>
      <c r="AJ220" s="2" t="str">
        <f>IF([1]IMM!N219="","",[1]IMM!N219)</f>
        <v/>
      </c>
      <c r="AK220" s="16" t="str">
        <f t="shared" si="32"/>
        <v/>
      </c>
      <c r="AL220" s="16" t="str">
        <f t="shared" si="33"/>
        <v/>
      </c>
      <c r="AM220" s="2" t="str">
        <f t="shared" si="34"/>
        <v/>
      </c>
      <c r="AN220" s="16" t="str">
        <f t="shared" si="35"/>
        <v/>
      </c>
    </row>
    <row r="221" spans="4:40">
      <c r="D221" s="13" t="e">
        <f>#REF!</f>
        <v>#REF!</v>
      </c>
      <c r="G221" s="17" t="s">
        <v>1752</v>
      </c>
      <c r="H221" s="3" t="s">
        <v>655</v>
      </c>
      <c r="I221" s="3" t="s">
        <v>1877</v>
      </c>
      <c r="L221" s="2" t="s">
        <v>1878</v>
      </c>
      <c r="M221" s="2" t="s">
        <v>1277</v>
      </c>
      <c r="N221" s="18" t="s">
        <v>1879</v>
      </c>
      <c r="R221" s="2" t="str">
        <f>IF(ISERROR(VLOOKUP([1]IMM!F220,Table8[[#All],[Column2]:[Column3]],2,FALSE)),"",(VLOOKUP([1]IMM!F220,Table8[[#All],[Column2]:[Column3]],2,FALSE)))</f>
        <v/>
      </c>
      <c r="U221" s="2" t="str">
        <f>IF([1]IMM!P220="","",[1]IMM!P220)</f>
        <v/>
      </c>
      <c r="V221" s="2" t="str">
        <f t="shared" si="27"/>
        <v/>
      </c>
      <c r="W221" s="2" t="str">
        <f t="shared" si="28"/>
        <v/>
      </c>
      <c r="X221" s="2" t="str">
        <f t="shared" si="29"/>
        <v/>
      </c>
      <c r="Y221" s="16" t="str">
        <f t="shared" si="30"/>
        <v/>
      </c>
      <c r="Z221" s="16"/>
      <c r="AE221" s="3" t="str">
        <f>[1]Country!E220</f>
        <v>TJ</v>
      </c>
      <c r="AF221" s="3" t="str">
        <f>[1]Country!C220</f>
        <v>Tajikistan</v>
      </c>
      <c r="AH221" s="3" t="str">
        <f t="shared" si="31"/>
        <v/>
      </c>
      <c r="AJ221" s="2" t="str">
        <f>IF([1]IMM!N220="","",[1]IMM!N220)</f>
        <v/>
      </c>
      <c r="AK221" s="16" t="str">
        <f t="shared" si="32"/>
        <v/>
      </c>
      <c r="AL221" s="16" t="str">
        <f t="shared" si="33"/>
        <v/>
      </c>
      <c r="AM221" s="2" t="str">
        <f t="shared" si="34"/>
        <v/>
      </c>
      <c r="AN221" s="16" t="str">
        <f t="shared" si="35"/>
        <v/>
      </c>
    </row>
    <row r="222" spans="4:40">
      <c r="D222" s="13" t="e">
        <f>#REF!</f>
        <v>#REF!</v>
      </c>
      <c r="G222" s="17" t="s">
        <v>1880</v>
      </c>
      <c r="H222" s="3" t="s">
        <v>1881</v>
      </c>
      <c r="I222" s="3" t="s">
        <v>1882</v>
      </c>
      <c r="L222" s="2" t="s">
        <v>1883</v>
      </c>
      <c r="M222" s="2" t="s">
        <v>1178</v>
      </c>
      <c r="N222" s="18" t="s">
        <v>1884</v>
      </c>
      <c r="R222" s="2" t="str">
        <f>IF(ISERROR(VLOOKUP([1]IMM!F221,Table8[[#All],[Column2]:[Column3]],2,FALSE)),"",(VLOOKUP([1]IMM!F221,Table8[[#All],[Column2]:[Column3]],2,FALSE)))</f>
        <v/>
      </c>
      <c r="U222" s="2" t="str">
        <f>IF([1]IMM!P221="","",[1]IMM!P221)</f>
        <v/>
      </c>
      <c r="V222" s="2" t="str">
        <f t="shared" si="27"/>
        <v/>
      </c>
      <c r="W222" s="2" t="str">
        <f t="shared" si="28"/>
        <v/>
      </c>
      <c r="X222" s="2" t="str">
        <f t="shared" si="29"/>
        <v/>
      </c>
      <c r="Y222" s="16" t="str">
        <f t="shared" si="30"/>
        <v/>
      </c>
      <c r="Z222" s="16"/>
      <c r="AE222" s="3" t="str">
        <f>[1]Country!E221</f>
        <v>TZ</v>
      </c>
      <c r="AF222" s="3" t="str">
        <f>[1]Country!C221</f>
        <v>Tanzania</v>
      </c>
      <c r="AH222" s="3" t="str">
        <f t="shared" si="31"/>
        <v>TZA</v>
      </c>
      <c r="AJ222" s="2" t="str">
        <f>IF([1]IMM!N221="","",[1]IMM!N221)</f>
        <v/>
      </c>
      <c r="AK222" s="16" t="str">
        <f t="shared" si="32"/>
        <v/>
      </c>
      <c r="AL222" s="16" t="str">
        <f t="shared" si="33"/>
        <v/>
      </c>
      <c r="AM222" s="2" t="str">
        <f t="shared" si="34"/>
        <v/>
      </c>
      <c r="AN222" s="16" t="str">
        <f t="shared" si="35"/>
        <v/>
      </c>
    </row>
    <row r="223" spans="4:40">
      <c r="D223" s="13" t="e">
        <f>#REF!</f>
        <v>#REF!</v>
      </c>
      <c r="G223" s="17" t="s">
        <v>1762</v>
      </c>
      <c r="H223" s="3" t="s">
        <v>661</v>
      </c>
      <c r="I223" s="3" t="s">
        <v>1885</v>
      </c>
      <c r="L223" s="2" t="s">
        <v>1886</v>
      </c>
      <c r="M223" s="2" t="s">
        <v>1887</v>
      </c>
      <c r="N223" s="18"/>
      <c r="R223" s="2" t="str">
        <f>IF(ISERROR(VLOOKUP([1]IMM!F222,Table8[[#All],[Column2]:[Column3]],2,FALSE)),"",(VLOOKUP([1]IMM!F222,Table8[[#All],[Column2]:[Column3]],2,FALSE)))</f>
        <v/>
      </c>
      <c r="U223" s="2" t="str">
        <f>IF([1]IMM!P222="","",[1]IMM!P222)</f>
        <v/>
      </c>
      <c r="V223" s="2" t="str">
        <f t="shared" si="27"/>
        <v/>
      </c>
      <c r="W223" s="2" t="str">
        <f t="shared" si="28"/>
        <v/>
      </c>
      <c r="X223" s="2" t="str">
        <f t="shared" si="29"/>
        <v/>
      </c>
      <c r="Y223" s="16" t="str">
        <f t="shared" si="30"/>
        <v/>
      </c>
      <c r="Z223" s="16"/>
      <c r="AE223" s="3" t="str">
        <f>[1]Country!E222</f>
        <v>TH</v>
      </c>
      <c r="AF223" s="3" t="str">
        <f>[1]Country!C222</f>
        <v>Thailand</v>
      </c>
      <c r="AH223" s="3">
        <f t="shared" si="31"/>
        <v>0</v>
      </c>
      <c r="AJ223" s="2" t="str">
        <f>IF([1]IMM!N222="","",[1]IMM!N222)</f>
        <v/>
      </c>
      <c r="AK223" s="16" t="str">
        <f t="shared" si="32"/>
        <v/>
      </c>
      <c r="AL223" s="16" t="str">
        <f t="shared" si="33"/>
        <v/>
      </c>
      <c r="AM223" s="2" t="str">
        <f t="shared" si="34"/>
        <v/>
      </c>
      <c r="AN223" s="16" t="str">
        <f t="shared" si="35"/>
        <v/>
      </c>
    </row>
    <row r="224" spans="4:40">
      <c r="D224" s="13" t="e">
        <f>#REF!</f>
        <v>#REF!</v>
      </c>
      <c r="G224" s="17" t="s">
        <v>1809</v>
      </c>
      <c r="H224" s="3" t="s">
        <v>1888</v>
      </c>
      <c r="I224" s="3" t="s">
        <v>1889</v>
      </c>
      <c r="L224" s="2" t="s">
        <v>1890</v>
      </c>
      <c r="M224" s="2" t="s">
        <v>1891</v>
      </c>
      <c r="N224" s="18" t="s">
        <v>1892</v>
      </c>
      <c r="R224" s="2" t="str">
        <f>IF(ISERROR(VLOOKUP([1]IMM!F223,Table8[[#All],[Column2]:[Column3]],2,FALSE)),"",(VLOOKUP([1]IMM!F223,Table8[[#All],[Column2]:[Column3]],2,FALSE)))</f>
        <v/>
      </c>
      <c r="U224" s="2" t="str">
        <f>IF([1]IMM!P223="","",[1]IMM!P223)</f>
        <v/>
      </c>
      <c r="V224" s="2" t="str">
        <f t="shared" si="27"/>
        <v/>
      </c>
      <c r="W224" s="2" t="str">
        <f t="shared" si="28"/>
        <v/>
      </c>
      <c r="X224" s="2" t="str">
        <f t="shared" si="29"/>
        <v/>
      </c>
      <c r="Y224" s="16" t="str">
        <f t="shared" si="30"/>
        <v/>
      </c>
      <c r="Z224" s="16"/>
      <c r="AE224" s="3">
        <f>[1]Country!E223</f>
        <v>0</v>
      </c>
      <c r="AF224" s="3" t="str">
        <f>[1]Country!C223</f>
        <v>To be Advised</v>
      </c>
      <c r="AH224" s="3" t="str">
        <f t="shared" si="31"/>
        <v/>
      </c>
      <c r="AJ224" s="2" t="str">
        <f>IF([1]IMM!N223="","",[1]IMM!N223)</f>
        <v/>
      </c>
      <c r="AK224" s="16" t="str">
        <f t="shared" si="32"/>
        <v/>
      </c>
      <c r="AL224" s="16" t="str">
        <f t="shared" si="33"/>
        <v/>
      </c>
      <c r="AM224" s="2" t="str">
        <f t="shared" si="34"/>
        <v/>
      </c>
      <c r="AN224" s="16" t="str">
        <f t="shared" si="35"/>
        <v/>
      </c>
    </row>
    <row r="225" spans="4:40">
      <c r="D225" s="13" t="e">
        <f>#REF!</f>
        <v>#REF!</v>
      </c>
      <c r="G225" s="17" t="s">
        <v>1805</v>
      </c>
      <c r="H225" s="3" t="s">
        <v>1893</v>
      </c>
      <c r="I225" s="3" t="s">
        <v>1894</v>
      </c>
      <c r="L225" s="2" t="s">
        <v>1895</v>
      </c>
      <c r="M225" s="2" t="s">
        <v>1414</v>
      </c>
      <c r="N225" s="18" t="s">
        <v>1896</v>
      </c>
      <c r="R225" s="2" t="str">
        <f>IF(ISERROR(VLOOKUP([1]IMM!F224,Table8[[#All],[Column2]:[Column3]],2,FALSE)),"",(VLOOKUP([1]IMM!F224,Table8[[#All],[Column2]:[Column3]],2,FALSE)))</f>
        <v/>
      </c>
      <c r="U225" s="2" t="str">
        <f>IF([1]IMM!P224="","",[1]IMM!P224)</f>
        <v/>
      </c>
      <c r="V225" s="2" t="str">
        <f t="shared" si="27"/>
        <v/>
      </c>
      <c r="W225" s="2" t="str">
        <f t="shared" si="28"/>
        <v/>
      </c>
      <c r="X225" s="2" t="str">
        <f t="shared" si="29"/>
        <v/>
      </c>
      <c r="Y225" s="16" t="str">
        <f t="shared" si="30"/>
        <v/>
      </c>
      <c r="Z225" s="16"/>
      <c r="AE225" s="3" t="str">
        <f>[1]Country!E224</f>
        <v>TG</v>
      </c>
      <c r="AF225" s="3" t="str">
        <f>[1]Country!C224</f>
        <v>Togo</v>
      </c>
      <c r="AH225" s="3" t="str">
        <f t="shared" si="31"/>
        <v/>
      </c>
      <c r="AJ225" s="2" t="str">
        <f>IF([1]IMM!N224="","",[1]IMM!N224)</f>
        <v/>
      </c>
      <c r="AK225" s="16" t="str">
        <f t="shared" si="32"/>
        <v/>
      </c>
      <c r="AL225" s="16" t="str">
        <f t="shared" si="33"/>
        <v/>
      </c>
      <c r="AM225" s="2" t="str">
        <f t="shared" si="34"/>
        <v/>
      </c>
      <c r="AN225" s="16" t="str">
        <f t="shared" si="35"/>
        <v/>
      </c>
    </row>
    <row r="226" spans="4:40">
      <c r="D226" s="13" t="e">
        <f>#REF!</f>
        <v>#REF!</v>
      </c>
      <c r="G226" s="17" t="s">
        <v>1827</v>
      </c>
      <c r="H226" s="3" t="s">
        <v>671</v>
      </c>
      <c r="I226" s="3" t="s">
        <v>671</v>
      </c>
      <c r="L226" s="2" t="s">
        <v>1897</v>
      </c>
      <c r="M226" s="2" t="s">
        <v>1898</v>
      </c>
      <c r="N226" s="18" t="s">
        <v>1899</v>
      </c>
      <c r="R226" s="2" t="str">
        <f>IF(ISERROR(VLOOKUP([1]IMM!F225,Table8[[#All],[Column2]:[Column3]],2,FALSE)),"",(VLOOKUP([1]IMM!F225,Table8[[#All],[Column2]:[Column3]],2,FALSE)))</f>
        <v/>
      </c>
      <c r="U226" s="2" t="str">
        <f>IF([1]IMM!P225="","",[1]IMM!P225)</f>
        <v/>
      </c>
      <c r="V226" s="2" t="str">
        <f t="shared" si="27"/>
        <v/>
      </c>
      <c r="W226" s="2" t="str">
        <f t="shared" si="28"/>
        <v/>
      </c>
      <c r="X226" s="2" t="str">
        <f t="shared" si="29"/>
        <v/>
      </c>
      <c r="Y226" s="16" t="str">
        <f t="shared" si="30"/>
        <v/>
      </c>
      <c r="Z226" s="16"/>
      <c r="AE226" s="3" t="str">
        <f>[1]Country!E225</f>
        <v>TK</v>
      </c>
      <c r="AF226" s="3" t="str">
        <f>[1]Country!C225</f>
        <v>Tokelau</v>
      </c>
      <c r="AH226" s="3" t="str">
        <f t="shared" si="31"/>
        <v/>
      </c>
      <c r="AJ226" s="2" t="str">
        <f>IF([1]IMM!N225="","",[1]IMM!N225)</f>
        <v/>
      </c>
      <c r="AK226" s="16" t="str">
        <f t="shared" si="32"/>
        <v/>
      </c>
      <c r="AL226" s="16" t="str">
        <f t="shared" si="33"/>
        <v/>
      </c>
      <c r="AM226" s="2" t="str">
        <f t="shared" si="34"/>
        <v/>
      </c>
      <c r="AN226" s="16" t="str">
        <f t="shared" si="35"/>
        <v/>
      </c>
    </row>
    <row r="227" spans="4:40">
      <c r="D227" s="13" t="e">
        <f>#REF!</f>
        <v>#REF!</v>
      </c>
      <c r="G227" s="17" t="s">
        <v>1745</v>
      </c>
      <c r="H227" s="3" t="s">
        <v>674</v>
      </c>
      <c r="I227" s="3" t="s">
        <v>674</v>
      </c>
      <c r="L227" s="2" t="s">
        <v>1900</v>
      </c>
      <c r="M227" s="2" t="s">
        <v>1901</v>
      </c>
      <c r="N227" s="18" t="s">
        <v>1902</v>
      </c>
      <c r="R227" s="2" t="str">
        <f>IF(ISERROR(VLOOKUP([1]IMM!F226,Table8[[#All],[Column2]:[Column3]],2,FALSE)),"",(VLOOKUP([1]IMM!F226,Table8[[#All],[Column2]:[Column3]],2,FALSE)))</f>
        <v/>
      </c>
      <c r="U227" s="2" t="str">
        <f>IF([1]IMM!P226="","",[1]IMM!P226)</f>
        <v/>
      </c>
      <c r="V227" s="2" t="str">
        <f t="shared" si="27"/>
        <v/>
      </c>
      <c r="W227" s="2" t="str">
        <f t="shared" si="28"/>
        <v/>
      </c>
      <c r="X227" s="2" t="str">
        <f t="shared" si="29"/>
        <v/>
      </c>
      <c r="Y227" s="16" t="str">
        <f t="shared" si="30"/>
        <v/>
      </c>
      <c r="Z227" s="16"/>
      <c r="AE227" s="3" t="str">
        <f>[1]Country!E226</f>
        <v>TO</v>
      </c>
      <c r="AF227" s="3" t="str">
        <f>[1]Country!C226</f>
        <v>Tonga</v>
      </c>
      <c r="AH227" s="3" t="str">
        <f t="shared" si="31"/>
        <v/>
      </c>
      <c r="AJ227" s="2" t="str">
        <f>IF([1]IMM!N226="","",[1]IMM!N226)</f>
        <v/>
      </c>
      <c r="AK227" s="16" t="str">
        <f t="shared" si="32"/>
        <v/>
      </c>
      <c r="AL227" s="16" t="str">
        <f t="shared" si="33"/>
        <v/>
      </c>
      <c r="AM227" s="2" t="str">
        <f t="shared" si="34"/>
        <v/>
      </c>
      <c r="AN227" s="16" t="str">
        <f t="shared" si="35"/>
        <v/>
      </c>
    </row>
    <row r="228" spans="4:40">
      <c r="D228" s="13" t="e">
        <f>#REF!</f>
        <v>#REF!</v>
      </c>
      <c r="G228" s="17" t="s">
        <v>1852</v>
      </c>
      <c r="H228" s="3" t="s">
        <v>677</v>
      </c>
      <c r="I228" s="3" t="s">
        <v>677</v>
      </c>
      <c r="L228" s="2" t="s">
        <v>1903</v>
      </c>
      <c r="M228" s="2" t="s">
        <v>1455</v>
      </c>
      <c r="N228" s="18" t="s">
        <v>1904</v>
      </c>
      <c r="R228" s="2" t="str">
        <f>IF(ISERROR(VLOOKUP([1]IMM!F227,Table8[[#All],[Column2]:[Column3]],2,FALSE)),"",(VLOOKUP([1]IMM!F227,Table8[[#All],[Column2]:[Column3]],2,FALSE)))</f>
        <v/>
      </c>
      <c r="U228" s="2" t="str">
        <f>IF([1]IMM!P227="","",[1]IMM!P227)</f>
        <v/>
      </c>
      <c r="V228" s="2" t="str">
        <f t="shared" si="27"/>
        <v/>
      </c>
      <c r="W228" s="2" t="str">
        <f t="shared" si="28"/>
        <v/>
      </c>
      <c r="X228" s="2" t="str">
        <f t="shared" si="29"/>
        <v/>
      </c>
      <c r="Y228" s="16" t="str">
        <f t="shared" si="30"/>
        <v/>
      </c>
      <c r="Z228" s="16"/>
      <c r="AE228" s="3" t="str">
        <f>[1]Country!E227</f>
        <v>TT</v>
      </c>
      <c r="AF228" s="3" t="str">
        <f>[1]Country!C227</f>
        <v>Trinidad And Tobago</v>
      </c>
      <c r="AH228" s="3" t="str">
        <f t="shared" si="31"/>
        <v>TTO</v>
      </c>
      <c r="AJ228" s="2" t="str">
        <f>IF([1]IMM!N227="","",[1]IMM!N227)</f>
        <v/>
      </c>
      <c r="AK228" s="16" t="str">
        <f t="shared" si="32"/>
        <v/>
      </c>
      <c r="AL228" s="16" t="str">
        <f t="shared" si="33"/>
        <v/>
      </c>
      <c r="AM228" s="2" t="str">
        <f t="shared" si="34"/>
        <v/>
      </c>
      <c r="AN228" s="16" t="str">
        <f t="shared" si="35"/>
        <v/>
      </c>
    </row>
    <row r="229" spans="4:40">
      <c r="D229" s="13" t="e">
        <f>#REF!</f>
        <v>#REF!</v>
      </c>
      <c r="G229" s="17" t="s">
        <v>1757</v>
      </c>
      <c r="H229" s="3" t="s">
        <v>680</v>
      </c>
      <c r="I229" s="3" t="s">
        <v>680</v>
      </c>
      <c r="L229" s="2" t="s">
        <v>1905</v>
      </c>
      <c r="M229" s="2" t="s">
        <v>1183</v>
      </c>
      <c r="N229" s="18" t="s">
        <v>1906</v>
      </c>
      <c r="R229" s="2" t="str">
        <f>IF(ISERROR(VLOOKUP([1]IMM!F228,Table8[[#All],[Column2]:[Column3]],2,FALSE)),"",(VLOOKUP([1]IMM!F228,Table8[[#All],[Column2]:[Column3]],2,FALSE)))</f>
        <v/>
      </c>
      <c r="U229" s="2" t="str">
        <f>IF([1]IMM!P228="","",[1]IMM!P228)</f>
        <v/>
      </c>
      <c r="V229" s="2" t="str">
        <f t="shared" si="27"/>
        <v/>
      </c>
      <c r="W229" s="2" t="str">
        <f t="shared" si="28"/>
        <v/>
      </c>
      <c r="X229" s="2" t="str">
        <f t="shared" si="29"/>
        <v/>
      </c>
      <c r="Y229" s="16" t="str">
        <f t="shared" si="30"/>
        <v/>
      </c>
      <c r="Z229" s="16"/>
      <c r="AE229" s="3" t="str">
        <f>[1]Country!E228</f>
        <v>TN</v>
      </c>
      <c r="AF229" s="3" t="str">
        <f>[1]Country!C228</f>
        <v>Tunisia</v>
      </c>
      <c r="AH229" s="3" t="str">
        <f t="shared" si="31"/>
        <v/>
      </c>
      <c r="AJ229" s="2" t="str">
        <f>IF([1]IMM!N228="","",[1]IMM!N228)</f>
        <v/>
      </c>
      <c r="AK229" s="16" t="str">
        <f t="shared" si="32"/>
        <v/>
      </c>
      <c r="AL229" s="16" t="str">
        <f t="shared" si="33"/>
        <v/>
      </c>
      <c r="AM229" s="2" t="str">
        <f t="shared" si="34"/>
        <v/>
      </c>
      <c r="AN229" s="16" t="str">
        <f t="shared" si="35"/>
        <v/>
      </c>
    </row>
    <row r="230" spans="4:40">
      <c r="D230" s="13" t="e">
        <f>#REF!</f>
        <v>#REF!</v>
      </c>
      <c r="G230" s="17" t="s">
        <v>1907</v>
      </c>
      <c r="H230" s="3" t="s">
        <v>683</v>
      </c>
      <c r="I230" s="3" t="s">
        <v>683</v>
      </c>
      <c r="L230" s="2" t="s">
        <v>1908</v>
      </c>
      <c r="M230" s="2" t="s">
        <v>1909</v>
      </c>
      <c r="N230" s="18" t="s">
        <v>1637</v>
      </c>
      <c r="R230" s="2" t="str">
        <f>IF(ISERROR(VLOOKUP([1]IMM!F229,Table8[[#All],[Column2]:[Column3]],2,FALSE)),"",(VLOOKUP([1]IMM!F229,Table8[[#All],[Column2]:[Column3]],2,FALSE)))</f>
        <v/>
      </c>
      <c r="U230" s="2" t="str">
        <f>IF([1]IMM!P229="","",[1]IMM!P229)</f>
        <v/>
      </c>
      <c r="V230" s="2" t="str">
        <f t="shared" si="27"/>
        <v/>
      </c>
      <c r="W230" s="2" t="str">
        <f t="shared" si="28"/>
        <v/>
      </c>
      <c r="X230" s="2" t="str">
        <f t="shared" si="29"/>
        <v/>
      </c>
      <c r="Y230" s="16" t="str">
        <f t="shared" si="30"/>
        <v/>
      </c>
      <c r="Z230" s="16"/>
      <c r="AE230" s="3" t="str">
        <f>[1]Country!E229</f>
        <v>TR</v>
      </c>
      <c r="AF230" s="3" t="str">
        <f>[1]Country!C229</f>
        <v>Turkey</v>
      </c>
      <c r="AH230" s="3" t="str">
        <f t="shared" si="31"/>
        <v>TUR</v>
      </c>
      <c r="AJ230" s="2" t="str">
        <f>IF([1]IMM!N229="","",[1]IMM!N229)</f>
        <v/>
      </c>
      <c r="AK230" s="16" t="str">
        <f t="shared" si="32"/>
        <v/>
      </c>
      <c r="AL230" s="16" t="str">
        <f t="shared" si="33"/>
        <v/>
      </c>
      <c r="AM230" s="2" t="str">
        <f t="shared" si="34"/>
        <v/>
      </c>
      <c r="AN230" s="16" t="str">
        <f t="shared" si="35"/>
        <v/>
      </c>
    </row>
    <row r="231" spans="4:40">
      <c r="D231" s="13" t="e">
        <f>#REF!</f>
        <v>#REF!</v>
      </c>
      <c r="G231" s="17" t="s">
        <v>1871</v>
      </c>
      <c r="H231" s="3" t="s">
        <v>688</v>
      </c>
      <c r="I231" s="3" t="s">
        <v>1910</v>
      </c>
      <c r="L231" s="2" t="s">
        <v>1911</v>
      </c>
      <c r="M231" s="2" t="s">
        <v>1912</v>
      </c>
      <c r="N231" s="18" t="s">
        <v>1913</v>
      </c>
      <c r="R231" s="2" t="str">
        <f>IF(ISERROR(VLOOKUP([1]IMM!F230,Table8[[#All],[Column2]:[Column3]],2,FALSE)),"",(VLOOKUP([1]IMM!F230,Table8[[#All],[Column2]:[Column3]],2,FALSE)))</f>
        <v/>
      </c>
      <c r="U231" s="2" t="str">
        <f>IF([1]IMM!P230="","",[1]IMM!P230)</f>
        <v/>
      </c>
      <c r="V231" s="2" t="str">
        <f t="shared" si="27"/>
        <v/>
      </c>
      <c r="W231" s="2" t="str">
        <f t="shared" si="28"/>
        <v/>
      </c>
      <c r="X231" s="2" t="str">
        <f t="shared" si="29"/>
        <v/>
      </c>
      <c r="Y231" s="16" t="str">
        <f t="shared" si="30"/>
        <v/>
      </c>
      <c r="Z231" s="16"/>
      <c r="AE231" s="3" t="str">
        <f>[1]Country!E230</f>
        <v>TM</v>
      </c>
      <c r="AF231" s="3" t="str">
        <f>[1]Country!C230</f>
        <v>Turkmenistan</v>
      </c>
      <c r="AH231" s="3" t="str">
        <f t="shared" si="31"/>
        <v/>
      </c>
      <c r="AJ231" s="2" t="str">
        <f>IF([1]IMM!N230="","",[1]IMM!N230)</f>
        <v/>
      </c>
      <c r="AK231" s="16" t="str">
        <f t="shared" si="32"/>
        <v/>
      </c>
      <c r="AL231" s="16" t="str">
        <f t="shared" si="33"/>
        <v/>
      </c>
      <c r="AM231" s="2" t="str">
        <f t="shared" si="34"/>
        <v/>
      </c>
      <c r="AN231" s="16" t="str">
        <f t="shared" si="35"/>
        <v/>
      </c>
    </row>
    <row r="232" spans="4:40">
      <c r="D232" s="13" t="e">
        <f>#REF!</f>
        <v>#REF!</v>
      </c>
      <c r="G232" s="17" t="s">
        <v>1879</v>
      </c>
      <c r="H232" s="3" t="s">
        <v>1914</v>
      </c>
      <c r="I232" s="3" t="s">
        <v>1915</v>
      </c>
      <c r="L232" s="2" t="s">
        <v>1916</v>
      </c>
      <c r="M232" s="2" t="s">
        <v>1917</v>
      </c>
      <c r="N232" s="18" t="s">
        <v>1918</v>
      </c>
      <c r="R232" s="2" t="str">
        <f>IF(ISERROR(VLOOKUP([1]IMM!F231,Table8[[#All],[Column2]:[Column3]],2,FALSE)),"",(VLOOKUP([1]IMM!F231,Table8[[#All],[Column2]:[Column3]],2,FALSE)))</f>
        <v/>
      </c>
      <c r="U232" s="2" t="str">
        <f>IF([1]IMM!P231="","",[1]IMM!P231)</f>
        <v/>
      </c>
      <c r="V232" s="2" t="str">
        <f t="shared" si="27"/>
        <v/>
      </c>
      <c r="W232" s="2" t="str">
        <f t="shared" si="28"/>
        <v/>
      </c>
      <c r="X232" s="2" t="str">
        <f t="shared" si="29"/>
        <v/>
      </c>
      <c r="Y232" s="16" t="str">
        <f t="shared" si="30"/>
        <v/>
      </c>
      <c r="Z232" s="16"/>
      <c r="AE232" s="3" t="str">
        <f>[1]Country!E231</f>
        <v>TC</v>
      </c>
      <c r="AF232" s="3" t="str">
        <f>[1]Country!C231</f>
        <v>Turks and Caicos Islands</v>
      </c>
      <c r="AH232" s="3" t="str">
        <f t="shared" si="31"/>
        <v/>
      </c>
      <c r="AJ232" s="2" t="str">
        <f>IF([1]IMM!N231="","",[1]IMM!N231)</f>
        <v/>
      </c>
      <c r="AK232" s="16" t="str">
        <f t="shared" si="32"/>
        <v/>
      </c>
      <c r="AL232" s="16" t="str">
        <f t="shared" si="33"/>
        <v/>
      </c>
      <c r="AM232" s="2" t="str">
        <f t="shared" si="34"/>
        <v/>
      </c>
      <c r="AN232" s="16" t="str">
        <f t="shared" si="35"/>
        <v/>
      </c>
    </row>
    <row r="233" spans="4:40">
      <c r="D233" s="13" t="e">
        <f>#REF!</f>
        <v>#REF!</v>
      </c>
      <c r="G233" s="17" t="s">
        <v>1884</v>
      </c>
      <c r="H233" s="3" t="s">
        <v>1919</v>
      </c>
      <c r="I233" s="3" t="s">
        <v>1920</v>
      </c>
      <c r="L233" s="2" t="s">
        <v>1921</v>
      </c>
      <c r="M233" s="2" t="s">
        <v>1922</v>
      </c>
      <c r="N233" s="18" t="s">
        <v>1923</v>
      </c>
      <c r="R233" s="2" t="str">
        <f>IF(ISERROR(VLOOKUP([1]IMM!F232,Table8[[#All],[Column2]:[Column3]],2,FALSE)),"",(VLOOKUP([1]IMM!F232,Table8[[#All],[Column2]:[Column3]],2,FALSE)))</f>
        <v/>
      </c>
      <c r="U233" s="2" t="str">
        <f>IF([1]IMM!P232="","",[1]IMM!P232)</f>
        <v/>
      </c>
      <c r="V233" s="2" t="str">
        <f t="shared" si="27"/>
        <v/>
      </c>
      <c r="W233" s="2" t="str">
        <f t="shared" si="28"/>
        <v/>
      </c>
      <c r="X233" s="2" t="str">
        <f t="shared" si="29"/>
        <v/>
      </c>
      <c r="Y233" s="16" t="str">
        <f t="shared" si="30"/>
        <v/>
      </c>
      <c r="Z233" s="16"/>
      <c r="AE233" s="3" t="str">
        <f>[1]Country!E232</f>
        <v>TV</v>
      </c>
      <c r="AF233" s="3" t="str">
        <f>[1]Country!C232</f>
        <v>Tuvalu</v>
      </c>
      <c r="AH233" s="3" t="str">
        <f t="shared" si="31"/>
        <v/>
      </c>
      <c r="AJ233" s="2" t="str">
        <f>IF([1]IMM!N232="","",[1]IMM!N232)</f>
        <v/>
      </c>
      <c r="AK233" s="16" t="str">
        <f t="shared" si="32"/>
        <v/>
      </c>
      <c r="AL233" s="16" t="str">
        <f t="shared" si="33"/>
        <v/>
      </c>
      <c r="AM233" s="2" t="str">
        <f t="shared" si="34"/>
        <v/>
      </c>
      <c r="AN233" s="16" t="str">
        <f t="shared" si="35"/>
        <v/>
      </c>
    </row>
    <row r="234" spans="4:40">
      <c r="D234" s="13" t="e">
        <f>#REF!</f>
        <v>#REF!</v>
      </c>
      <c r="G234" s="17" t="s">
        <v>1892</v>
      </c>
      <c r="H234" s="3" t="s">
        <v>1924</v>
      </c>
      <c r="I234" s="3" t="s">
        <v>1925</v>
      </c>
      <c r="L234" s="2" t="s">
        <v>1926</v>
      </c>
      <c r="M234" s="2" t="s">
        <v>1194</v>
      </c>
      <c r="N234" s="18" t="s">
        <v>1927</v>
      </c>
      <c r="R234" s="2" t="str">
        <f>IF(ISERROR(VLOOKUP([1]IMM!F233,Table8[[#All],[Column2]:[Column3]],2,FALSE)),"",(VLOOKUP([1]IMM!F233,Table8[[#All],[Column2]:[Column3]],2,FALSE)))</f>
        <v/>
      </c>
      <c r="U234" s="2" t="str">
        <f>IF([1]IMM!P233="","",[1]IMM!P233)</f>
        <v/>
      </c>
      <c r="V234" s="2" t="str">
        <f t="shared" si="27"/>
        <v/>
      </c>
      <c r="W234" s="2" t="str">
        <f t="shared" si="28"/>
        <v/>
      </c>
      <c r="X234" s="2" t="str">
        <f t="shared" si="29"/>
        <v/>
      </c>
      <c r="Y234" s="16" t="str">
        <f t="shared" si="30"/>
        <v/>
      </c>
      <c r="Z234" s="16"/>
      <c r="AE234" s="3" t="str">
        <f>[1]Country!E233</f>
        <v>UG</v>
      </c>
      <c r="AF234" s="3" t="str">
        <f>[1]Country!C233</f>
        <v>Uganda</v>
      </c>
      <c r="AH234" s="3" t="str">
        <f t="shared" si="31"/>
        <v/>
      </c>
      <c r="AJ234" s="2" t="str">
        <f>IF([1]IMM!N233="","",[1]IMM!N233)</f>
        <v/>
      </c>
      <c r="AK234" s="16" t="str">
        <f t="shared" si="32"/>
        <v/>
      </c>
      <c r="AL234" s="16" t="str">
        <f t="shared" si="33"/>
        <v/>
      </c>
      <c r="AM234" s="2" t="str">
        <f t="shared" si="34"/>
        <v/>
      </c>
      <c r="AN234" s="16" t="str">
        <f t="shared" si="35"/>
        <v/>
      </c>
    </row>
    <row r="235" spans="4:40">
      <c r="D235" s="13" t="e">
        <f>#REF!</f>
        <v>#REF!</v>
      </c>
      <c r="G235" s="17" t="s">
        <v>1902</v>
      </c>
      <c r="H235" s="3" t="s">
        <v>1928</v>
      </c>
      <c r="I235" s="3" t="s">
        <v>1929</v>
      </c>
      <c r="L235" s="2" t="s">
        <v>1930</v>
      </c>
      <c r="M235" s="2" t="s">
        <v>1461</v>
      </c>
      <c r="N235" s="18" t="s">
        <v>1931</v>
      </c>
      <c r="R235" s="2" t="str">
        <f>IF(ISERROR(VLOOKUP([1]IMM!F234,Table8[[#All],[Column2]:[Column3]],2,FALSE)),"",(VLOOKUP([1]IMM!F234,Table8[[#All],[Column2]:[Column3]],2,FALSE)))</f>
        <v/>
      </c>
      <c r="U235" s="2" t="str">
        <f>IF([1]IMM!P234="","",[1]IMM!P234)</f>
        <v/>
      </c>
      <c r="V235" s="2" t="str">
        <f t="shared" si="27"/>
        <v/>
      </c>
      <c r="W235" s="2" t="str">
        <f t="shared" si="28"/>
        <v/>
      </c>
      <c r="X235" s="2" t="str">
        <f t="shared" si="29"/>
        <v/>
      </c>
      <c r="Y235" s="16" t="str">
        <f t="shared" si="30"/>
        <v/>
      </c>
      <c r="Z235" s="16"/>
      <c r="AE235" s="3" t="str">
        <f>[1]Country!E234</f>
        <v>UA</v>
      </c>
      <c r="AF235" s="3" t="str">
        <f>[1]Country!C234</f>
        <v>Ukraine</v>
      </c>
      <c r="AH235" s="3" t="str">
        <f t="shared" si="31"/>
        <v>UKR</v>
      </c>
      <c r="AJ235" s="2" t="str">
        <f>IF([1]IMM!N234="","",[1]IMM!N234)</f>
        <v/>
      </c>
      <c r="AK235" s="16" t="str">
        <f t="shared" si="32"/>
        <v/>
      </c>
      <c r="AL235" s="16" t="str">
        <f t="shared" si="33"/>
        <v/>
      </c>
      <c r="AM235" s="2" t="str">
        <f t="shared" si="34"/>
        <v/>
      </c>
      <c r="AN235" s="16" t="str">
        <f t="shared" si="35"/>
        <v/>
      </c>
    </row>
    <row r="236" spans="4:40">
      <c r="D236" s="13" t="e">
        <f>#REF!</f>
        <v>#REF!</v>
      </c>
      <c r="G236" s="17" t="s">
        <v>1904</v>
      </c>
      <c r="H236" s="3" t="s">
        <v>1932</v>
      </c>
      <c r="I236" s="3" t="s">
        <v>1933</v>
      </c>
      <c r="L236" s="2" t="s">
        <v>1934</v>
      </c>
      <c r="M236" s="2" t="s">
        <v>1294</v>
      </c>
      <c r="N236" s="18" t="s">
        <v>882</v>
      </c>
      <c r="R236" s="2" t="str">
        <f>IF(ISERROR(VLOOKUP([1]IMM!F235,Table8[[#All],[Column2]:[Column3]],2,FALSE)),"",(VLOOKUP([1]IMM!F235,Table8[[#All],[Column2]:[Column3]],2,FALSE)))</f>
        <v/>
      </c>
      <c r="U236" s="2" t="str">
        <f>IF([1]IMM!P235="","",[1]IMM!P235)</f>
        <v/>
      </c>
      <c r="V236" s="2" t="str">
        <f t="shared" si="27"/>
        <v/>
      </c>
      <c r="W236" s="2" t="str">
        <f t="shared" si="28"/>
        <v/>
      </c>
      <c r="X236" s="2" t="str">
        <f t="shared" si="29"/>
        <v/>
      </c>
      <c r="Y236" s="16" t="str">
        <f t="shared" si="30"/>
        <v/>
      </c>
      <c r="Z236" s="16"/>
      <c r="AE236" s="3" t="str">
        <f>[1]Country!E235</f>
        <v>AE</v>
      </c>
      <c r="AF236" s="3" t="str">
        <f>[1]Country!C235</f>
        <v>United Arab Emirates</v>
      </c>
      <c r="AH236" s="3" t="str">
        <f t="shared" si="31"/>
        <v/>
      </c>
      <c r="AJ236" s="2" t="str">
        <f>IF([1]IMM!N235="","",[1]IMM!N235)</f>
        <v/>
      </c>
      <c r="AK236" s="16" t="str">
        <f t="shared" si="32"/>
        <v/>
      </c>
      <c r="AL236" s="16" t="str">
        <f t="shared" si="33"/>
        <v/>
      </c>
      <c r="AM236" s="2" t="str">
        <f t="shared" si="34"/>
        <v/>
      </c>
      <c r="AN236" s="16" t="str">
        <f t="shared" si="35"/>
        <v/>
      </c>
    </row>
    <row r="237" spans="4:40">
      <c r="D237" s="13" t="e">
        <f>#REF!</f>
        <v>#REF!</v>
      </c>
      <c r="G237" s="17" t="s">
        <v>1906</v>
      </c>
      <c r="H237" s="3" t="s">
        <v>1935</v>
      </c>
      <c r="I237" s="3" t="s">
        <v>1936</v>
      </c>
      <c r="L237" s="2" t="s">
        <v>1937</v>
      </c>
      <c r="M237" s="2" t="s">
        <v>1938</v>
      </c>
      <c r="N237" s="18" t="s">
        <v>1939</v>
      </c>
      <c r="R237" s="2" t="str">
        <f>IF(ISERROR(VLOOKUP([1]IMM!F236,Table8[[#All],[Column2]:[Column3]],2,FALSE)),"",(VLOOKUP([1]IMM!F236,Table8[[#All],[Column2]:[Column3]],2,FALSE)))</f>
        <v/>
      </c>
      <c r="U237" s="2" t="str">
        <f>IF([1]IMM!P236="","",[1]IMM!P236)</f>
        <v/>
      </c>
      <c r="V237" s="2" t="str">
        <f t="shared" si="27"/>
        <v/>
      </c>
      <c r="W237" s="2" t="str">
        <f t="shared" si="28"/>
        <v/>
      </c>
      <c r="X237" s="2" t="str">
        <f t="shared" si="29"/>
        <v/>
      </c>
      <c r="Y237" s="16" t="str">
        <f t="shared" si="30"/>
        <v/>
      </c>
      <c r="Z237" s="16"/>
      <c r="AE237" s="3" t="str">
        <f>[1]Country!E236</f>
        <v>US</v>
      </c>
      <c r="AF237" s="3" t="str">
        <f>[1]Country!C236</f>
        <v>United States</v>
      </c>
      <c r="AH237" s="3" t="str">
        <f t="shared" si="31"/>
        <v>USA</v>
      </c>
      <c r="AJ237" s="2" t="str">
        <f>IF([1]IMM!N236="","",[1]IMM!N236)</f>
        <v/>
      </c>
      <c r="AK237" s="16" t="str">
        <f t="shared" si="32"/>
        <v/>
      </c>
      <c r="AL237" s="16" t="str">
        <f t="shared" si="33"/>
        <v/>
      </c>
      <c r="AM237" s="2" t="str">
        <f t="shared" si="34"/>
        <v/>
      </c>
      <c r="AN237" s="16" t="str">
        <f t="shared" si="35"/>
        <v/>
      </c>
    </row>
    <row r="238" spans="4:40">
      <c r="D238" s="13" t="e">
        <f>#REF!</f>
        <v>#REF!</v>
      </c>
      <c r="G238" s="17" t="s">
        <v>1899</v>
      </c>
      <c r="H238" s="3" t="s">
        <v>1940</v>
      </c>
      <c r="I238" s="3" t="s">
        <v>1941</v>
      </c>
      <c r="L238" s="2" t="s">
        <v>1942</v>
      </c>
      <c r="M238" s="2" t="s">
        <v>1943</v>
      </c>
      <c r="N238" s="18" t="s">
        <v>1944</v>
      </c>
      <c r="R238" s="2" t="str">
        <f>IF(ISERROR(VLOOKUP([1]IMM!F237,Table8[[#All],[Column2]:[Column3]],2,FALSE)),"",(VLOOKUP([1]IMM!F237,Table8[[#All],[Column2]:[Column3]],2,FALSE)))</f>
        <v/>
      </c>
      <c r="U238" s="2" t="str">
        <f>IF([1]IMM!P237="","",[1]IMM!P237)</f>
        <v/>
      </c>
      <c r="V238" s="2" t="str">
        <f t="shared" si="27"/>
        <v/>
      </c>
      <c r="W238" s="2" t="str">
        <f t="shared" si="28"/>
        <v/>
      </c>
      <c r="X238" s="2" t="str">
        <f t="shared" si="29"/>
        <v/>
      </c>
      <c r="Y238" s="16" t="str">
        <f t="shared" si="30"/>
        <v/>
      </c>
      <c r="Z238" s="16"/>
      <c r="AE238" s="3" t="str">
        <f>[1]Country!E237</f>
        <v>UM</v>
      </c>
      <c r="AF238" s="3" t="str">
        <f>[1]Country!C237</f>
        <v>United States Minor Outlying Islands</v>
      </c>
      <c r="AH238" s="3" t="str">
        <f t="shared" si="31"/>
        <v/>
      </c>
      <c r="AJ238" s="2" t="str">
        <f>IF([1]IMM!N237="","",[1]IMM!N237)</f>
        <v/>
      </c>
      <c r="AK238" s="16" t="str">
        <f t="shared" si="32"/>
        <v/>
      </c>
      <c r="AL238" s="16" t="str">
        <f t="shared" si="33"/>
        <v/>
      </c>
      <c r="AM238" s="2" t="str">
        <f t="shared" si="34"/>
        <v/>
      </c>
      <c r="AN238" s="16" t="str">
        <f t="shared" si="35"/>
        <v/>
      </c>
    </row>
    <row r="239" spans="4:40">
      <c r="D239" s="13" t="e">
        <f>#REF!</f>
        <v>#REF!</v>
      </c>
      <c r="G239" s="17" t="s">
        <v>711</v>
      </c>
      <c r="H239" s="3" t="s">
        <v>1945</v>
      </c>
      <c r="I239" s="3" t="s">
        <v>713</v>
      </c>
      <c r="L239" s="2" t="s">
        <v>1946</v>
      </c>
      <c r="M239" s="2" t="s">
        <v>1199</v>
      </c>
      <c r="N239" s="18" t="s">
        <v>1947</v>
      </c>
      <c r="R239" s="2" t="str">
        <f>IF(ISERROR(VLOOKUP([1]IMM!F238,Table8[[#All],[Column2]:[Column3]],2,FALSE)),"",(VLOOKUP([1]IMM!F238,Table8[[#All],[Column2]:[Column3]],2,FALSE)))</f>
        <v/>
      </c>
      <c r="U239" s="2" t="str">
        <f>IF([1]IMM!P238="","",[1]IMM!P238)</f>
        <v/>
      </c>
      <c r="V239" s="2" t="str">
        <f t="shared" si="27"/>
        <v/>
      </c>
      <c r="W239" s="2" t="str">
        <f t="shared" si="28"/>
        <v/>
      </c>
      <c r="X239" s="2" t="str">
        <f t="shared" si="29"/>
        <v/>
      </c>
      <c r="Y239" s="16" t="str">
        <f t="shared" si="30"/>
        <v/>
      </c>
      <c r="Z239" s="16"/>
      <c r="AE239" s="3" t="str">
        <f>[1]Country!E238</f>
        <v>UY</v>
      </c>
      <c r="AF239" s="3" t="str">
        <f>[1]Country!C238</f>
        <v>Uruguay</v>
      </c>
      <c r="AH239" s="3" t="str">
        <f t="shared" si="31"/>
        <v/>
      </c>
      <c r="AJ239" s="2" t="str">
        <f>IF([1]IMM!N238="","",[1]IMM!N238)</f>
        <v/>
      </c>
      <c r="AK239" s="16" t="str">
        <f t="shared" si="32"/>
        <v/>
      </c>
      <c r="AL239" s="16" t="str">
        <f t="shared" si="33"/>
        <v/>
      </c>
      <c r="AM239" s="2" t="str">
        <f t="shared" si="34"/>
        <v/>
      </c>
      <c r="AN239" s="16" t="str">
        <f t="shared" si="35"/>
        <v/>
      </c>
    </row>
    <row r="240" spans="4:40">
      <c r="D240" s="13" t="e">
        <f>#REF!</f>
        <v>#REF!</v>
      </c>
      <c r="G240" s="17" t="s">
        <v>1918</v>
      </c>
      <c r="H240" s="3" t="s">
        <v>1948</v>
      </c>
      <c r="I240" s="3" t="s">
        <v>1949</v>
      </c>
      <c r="L240" s="2" t="s">
        <v>1950</v>
      </c>
      <c r="M240" s="2" t="s">
        <v>1951</v>
      </c>
      <c r="N240" s="18" t="s">
        <v>1952</v>
      </c>
      <c r="R240" s="2" t="str">
        <f>IF(ISERROR(VLOOKUP([1]IMM!F239,Table8[[#All],[Column2]:[Column3]],2,FALSE)),"",(VLOOKUP([1]IMM!F239,Table8[[#All],[Column2]:[Column3]],2,FALSE)))</f>
        <v/>
      </c>
      <c r="U240" s="2" t="str">
        <f>IF([1]IMM!P239="","",[1]IMM!P239)</f>
        <v/>
      </c>
      <c r="V240" s="2" t="str">
        <f t="shared" si="27"/>
        <v/>
      </c>
      <c r="W240" s="2" t="str">
        <f t="shared" si="28"/>
        <v/>
      </c>
      <c r="X240" s="2" t="str">
        <f t="shared" si="29"/>
        <v/>
      </c>
      <c r="Y240" s="16" t="str">
        <f t="shared" si="30"/>
        <v/>
      </c>
      <c r="Z240" s="16"/>
      <c r="AE240" s="3" t="str">
        <f>[1]Country!E239</f>
        <v>UZ</v>
      </c>
      <c r="AF240" s="3" t="str">
        <f>[1]Country!C239</f>
        <v>Uzbekistan</v>
      </c>
      <c r="AH240" s="3" t="str">
        <f t="shared" si="31"/>
        <v>UZB</v>
      </c>
      <c r="AJ240" s="2" t="str">
        <f>IF([1]IMM!N239="","",[1]IMM!N239)</f>
        <v/>
      </c>
      <c r="AK240" s="16" t="str">
        <f t="shared" si="32"/>
        <v/>
      </c>
      <c r="AL240" s="16" t="str">
        <f t="shared" si="33"/>
        <v/>
      </c>
      <c r="AM240" s="2" t="str">
        <f t="shared" si="34"/>
        <v/>
      </c>
      <c r="AN240" s="16" t="str">
        <f t="shared" si="35"/>
        <v/>
      </c>
    </row>
    <row r="241" spans="4:40">
      <c r="D241" s="13" t="e">
        <f>#REF!</f>
        <v>#REF!</v>
      </c>
      <c r="G241" s="17" t="s">
        <v>1876</v>
      </c>
      <c r="H241" s="3" t="s">
        <v>1953</v>
      </c>
      <c r="I241" s="3" t="s">
        <v>1954</v>
      </c>
      <c r="L241" s="2" t="s">
        <v>1955</v>
      </c>
      <c r="M241" s="2" t="s">
        <v>1956</v>
      </c>
      <c r="N241" s="18" t="s">
        <v>1957</v>
      </c>
      <c r="R241" s="2" t="str">
        <f>IF(ISERROR(VLOOKUP([1]IMM!F240,Table8[[#All],[Column2]:[Column3]],2,FALSE)),"",(VLOOKUP([1]IMM!F240,Table8[[#All],[Column2]:[Column3]],2,FALSE)))</f>
        <v/>
      </c>
      <c r="U241" s="2" t="str">
        <f>IF([1]IMM!P240="","",[1]IMM!P240)</f>
        <v/>
      </c>
      <c r="V241" s="2" t="str">
        <f t="shared" si="27"/>
        <v/>
      </c>
      <c r="W241" s="2" t="str">
        <f t="shared" si="28"/>
        <v/>
      </c>
      <c r="X241" s="2" t="str">
        <f t="shared" si="29"/>
        <v/>
      </c>
      <c r="Y241" s="16" t="str">
        <f t="shared" si="30"/>
        <v/>
      </c>
      <c r="Z241" s="16"/>
      <c r="AE241" s="3" t="str">
        <f>[1]Country!E240</f>
        <v>VU</v>
      </c>
      <c r="AF241" s="3" t="str">
        <f>[1]Country!C240</f>
        <v>Vanuatu</v>
      </c>
      <c r="AH241" s="3" t="str">
        <f t="shared" si="31"/>
        <v/>
      </c>
      <c r="AJ241" s="2" t="str">
        <f>IF([1]IMM!N240="","",[1]IMM!N240)</f>
        <v/>
      </c>
      <c r="AK241" s="16" t="str">
        <f t="shared" si="32"/>
        <v/>
      </c>
      <c r="AL241" s="16" t="str">
        <f t="shared" si="33"/>
        <v/>
      </c>
      <c r="AM241" s="2" t="str">
        <f t="shared" si="34"/>
        <v/>
      </c>
      <c r="AN241" s="16" t="str">
        <f t="shared" si="35"/>
        <v/>
      </c>
    </row>
    <row r="242" spans="4:40">
      <c r="D242" s="13" t="e">
        <f>#REF!</f>
        <v>#REF!</v>
      </c>
      <c r="G242" s="17" t="s">
        <v>1913</v>
      </c>
      <c r="H242" s="3" t="s">
        <v>722</v>
      </c>
      <c r="I242" s="3" t="s">
        <v>722</v>
      </c>
      <c r="L242" s="2" t="s">
        <v>1958</v>
      </c>
      <c r="M242" s="2" t="s">
        <v>1433</v>
      </c>
      <c r="N242" s="18" t="s">
        <v>1959</v>
      </c>
      <c r="R242" s="2" t="str">
        <f>IF(ISERROR(VLOOKUP([1]IMM!F241,Table8[[#All],[Column2]:[Column3]],2,FALSE)),"",(VLOOKUP([1]IMM!F241,Table8[[#All],[Column2]:[Column3]],2,FALSE)))</f>
        <v/>
      </c>
      <c r="U242" s="2" t="str">
        <f>IF([1]IMM!P241="","",[1]IMM!P241)</f>
        <v/>
      </c>
      <c r="V242" s="2" t="str">
        <f t="shared" si="27"/>
        <v/>
      </c>
      <c r="W242" s="2" t="str">
        <f t="shared" si="28"/>
        <v/>
      </c>
      <c r="X242" s="2" t="str">
        <f t="shared" si="29"/>
        <v/>
      </c>
      <c r="Y242" s="16" t="str">
        <f t="shared" si="30"/>
        <v/>
      </c>
      <c r="Z242" s="16"/>
      <c r="AE242" s="3" t="str">
        <f>[1]Country!E241</f>
        <v>VA</v>
      </c>
      <c r="AF242" s="3" t="str">
        <f>[1]Country!C241</f>
        <v>Vatican City State</v>
      </c>
      <c r="AH242" s="3" t="str">
        <f t="shared" si="31"/>
        <v/>
      </c>
      <c r="AJ242" s="2" t="str">
        <f>IF([1]IMM!N241="","",[1]IMM!N241)</f>
        <v/>
      </c>
      <c r="AK242" s="16" t="str">
        <f t="shared" si="32"/>
        <v/>
      </c>
      <c r="AL242" s="16" t="str">
        <f t="shared" si="33"/>
        <v/>
      </c>
      <c r="AM242" s="2" t="str">
        <f t="shared" si="34"/>
        <v/>
      </c>
      <c r="AN242" s="16" t="str">
        <f t="shared" si="35"/>
        <v/>
      </c>
    </row>
    <row r="243" spans="4:40">
      <c r="D243" s="13" t="e">
        <f>#REF!</f>
        <v>#REF!</v>
      </c>
      <c r="G243" s="17" t="s">
        <v>1896</v>
      </c>
      <c r="H243" s="3" t="s">
        <v>725</v>
      </c>
      <c r="I243" s="3" t="s">
        <v>725</v>
      </c>
      <c r="L243" s="2" t="s">
        <v>1960</v>
      </c>
      <c r="M243" s="2" t="s">
        <v>1205</v>
      </c>
      <c r="N243" s="18" t="s">
        <v>1961</v>
      </c>
      <c r="R243" s="2" t="str">
        <f>IF(ISERROR(VLOOKUP([1]IMM!F242,Table8[[#All],[Column2]:[Column3]],2,FALSE)),"",(VLOOKUP([1]IMM!F242,Table8[[#All],[Column2]:[Column3]],2,FALSE)))</f>
        <v/>
      </c>
      <c r="U243" s="2" t="str">
        <f>IF([1]IMM!P242="","",[1]IMM!P242)</f>
        <v/>
      </c>
      <c r="V243" s="2" t="str">
        <f t="shared" si="27"/>
        <v/>
      </c>
      <c r="W243" s="2" t="str">
        <f t="shared" si="28"/>
        <v/>
      </c>
      <c r="X243" s="2" t="str">
        <f t="shared" si="29"/>
        <v/>
      </c>
      <c r="Y243" s="16" t="str">
        <f t="shared" si="30"/>
        <v/>
      </c>
      <c r="Z243" s="16"/>
      <c r="AE243" s="3" t="str">
        <f>[1]Country!E242</f>
        <v>VE</v>
      </c>
      <c r="AF243" s="3" t="str">
        <f>[1]Country!C242</f>
        <v>Venezuela</v>
      </c>
      <c r="AH243" s="3" t="str">
        <f t="shared" si="31"/>
        <v/>
      </c>
      <c r="AJ243" s="2" t="str">
        <f>IF([1]IMM!N242="","",[1]IMM!N242)</f>
        <v/>
      </c>
      <c r="AK243" s="16" t="str">
        <f t="shared" si="32"/>
        <v/>
      </c>
      <c r="AL243" s="16" t="str">
        <f t="shared" si="33"/>
        <v/>
      </c>
      <c r="AM243" s="2" t="str">
        <f t="shared" si="34"/>
        <v/>
      </c>
      <c r="AN243" s="16" t="str">
        <f t="shared" si="35"/>
        <v/>
      </c>
    </row>
    <row r="244" spans="4:40">
      <c r="D244" s="13" t="e">
        <f>#REF!</f>
        <v>#REF!</v>
      </c>
      <c r="G244" s="17" t="s">
        <v>1923</v>
      </c>
      <c r="H244" s="3" t="s">
        <v>1962</v>
      </c>
      <c r="I244" s="3" t="s">
        <v>1963</v>
      </c>
      <c r="L244" s="2" t="s">
        <v>1964</v>
      </c>
      <c r="M244" s="2" t="s">
        <v>1965</v>
      </c>
      <c r="N244" s="18" t="s">
        <v>1966</v>
      </c>
      <c r="R244" s="2" t="str">
        <f>IF(ISERROR(VLOOKUP([1]IMM!F243,Table8[[#All],[Column2]:[Column3]],2,FALSE)),"",(VLOOKUP([1]IMM!F243,Table8[[#All],[Column2]:[Column3]],2,FALSE)))</f>
        <v/>
      </c>
      <c r="U244" s="2" t="str">
        <f>IF([1]IMM!P243="","",[1]IMM!P243)</f>
        <v/>
      </c>
      <c r="V244" s="2" t="str">
        <f t="shared" si="27"/>
        <v/>
      </c>
      <c r="W244" s="2" t="str">
        <f t="shared" si="28"/>
        <v/>
      </c>
      <c r="X244" s="2" t="str">
        <f t="shared" si="29"/>
        <v/>
      </c>
      <c r="Y244" s="16" t="str">
        <f t="shared" si="30"/>
        <v/>
      </c>
      <c r="Z244" s="16"/>
      <c r="AE244" s="3" t="str">
        <f>[1]Country!E243</f>
        <v>VN</v>
      </c>
      <c r="AF244" s="3" t="str">
        <f>[1]Country!C243</f>
        <v>Vietnam</v>
      </c>
      <c r="AH244" s="3" t="str">
        <f t="shared" si="31"/>
        <v>VNM</v>
      </c>
      <c r="AJ244" s="2" t="str">
        <f>IF([1]IMM!N243="","",[1]IMM!N243)</f>
        <v/>
      </c>
      <c r="AK244" s="16" t="str">
        <f t="shared" si="32"/>
        <v/>
      </c>
      <c r="AL244" s="16" t="str">
        <f t="shared" si="33"/>
        <v/>
      </c>
      <c r="AM244" s="2" t="str">
        <f t="shared" si="34"/>
        <v/>
      </c>
      <c r="AN244" s="16" t="str">
        <f t="shared" si="35"/>
        <v/>
      </c>
    </row>
    <row r="245" spans="4:40">
      <c r="D245" s="13" t="e">
        <f>#REF!</f>
        <v>#REF!</v>
      </c>
      <c r="G245" s="17" t="s">
        <v>1944</v>
      </c>
      <c r="H245" s="3" t="s">
        <v>733</v>
      </c>
      <c r="I245" s="3" t="s">
        <v>1967</v>
      </c>
      <c r="L245" s="2" t="s">
        <v>1968</v>
      </c>
      <c r="M245" s="2" t="s">
        <v>1969</v>
      </c>
      <c r="N245" s="18" t="s">
        <v>1970</v>
      </c>
      <c r="R245" s="2" t="str">
        <f>IF(ISERROR(VLOOKUP([1]IMM!F244,Table8[[#All],[Column2]:[Column3]],2,FALSE)),"",(VLOOKUP([1]IMM!F244,Table8[[#All],[Column2]:[Column3]],2,FALSE)))</f>
        <v/>
      </c>
      <c r="U245" s="2" t="str">
        <f>IF([1]IMM!P244="","",[1]IMM!P244)</f>
        <v/>
      </c>
      <c r="V245" s="2" t="str">
        <f t="shared" si="27"/>
        <v/>
      </c>
      <c r="W245" s="2" t="str">
        <f t="shared" si="28"/>
        <v/>
      </c>
      <c r="X245" s="2" t="str">
        <f t="shared" si="29"/>
        <v/>
      </c>
      <c r="Y245" s="16" t="str">
        <f t="shared" si="30"/>
        <v/>
      </c>
      <c r="Z245" s="16"/>
      <c r="AE245" s="3" t="str">
        <f>[1]Country!E244</f>
        <v>VG</v>
      </c>
      <c r="AF245" s="3" t="str">
        <f>[1]Country!C244</f>
        <v>Virgin Islands, British</v>
      </c>
      <c r="AH245" s="3" t="str">
        <f t="shared" si="31"/>
        <v/>
      </c>
      <c r="AJ245" s="2" t="str">
        <f>IF([1]IMM!N244="","",[1]IMM!N244)</f>
        <v/>
      </c>
      <c r="AK245" s="16" t="str">
        <f t="shared" si="32"/>
        <v/>
      </c>
      <c r="AL245" s="16" t="str">
        <f t="shared" si="33"/>
        <v/>
      </c>
      <c r="AM245" s="2" t="str">
        <f t="shared" si="34"/>
        <v/>
      </c>
      <c r="AN245" s="16" t="str">
        <f t="shared" si="35"/>
        <v/>
      </c>
    </row>
    <row r="246" spans="4:40">
      <c r="D246" s="13" t="e">
        <f>#REF!</f>
        <v>#REF!</v>
      </c>
      <c r="G246" s="17" t="s">
        <v>1931</v>
      </c>
      <c r="H246" s="3" t="s">
        <v>736</v>
      </c>
      <c r="I246" s="3" t="s">
        <v>1971</v>
      </c>
      <c r="L246" s="2" t="s">
        <v>1972</v>
      </c>
      <c r="M246" s="2" t="s">
        <v>1973</v>
      </c>
      <c r="N246" s="18" t="s">
        <v>1974</v>
      </c>
      <c r="R246" s="2" t="str">
        <f>IF(ISERROR(VLOOKUP([1]IMM!F245,Table8[[#All],[Column2]:[Column3]],2,FALSE)),"",(VLOOKUP([1]IMM!F245,Table8[[#All],[Column2]:[Column3]],2,FALSE)))</f>
        <v/>
      </c>
      <c r="U246" s="2" t="str">
        <f>IF([1]IMM!P245="","",[1]IMM!P245)</f>
        <v/>
      </c>
      <c r="V246" s="2" t="str">
        <f t="shared" si="27"/>
        <v/>
      </c>
      <c r="W246" s="2" t="str">
        <f t="shared" si="28"/>
        <v/>
      </c>
      <c r="X246" s="2" t="str">
        <f t="shared" si="29"/>
        <v/>
      </c>
      <c r="Y246" s="16" t="str">
        <f t="shared" si="30"/>
        <v/>
      </c>
      <c r="Z246" s="16"/>
      <c r="AE246" s="3" t="str">
        <f>[1]Country!E245</f>
        <v>VI</v>
      </c>
      <c r="AF246" s="3" t="str">
        <f>[1]Country!C245</f>
        <v>Virgin Islands, US</v>
      </c>
      <c r="AH246" s="3" t="str">
        <f t="shared" si="31"/>
        <v/>
      </c>
      <c r="AJ246" s="2" t="str">
        <f>IF([1]IMM!N245="","",[1]IMM!N245)</f>
        <v/>
      </c>
      <c r="AK246" s="16" t="str">
        <f t="shared" si="32"/>
        <v/>
      </c>
      <c r="AL246" s="16" t="str">
        <f t="shared" si="33"/>
        <v/>
      </c>
      <c r="AM246" s="2" t="str">
        <f t="shared" si="34"/>
        <v/>
      </c>
      <c r="AN246" s="16" t="str">
        <f t="shared" si="35"/>
        <v/>
      </c>
    </row>
    <row r="247" spans="4:40">
      <c r="D247" s="13" t="e">
        <f>#REF!</f>
        <v>#REF!</v>
      </c>
      <c r="G247" s="17" t="s">
        <v>1975</v>
      </c>
      <c r="H247" s="3" t="s">
        <v>739</v>
      </c>
      <c r="I247" s="3" t="s">
        <v>1976</v>
      </c>
      <c r="L247" s="2" t="s">
        <v>1977</v>
      </c>
      <c r="M247" s="2" t="s">
        <v>1978</v>
      </c>
      <c r="N247" s="18"/>
      <c r="R247" s="2" t="str">
        <f>IF(ISERROR(VLOOKUP([1]IMM!F246,Table8[[#All],[Column2]:[Column3]],2,FALSE)),"",(VLOOKUP([1]IMM!F246,Table8[[#All],[Column2]:[Column3]],2,FALSE)))</f>
        <v/>
      </c>
      <c r="U247" s="2" t="str">
        <f>IF([1]IMM!P246="","",[1]IMM!P246)</f>
        <v/>
      </c>
      <c r="V247" s="2" t="str">
        <f t="shared" si="27"/>
        <v/>
      </c>
      <c r="W247" s="2" t="str">
        <f t="shared" si="28"/>
        <v/>
      </c>
      <c r="X247" s="2" t="str">
        <f t="shared" si="29"/>
        <v/>
      </c>
      <c r="Y247" s="16" t="str">
        <f t="shared" si="30"/>
        <v/>
      </c>
      <c r="Z247" s="16"/>
      <c r="AE247" s="3" t="str">
        <f>[1]Country!E246</f>
        <v>WF</v>
      </c>
      <c r="AF247" s="3" t="str">
        <f>[1]Country!C246</f>
        <v>Wallis and Futuna Islands</v>
      </c>
      <c r="AH247" s="3" t="str">
        <f t="shared" si="31"/>
        <v/>
      </c>
      <c r="AJ247" s="2" t="str">
        <f>IF([1]IMM!N246="","",[1]IMM!N246)</f>
        <v/>
      </c>
      <c r="AK247" s="16" t="str">
        <f t="shared" si="32"/>
        <v/>
      </c>
      <c r="AL247" s="16" t="str">
        <f t="shared" si="33"/>
        <v/>
      </c>
      <c r="AM247" s="2" t="str">
        <f t="shared" si="34"/>
        <v/>
      </c>
      <c r="AN247" s="16" t="str">
        <f t="shared" si="35"/>
        <v/>
      </c>
    </row>
    <row r="248" spans="4:40">
      <c r="D248" s="13" t="e">
        <f>#REF!</f>
        <v>#REF!</v>
      </c>
      <c r="G248" s="17" t="s">
        <v>1927</v>
      </c>
      <c r="H248" s="3" t="s">
        <v>1979</v>
      </c>
      <c r="I248" s="3" t="s">
        <v>1980</v>
      </c>
      <c r="L248" s="2" t="s">
        <v>1981</v>
      </c>
      <c r="M248" s="2" t="s">
        <v>1480</v>
      </c>
      <c r="N248" s="18" t="s">
        <v>1982</v>
      </c>
      <c r="R248" s="2" t="str">
        <f>IF(ISERROR(VLOOKUP([1]IMM!F247,Table8[[#All],[Column2]:[Column3]],2,FALSE)),"",(VLOOKUP([1]IMM!F247,Table8[[#All],[Column2]:[Column3]],2,FALSE)))</f>
        <v/>
      </c>
      <c r="U248" s="2" t="str">
        <f>IF([1]IMM!P247="","",[1]IMM!P247)</f>
        <v/>
      </c>
      <c r="V248" s="2" t="str">
        <f t="shared" si="27"/>
        <v/>
      </c>
      <c r="W248" s="2" t="str">
        <f t="shared" si="28"/>
        <v/>
      </c>
      <c r="X248" s="2" t="str">
        <f t="shared" si="29"/>
        <v/>
      </c>
      <c r="Y248" s="16" t="str">
        <f t="shared" si="30"/>
        <v/>
      </c>
      <c r="Z248" s="16"/>
      <c r="AE248" s="3" t="str">
        <f>[1]Country!E247</f>
        <v>EH</v>
      </c>
      <c r="AF248" s="3" t="str">
        <f>[1]Country!C247</f>
        <v>Western Sahara</v>
      </c>
      <c r="AH248" s="3" t="str">
        <f t="shared" si="31"/>
        <v/>
      </c>
      <c r="AJ248" s="2" t="str">
        <f>IF([1]IMM!N247="","",[1]IMM!N247)</f>
        <v/>
      </c>
      <c r="AK248" s="16" t="str">
        <f t="shared" si="32"/>
        <v/>
      </c>
      <c r="AL248" s="16" t="str">
        <f t="shared" si="33"/>
        <v/>
      </c>
      <c r="AM248" s="2" t="str">
        <f t="shared" si="34"/>
        <v/>
      </c>
      <c r="AN248" s="16" t="str">
        <f t="shared" si="35"/>
        <v/>
      </c>
    </row>
    <row r="249" spans="4:40">
      <c r="D249" s="13" t="e">
        <f>#REF!</f>
        <v>#REF!</v>
      </c>
      <c r="G249" s="17" t="s">
        <v>1947</v>
      </c>
      <c r="H249" s="3" t="s">
        <v>1983</v>
      </c>
      <c r="I249" s="3" t="s">
        <v>1984</v>
      </c>
      <c r="L249" s="2" t="s">
        <v>1985</v>
      </c>
      <c r="M249" s="2" t="s">
        <v>1986</v>
      </c>
      <c r="N249" s="18"/>
      <c r="R249" s="2" t="str">
        <f>IF(ISERROR(VLOOKUP([1]IMM!F248,Table8[[#All],[Column2]:[Column3]],2,FALSE)),"",(VLOOKUP([1]IMM!F248,Table8[[#All],[Column2]:[Column3]],2,FALSE)))</f>
        <v/>
      </c>
      <c r="U249" s="2" t="str">
        <f>IF([1]IMM!P248="","",[1]IMM!P248)</f>
        <v/>
      </c>
      <c r="V249" s="2" t="str">
        <f t="shared" si="27"/>
        <v/>
      </c>
      <c r="W249" s="2" t="str">
        <f t="shared" si="28"/>
        <v/>
      </c>
      <c r="X249" s="2" t="str">
        <f t="shared" si="29"/>
        <v/>
      </c>
      <c r="Y249" s="16" t="str">
        <f t="shared" si="30"/>
        <v/>
      </c>
      <c r="Z249" s="16"/>
      <c r="AE249" s="3" t="str">
        <f>[1]Country!E248</f>
        <v>YE</v>
      </c>
      <c r="AF249" s="3" t="str">
        <f>[1]Country!C248</f>
        <v>Yemen</v>
      </c>
      <c r="AH249" s="3" t="str">
        <f t="shared" si="31"/>
        <v/>
      </c>
      <c r="AJ249" s="2" t="str">
        <f>IF([1]IMM!N248="","",[1]IMM!N248)</f>
        <v/>
      </c>
      <c r="AK249" s="16" t="str">
        <f t="shared" si="32"/>
        <v/>
      </c>
      <c r="AL249" s="16" t="str">
        <f t="shared" si="33"/>
        <v/>
      </c>
      <c r="AM249" s="2" t="str">
        <f t="shared" si="34"/>
        <v/>
      </c>
      <c r="AN249" s="16" t="str">
        <f t="shared" si="35"/>
        <v/>
      </c>
    </row>
    <row r="250" spans="4:40">
      <c r="D250" s="13" t="e">
        <f>#REF!</f>
        <v>#REF!</v>
      </c>
      <c r="G250" s="17" t="s">
        <v>1987</v>
      </c>
      <c r="H250" s="3" t="s">
        <v>748</v>
      </c>
      <c r="I250" s="3" t="s">
        <v>749</v>
      </c>
      <c r="L250" s="2" t="s">
        <v>1988</v>
      </c>
      <c r="M250" s="2" t="s">
        <v>1989</v>
      </c>
      <c r="N250" s="18"/>
      <c r="R250" s="2" t="str">
        <f>IF(ISERROR(VLOOKUP([1]IMM!F249,Table8[[#All],[Column2]:[Column3]],2,FALSE)),"",(VLOOKUP([1]IMM!F249,Table8[[#All],[Column2]:[Column3]],2,FALSE)))</f>
        <v/>
      </c>
      <c r="U250" s="2" t="str">
        <f>IF([1]IMM!P249="","",[1]IMM!P249)</f>
        <v/>
      </c>
      <c r="V250" s="2" t="str">
        <f t="shared" si="27"/>
        <v/>
      </c>
      <c r="W250" s="2" t="str">
        <f t="shared" si="28"/>
        <v/>
      </c>
      <c r="X250" s="2" t="str">
        <f t="shared" si="29"/>
        <v/>
      </c>
      <c r="Y250" s="16" t="str">
        <f t="shared" si="30"/>
        <v/>
      </c>
      <c r="Z250" s="16"/>
      <c r="AE250" s="3" t="str">
        <f>[1]Country!E249</f>
        <v>ZR</v>
      </c>
      <c r="AF250" s="3" t="str">
        <f>[1]Country!C249</f>
        <v>Zaire</v>
      </c>
      <c r="AH250" s="3" t="str">
        <f t="shared" si="31"/>
        <v/>
      </c>
      <c r="AJ250" s="2" t="str">
        <f>IF([1]IMM!N249="","",[1]IMM!N249)</f>
        <v/>
      </c>
      <c r="AK250" s="16" t="str">
        <f t="shared" si="32"/>
        <v/>
      </c>
      <c r="AL250" s="16" t="str">
        <f t="shared" si="33"/>
        <v/>
      </c>
      <c r="AM250" s="2" t="str">
        <f t="shared" si="34"/>
        <v/>
      </c>
      <c r="AN250" s="16" t="str">
        <f t="shared" si="35"/>
        <v/>
      </c>
    </row>
    <row r="251" spans="4:40">
      <c r="D251" s="13" t="e">
        <f>#REF!</f>
        <v>#REF!</v>
      </c>
      <c r="G251" s="17" t="s">
        <v>1939</v>
      </c>
      <c r="H251" s="3" t="s">
        <v>752</v>
      </c>
      <c r="I251" s="3" t="s">
        <v>752</v>
      </c>
      <c r="L251" s="2" t="s">
        <v>1990</v>
      </c>
      <c r="M251" s="2" t="s">
        <v>1283</v>
      </c>
      <c r="N251" s="18" t="s">
        <v>1991</v>
      </c>
      <c r="R251" s="2" t="str">
        <f>IF(ISERROR(VLOOKUP([1]IMM!F250,Table8[[#All],[Column2]:[Column3]],2,FALSE)),"",(VLOOKUP([1]IMM!F250,Table8[[#All],[Column2]:[Column3]],2,FALSE)))</f>
        <v/>
      </c>
      <c r="U251" s="2" t="str">
        <f>IF([1]IMM!P250="","",[1]IMM!P250)</f>
        <v/>
      </c>
      <c r="V251" s="2" t="str">
        <f t="shared" si="27"/>
        <v/>
      </c>
      <c r="W251" s="2" t="str">
        <f t="shared" si="28"/>
        <v/>
      </c>
      <c r="X251" s="2" t="str">
        <f t="shared" si="29"/>
        <v/>
      </c>
      <c r="Y251" s="16" t="str">
        <f t="shared" si="30"/>
        <v/>
      </c>
      <c r="Z251" s="16"/>
      <c r="AE251" s="3" t="str">
        <f>[1]Country!E250</f>
        <v>ZM</v>
      </c>
      <c r="AF251" s="3" t="str">
        <f>[1]Country!C250</f>
        <v>Zambia</v>
      </c>
      <c r="AH251" s="3" t="str">
        <f t="shared" si="31"/>
        <v>ZMB</v>
      </c>
      <c r="AJ251" s="2" t="str">
        <f>IF([1]IMM!N250="","",[1]IMM!N250)</f>
        <v/>
      </c>
      <c r="AK251" s="16" t="str">
        <f t="shared" si="32"/>
        <v/>
      </c>
      <c r="AL251" s="16" t="str">
        <f t="shared" si="33"/>
        <v/>
      </c>
      <c r="AM251" s="2" t="str">
        <f t="shared" si="34"/>
        <v/>
      </c>
      <c r="AN251" s="16" t="str">
        <f t="shared" si="35"/>
        <v/>
      </c>
    </row>
    <row r="252" spans="4:40">
      <c r="D252" s="13" t="e">
        <f>#REF!</f>
        <v>#REF!</v>
      </c>
      <c r="G252" s="17" t="s">
        <v>1992</v>
      </c>
      <c r="H252" s="3" t="s">
        <v>755</v>
      </c>
      <c r="I252" s="3" t="s">
        <v>755</v>
      </c>
      <c r="L252" s="2" t="s">
        <v>1993</v>
      </c>
      <c r="M252" s="2" t="s">
        <v>1994</v>
      </c>
      <c r="N252" s="18" t="s">
        <v>1995</v>
      </c>
      <c r="R252" s="2" t="str">
        <f>IF(ISERROR(VLOOKUP([1]IMM!F251,Table8[[#All],[Column2]:[Column3]],2,FALSE)),"",(VLOOKUP([1]IMM!F251,Table8[[#All],[Column2]:[Column3]],2,FALSE)))</f>
        <v/>
      </c>
      <c r="U252" s="2" t="str">
        <f>IF([1]IMM!P251="","",[1]IMM!P251)</f>
        <v/>
      </c>
      <c r="V252" s="2" t="str">
        <f t="shared" si="27"/>
        <v/>
      </c>
      <c r="W252" s="2" t="str">
        <f t="shared" si="28"/>
        <v/>
      </c>
      <c r="X252" s="2" t="str">
        <f t="shared" si="29"/>
        <v/>
      </c>
      <c r="Y252" s="16" t="str">
        <f t="shared" si="30"/>
        <v/>
      </c>
      <c r="Z252" s="16"/>
      <c r="AE252" s="3" t="str">
        <f>[1]Country!E251</f>
        <v>ZW</v>
      </c>
      <c r="AF252" s="3" t="str">
        <f>[1]Country!C251</f>
        <v>Zimbabwe</v>
      </c>
      <c r="AH252" s="3" t="str">
        <f t="shared" si="31"/>
        <v/>
      </c>
      <c r="AJ252" s="2" t="str">
        <f>IF([1]IMM!N251="","",[1]IMM!N251)</f>
        <v/>
      </c>
      <c r="AK252" s="16" t="str">
        <f t="shared" si="32"/>
        <v/>
      </c>
      <c r="AL252" s="16" t="str">
        <f t="shared" si="33"/>
        <v/>
      </c>
      <c r="AM252" s="2" t="str">
        <f t="shared" si="34"/>
        <v/>
      </c>
      <c r="AN252" s="16" t="str">
        <f t="shared" si="35"/>
        <v/>
      </c>
    </row>
    <row r="253" spans="4:40">
      <c r="D253" s="13" t="e">
        <f>#REF!</f>
        <v>#REF!</v>
      </c>
      <c r="G253" s="17" t="s">
        <v>1996</v>
      </c>
      <c r="H253" s="3" t="s">
        <v>758</v>
      </c>
      <c r="I253" s="3" t="s">
        <v>758</v>
      </c>
      <c r="R253" s="2" t="str">
        <f>IF(ISERROR(VLOOKUP([1]IMM!F252,Table8[[#All],[Column2]:[Column3]],2,FALSE)),"",(VLOOKUP([1]IMM!F252,Table8[[#All],[Column2]:[Column3]],2,FALSE)))</f>
        <v/>
      </c>
      <c r="U253" s="2" t="str">
        <f>IF([1]IMM!P252="","",[1]IMM!P252)</f>
        <v/>
      </c>
      <c r="V253" s="2" t="str">
        <f t="shared" si="27"/>
        <v/>
      </c>
      <c r="W253" s="2" t="str">
        <f t="shared" si="28"/>
        <v/>
      </c>
      <c r="X253" s="2" t="str">
        <f t="shared" si="29"/>
        <v/>
      </c>
      <c r="Y253" s="16" t="str">
        <f t="shared" si="30"/>
        <v/>
      </c>
      <c r="Z253" s="16"/>
      <c r="AJ253" s="2" t="str">
        <f>IF([1]IMM!N252="","",[1]IMM!N252)</f>
        <v/>
      </c>
      <c r="AK253" s="16" t="str">
        <f t="shared" si="32"/>
        <v/>
      </c>
      <c r="AL253" s="16" t="str">
        <f t="shared" si="33"/>
        <v/>
      </c>
      <c r="AM253" s="2" t="str">
        <f t="shared" si="34"/>
        <v/>
      </c>
      <c r="AN253" s="16" t="str">
        <f t="shared" si="35"/>
        <v/>
      </c>
    </row>
    <row r="254" spans="4:40">
      <c r="D254" s="13" t="e">
        <f>#REF!</f>
        <v>#REF!</v>
      </c>
      <c r="G254" s="17" t="s">
        <v>1957</v>
      </c>
      <c r="H254" s="3" t="s">
        <v>1997</v>
      </c>
      <c r="I254" s="3" t="s">
        <v>1998</v>
      </c>
      <c r="R254" s="2" t="str">
        <f>IF(ISERROR(VLOOKUP([1]IMM!F253,Table8[[#All],[Column2]:[Column3]],2,FALSE)),"",(VLOOKUP([1]IMM!F253,Table8[[#All],[Column2]:[Column3]],2,FALSE)))</f>
        <v/>
      </c>
      <c r="U254" s="2" t="str">
        <f>IF([1]IMM!P253="","",[1]IMM!P253)</f>
        <v/>
      </c>
      <c r="V254" s="2" t="str">
        <f t="shared" si="27"/>
        <v/>
      </c>
      <c r="W254" s="2" t="str">
        <f t="shared" si="28"/>
        <v/>
      </c>
      <c r="X254" s="2" t="str">
        <f t="shared" si="29"/>
        <v/>
      </c>
      <c r="Y254" s="16" t="str">
        <f t="shared" si="30"/>
        <v/>
      </c>
      <c r="Z254" s="16"/>
      <c r="AJ254" s="2" t="str">
        <f>IF([1]IMM!N253="","",[1]IMM!N253)</f>
        <v/>
      </c>
      <c r="AK254" s="16" t="str">
        <f t="shared" si="32"/>
        <v/>
      </c>
      <c r="AL254" s="16" t="str">
        <f t="shared" si="33"/>
        <v/>
      </c>
      <c r="AM254" s="2" t="str">
        <f t="shared" si="34"/>
        <v/>
      </c>
      <c r="AN254" s="16" t="str">
        <f t="shared" si="35"/>
        <v/>
      </c>
    </row>
    <row r="255" spans="4:40">
      <c r="D255" s="13" t="e">
        <f>#REF!</f>
        <v>#REF!</v>
      </c>
      <c r="G255" s="17" t="s">
        <v>1959</v>
      </c>
      <c r="H255" s="3" t="s">
        <v>1999</v>
      </c>
      <c r="I255" s="3" t="s">
        <v>2000</v>
      </c>
      <c r="R255" s="2" t="str">
        <f>IF(ISERROR(VLOOKUP([1]IMM!F254,Table8[[#All],[Column2]:[Column3]],2,FALSE)),"",(VLOOKUP([1]IMM!F254,Table8[[#All],[Column2]:[Column3]],2,FALSE)))</f>
        <v/>
      </c>
      <c r="U255" s="2" t="str">
        <f>IF([1]IMM!P254="","",[1]IMM!P254)</f>
        <v/>
      </c>
      <c r="V255" s="2" t="str">
        <f t="shared" si="27"/>
        <v/>
      </c>
      <c r="W255" s="2" t="str">
        <f t="shared" si="28"/>
        <v/>
      </c>
      <c r="X255" s="2" t="str">
        <f t="shared" si="29"/>
        <v/>
      </c>
      <c r="Y255" s="16" t="str">
        <f t="shared" si="30"/>
        <v/>
      </c>
      <c r="Z255" s="16"/>
      <c r="AJ255" s="2" t="str">
        <f>IF([1]IMM!N254="","",[1]IMM!N254)</f>
        <v/>
      </c>
      <c r="AK255" s="16" t="str">
        <f t="shared" si="32"/>
        <v/>
      </c>
      <c r="AL255" s="16" t="str">
        <f t="shared" si="33"/>
        <v/>
      </c>
      <c r="AM255" s="2" t="str">
        <f t="shared" si="34"/>
        <v/>
      </c>
      <c r="AN255" s="16" t="str">
        <f t="shared" si="35"/>
        <v/>
      </c>
    </row>
    <row r="256" spans="4:40">
      <c r="D256" s="13" t="e">
        <f>#REF!</f>
        <v>#REF!</v>
      </c>
      <c r="G256" s="17" t="s">
        <v>1961</v>
      </c>
      <c r="H256" s="3" t="s">
        <v>2001</v>
      </c>
      <c r="I256" s="3" t="s">
        <v>2002</v>
      </c>
      <c r="R256" s="2" t="str">
        <f>IF(ISERROR(VLOOKUP([1]IMM!F255,Table8[[#All],[Column2]:[Column3]],2,FALSE)),"",(VLOOKUP([1]IMM!F255,Table8[[#All],[Column2]:[Column3]],2,FALSE)))</f>
        <v/>
      </c>
      <c r="U256" s="2" t="str">
        <f>IF([1]IMM!P255="","",[1]IMM!P255)</f>
        <v/>
      </c>
      <c r="V256" s="2" t="str">
        <f t="shared" si="27"/>
        <v/>
      </c>
      <c r="W256" s="2" t="str">
        <f t="shared" si="28"/>
        <v/>
      </c>
      <c r="X256" s="2" t="str">
        <f t="shared" si="29"/>
        <v/>
      </c>
      <c r="Y256" s="16" t="str">
        <f t="shared" si="30"/>
        <v/>
      </c>
      <c r="Z256" s="16"/>
      <c r="AJ256" s="2" t="str">
        <f>IF([1]IMM!N255="","",[1]IMM!N255)</f>
        <v/>
      </c>
      <c r="AK256" s="16" t="str">
        <f t="shared" si="32"/>
        <v/>
      </c>
      <c r="AL256" s="16" t="str">
        <f t="shared" si="33"/>
        <v/>
      </c>
      <c r="AM256" s="2" t="str">
        <f t="shared" si="34"/>
        <v/>
      </c>
      <c r="AN256" s="16" t="str">
        <f t="shared" si="35"/>
        <v/>
      </c>
    </row>
    <row r="257" spans="4:40">
      <c r="D257" s="13" t="e">
        <f>#REF!</f>
        <v>#REF!</v>
      </c>
      <c r="G257" s="17" t="s">
        <v>1952</v>
      </c>
      <c r="H257" s="3" t="s">
        <v>2003</v>
      </c>
      <c r="I257" s="3" t="s">
        <v>2004</v>
      </c>
      <c r="R257" s="2" t="str">
        <f>IF(ISERROR(VLOOKUP([1]IMM!F256,Table8[[#All],[Column2]:[Column3]],2,FALSE)),"",(VLOOKUP([1]IMM!F256,Table8[[#All],[Column2]:[Column3]],2,FALSE)))</f>
        <v/>
      </c>
      <c r="U257" s="2" t="str">
        <f>IF([1]IMM!P256="","",[1]IMM!P256)</f>
        <v/>
      </c>
      <c r="V257" s="2" t="str">
        <f t="shared" si="27"/>
        <v/>
      </c>
      <c r="W257" s="2" t="str">
        <f t="shared" si="28"/>
        <v/>
      </c>
      <c r="X257" s="2" t="str">
        <f t="shared" si="29"/>
        <v/>
      </c>
      <c r="Y257" s="16" t="str">
        <f t="shared" si="30"/>
        <v/>
      </c>
      <c r="Z257" s="16"/>
      <c r="AJ257" s="2" t="str">
        <f>IF([1]IMM!N256="","",[1]IMM!N256)</f>
        <v/>
      </c>
      <c r="AK257" s="16" t="str">
        <f t="shared" si="32"/>
        <v/>
      </c>
      <c r="AL257" s="16" t="str">
        <f t="shared" si="33"/>
        <v/>
      </c>
      <c r="AM257" s="2" t="str">
        <f t="shared" si="34"/>
        <v/>
      </c>
      <c r="AN257" s="16" t="str">
        <f t="shared" si="35"/>
        <v/>
      </c>
    </row>
    <row r="258" spans="4:40">
      <c r="D258" s="13" t="e">
        <f>#REF!</f>
        <v>#REF!</v>
      </c>
      <c r="G258" s="17" t="s">
        <v>1970</v>
      </c>
      <c r="H258" s="3" t="s">
        <v>2005</v>
      </c>
      <c r="I258" s="3" t="s">
        <v>2006</v>
      </c>
      <c r="R258" s="2" t="str">
        <f>IF(ISERROR(VLOOKUP([1]IMM!F257,Table8[[#All],[Column2]:[Column3]],2,FALSE)),"",(VLOOKUP([1]IMM!F257,Table8[[#All],[Column2]:[Column3]],2,FALSE)))</f>
        <v/>
      </c>
      <c r="U258" s="2" t="str">
        <f>IF([1]IMM!P257="","",[1]IMM!P257)</f>
        <v/>
      </c>
      <c r="V258" s="2" t="str">
        <f t="shared" si="27"/>
        <v/>
      </c>
      <c r="W258" s="2" t="str">
        <f t="shared" si="28"/>
        <v/>
      </c>
      <c r="X258" s="2" t="str">
        <f t="shared" si="29"/>
        <v/>
      </c>
      <c r="Y258" s="16" t="str">
        <f t="shared" si="30"/>
        <v/>
      </c>
      <c r="Z258" s="16"/>
      <c r="AJ258" s="2" t="str">
        <f>IF([1]IMM!N257="","",[1]IMM!N257)</f>
        <v/>
      </c>
      <c r="AK258" s="16" t="str">
        <f t="shared" si="32"/>
        <v/>
      </c>
      <c r="AL258" s="16" t="str">
        <f t="shared" si="33"/>
        <v/>
      </c>
      <c r="AM258" s="2" t="str">
        <f t="shared" si="34"/>
        <v/>
      </c>
      <c r="AN258" s="16" t="str">
        <f t="shared" si="35"/>
        <v/>
      </c>
    </row>
    <row r="259" spans="4:40">
      <c r="D259" s="13" t="e">
        <f>#REF!</f>
        <v>#REF!</v>
      </c>
      <c r="G259" s="17" t="s">
        <v>1966</v>
      </c>
      <c r="H259" s="3" t="s">
        <v>2007</v>
      </c>
      <c r="I259" s="3" t="s">
        <v>2007</v>
      </c>
      <c r="R259" s="2" t="str">
        <f>IF(ISERROR(VLOOKUP([1]IMM!F258,Table8[[#All],[Column2]:[Column3]],2,FALSE)),"",(VLOOKUP([1]IMM!F258,Table8[[#All],[Column2]:[Column3]],2,FALSE)))</f>
        <v/>
      </c>
      <c r="U259" s="2" t="str">
        <f>IF([1]IMM!P258="","",[1]IMM!P258)</f>
        <v/>
      </c>
      <c r="V259" s="2" t="str">
        <f t="shared" si="27"/>
        <v/>
      </c>
      <c r="W259" s="2" t="str">
        <f t="shared" si="28"/>
        <v/>
      </c>
      <c r="X259" s="2" t="str">
        <f t="shared" si="29"/>
        <v/>
      </c>
      <c r="Y259" s="16" t="str">
        <f t="shared" si="30"/>
        <v/>
      </c>
      <c r="Z259" s="16"/>
      <c r="AJ259" s="2" t="str">
        <f>IF([1]IMM!N258="","",[1]IMM!N258)</f>
        <v/>
      </c>
      <c r="AK259" s="16" t="str">
        <f t="shared" si="32"/>
        <v/>
      </c>
      <c r="AL259" s="16" t="str">
        <f t="shared" si="33"/>
        <v/>
      </c>
      <c r="AM259" s="2" t="str">
        <f t="shared" si="34"/>
        <v/>
      </c>
      <c r="AN259" s="16" t="str">
        <f t="shared" si="35"/>
        <v/>
      </c>
    </row>
    <row r="260" spans="4:40">
      <c r="D260" s="13" t="e">
        <f>#REF!</f>
        <v>#REF!</v>
      </c>
      <c r="G260" s="17" t="s">
        <v>1974</v>
      </c>
      <c r="H260" s="3" t="s">
        <v>776</v>
      </c>
      <c r="I260" s="3" t="s">
        <v>776</v>
      </c>
      <c r="R260" s="2" t="str">
        <f>IF(ISERROR(VLOOKUP([1]IMM!F259,Table8[[#All],[Column2]:[Column3]],2,FALSE)),"",(VLOOKUP([1]IMM!F259,Table8[[#All],[Column2]:[Column3]],2,FALSE)))</f>
        <v/>
      </c>
      <c r="U260" s="2" t="str">
        <f>IF([1]IMM!P259="","",[1]IMM!P259)</f>
        <v/>
      </c>
      <c r="V260" s="2" t="str">
        <f t="shared" ref="V260:V323" si="36">LEFT(U260,2)</f>
        <v/>
      </c>
      <c r="W260" s="2" t="str">
        <f t="shared" ref="W260:W323" si="37">MID(U260,4,2)</f>
        <v/>
      </c>
      <c r="X260" s="2" t="str">
        <f t="shared" ref="X260:X323" si="38">RIGHT(U260,4)</f>
        <v/>
      </c>
      <c r="Y260" s="16" t="str">
        <f t="shared" ref="Y260:Y323" si="39">IFERROR(DATE(X260,V260,W260),"")</f>
        <v/>
      </c>
      <c r="Z260" s="16"/>
      <c r="AJ260" s="2" t="str">
        <f>IF([1]IMM!N259="","",[1]IMM!N259)</f>
        <v/>
      </c>
      <c r="AK260" s="16" t="str">
        <f t="shared" ref="AK260:AK323" si="40">LEFT(AJ260,2)</f>
        <v/>
      </c>
      <c r="AL260" s="16" t="str">
        <f t="shared" ref="AL260:AL323" si="41">MID(AJ260,4,2)</f>
        <v/>
      </c>
      <c r="AM260" s="2" t="str">
        <f t="shared" ref="AM260:AM323" si="42">RIGHT(AJ260,4)</f>
        <v/>
      </c>
      <c r="AN260" s="16" t="str">
        <f t="shared" ref="AN260:AN323" si="43">IFERROR(DATE(AM260,AK260,AL260),"")</f>
        <v/>
      </c>
    </row>
    <row r="261" spans="4:40">
      <c r="D261" s="13" t="e">
        <f>#REF!</f>
        <v>#REF!</v>
      </c>
      <c r="G261" s="17" t="s">
        <v>2008</v>
      </c>
      <c r="H261" s="3" t="s">
        <v>779</v>
      </c>
      <c r="I261" s="3" t="s">
        <v>779</v>
      </c>
      <c r="R261" s="2" t="str">
        <f>IF(ISERROR(VLOOKUP([1]IMM!F260,Table8[[#All],[Column2]:[Column3]],2,FALSE)),"",(VLOOKUP([1]IMM!F260,Table8[[#All],[Column2]:[Column3]],2,FALSE)))</f>
        <v/>
      </c>
      <c r="U261" s="2" t="str">
        <f>IF([1]IMM!P260="","",[1]IMM!P260)</f>
        <v/>
      </c>
      <c r="V261" s="2" t="str">
        <f t="shared" si="36"/>
        <v/>
      </c>
      <c r="W261" s="2" t="str">
        <f t="shared" si="37"/>
        <v/>
      </c>
      <c r="X261" s="2" t="str">
        <f t="shared" si="38"/>
        <v/>
      </c>
      <c r="Y261" s="16" t="str">
        <f t="shared" si="39"/>
        <v/>
      </c>
      <c r="Z261" s="16"/>
      <c r="AJ261" s="2" t="str">
        <f>IF([1]IMM!N260="","",[1]IMM!N260)</f>
        <v/>
      </c>
      <c r="AK261" s="16" t="str">
        <f t="shared" si="40"/>
        <v/>
      </c>
      <c r="AL261" s="16" t="str">
        <f t="shared" si="41"/>
        <v/>
      </c>
      <c r="AM261" s="2" t="str">
        <f t="shared" si="42"/>
        <v/>
      </c>
      <c r="AN261" s="16" t="str">
        <f t="shared" si="43"/>
        <v/>
      </c>
    </row>
    <row r="262" spans="4:40">
      <c r="D262" s="13" t="e">
        <f>#REF!</f>
        <v>#REF!</v>
      </c>
      <c r="G262" s="17" t="s">
        <v>2009</v>
      </c>
      <c r="H262" s="3" t="s">
        <v>782</v>
      </c>
      <c r="I262" s="3" t="s">
        <v>782</v>
      </c>
      <c r="R262" s="2" t="str">
        <f>IF(ISERROR(VLOOKUP([1]IMM!F261,Table8[[#All],[Column2]:[Column3]],2,FALSE)),"",(VLOOKUP([1]IMM!F261,Table8[[#All],[Column2]:[Column3]],2,FALSE)))</f>
        <v/>
      </c>
      <c r="U262" s="2" t="str">
        <f>IF([1]IMM!P261="","",[1]IMM!P261)</f>
        <v/>
      </c>
      <c r="V262" s="2" t="str">
        <f t="shared" si="36"/>
        <v/>
      </c>
      <c r="W262" s="2" t="str">
        <f t="shared" si="37"/>
        <v/>
      </c>
      <c r="X262" s="2" t="str">
        <f t="shared" si="38"/>
        <v/>
      </c>
      <c r="Y262" s="16" t="str">
        <f t="shared" si="39"/>
        <v/>
      </c>
      <c r="Z262" s="16"/>
      <c r="AJ262" s="2" t="str">
        <f>IF([1]IMM!N261="","",[1]IMM!N261)</f>
        <v/>
      </c>
      <c r="AK262" s="16" t="str">
        <f t="shared" si="40"/>
        <v/>
      </c>
      <c r="AL262" s="16" t="str">
        <f t="shared" si="41"/>
        <v/>
      </c>
      <c r="AM262" s="2" t="str">
        <f t="shared" si="42"/>
        <v/>
      </c>
      <c r="AN262" s="16" t="str">
        <f t="shared" si="43"/>
        <v/>
      </c>
    </row>
    <row r="263" spans="4:40">
      <c r="D263" s="13" t="e">
        <f>#REF!</f>
        <v>#REF!</v>
      </c>
      <c r="G263" s="17" t="s">
        <v>1982</v>
      </c>
      <c r="H263" s="3" t="s">
        <v>2010</v>
      </c>
      <c r="I263" s="3" t="s">
        <v>2011</v>
      </c>
      <c r="R263" s="2" t="str">
        <f>IF(ISERROR(VLOOKUP([1]IMM!F262,Table8[[#All],[Column2]:[Column3]],2,FALSE)),"",(VLOOKUP([1]IMM!F262,Table8[[#All],[Column2]:[Column3]],2,FALSE)))</f>
        <v/>
      </c>
      <c r="U263" s="2" t="str">
        <f>IF([1]IMM!P262="","",[1]IMM!P262)</f>
        <v/>
      </c>
      <c r="V263" s="2" t="str">
        <f t="shared" si="36"/>
        <v/>
      </c>
      <c r="W263" s="2" t="str">
        <f t="shared" si="37"/>
        <v/>
      </c>
      <c r="X263" s="2" t="str">
        <f t="shared" si="38"/>
        <v/>
      </c>
      <c r="Y263" s="16" t="str">
        <f t="shared" si="39"/>
        <v/>
      </c>
      <c r="Z263" s="16"/>
      <c r="AJ263" s="2" t="str">
        <f>IF([1]IMM!N262="","",[1]IMM!N262)</f>
        <v/>
      </c>
      <c r="AK263" s="16" t="str">
        <f t="shared" si="40"/>
        <v/>
      </c>
      <c r="AL263" s="16" t="str">
        <f t="shared" si="41"/>
        <v/>
      </c>
      <c r="AM263" s="2" t="str">
        <f t="shared" si="42"/>
        <v/>
      </c>
      <c r="AN263" s="16" t="str">
        <f t="shared" si="43"/>
        <v/>
      </c>
    </row>
    <row r="264" spans="4:40">
      <c r="D264" s="13" t="e">
        <f>#REF!</f>
        <v>#REF!</v>
      </c>
      <c r="G264" s="17" t="s">
        <v>2012</v>
      </c>
      <c r="H264" s="3" t="s">
        <v>2013</v>
      </c>
      <c r="I264" s="3" t="s">
        <v>2014</v>
      </c>
      <c r="R264" s="2" t="str">
        <f>IF(ISERROR(VLOOKUP([1]IMM!F263,Table8[[#All],[Column2]:[Column3]],2,FALSE)),"",(VLOOKUP([1]IMM!F263,Table8[[#All],[Column2]:[Column3]],2,FALSE)))</f>
        <v/>
      </c>
      <c r="U264" s="2" t="str">
        <f>IF([1]IMM!P263="","",[1]IMM!P263)</f>
        <v/>
      </c>
      <c r="V264" s="2" t="str">
        <f t="shared" si="36"/>
        <v/>
      </c>
      <c r="W264" s="2" t="str">
        <f t="shared" si="37"/>
        <v/>
      </c>
      <c r="X264" s="2" t="str">
        <f t="shared" si="38"/>
        <v/>
      </c>
      <c r="Y264" s="16" t="str">
        <f t="shared" si="39"/>
        <v/>
      </c>
      <c r="Z264" s="16"/>
      <c r="AJ264" s="2" t="str">
        <f>IF([1]IMM!N263="","",[1]IMM!N263)</f>
        <v/>
      </c>
      <c r="AK264" s="16" t="str">
        <f t="shared" si="40"/>
        <v/>
      </c>
      <c r="AL264" s="16" t="str">
        <f t="shared" si="41"/>
        <v/>
      </c>
      <c r="AM264" s="2" t="str">
        <f t="shared" si="42"/>
        <v/>
      </c>
      <c r="AN264" s="16" t="str">
        <f t="shared" si="43"/>
        <v/>
      </c>
    </row>
    <row r="265" spans="4:40">
      <c r="D265" s="13" t="e">
        <f>#REF!</f>
        <v>#REF!</v>
      </c>
      <c r="G265" s="17" t="s">
        <v>789</v>
      </c>
      <c r="H265" s="3" t="s">
        <v>790</v>
      </c>
      <c r="I265" s="3" t="s">
        <v>2015</v>
      </c>
      <c r="R265" s="2" t="str">
        <f>IF(ISERROR(VLOOKUP([1]IMM!F264,Table8[[#All],[Column2]:[Column3]],2,FALSE)),"",(VLOOKUP([1]IMM!F264,Table8[[#All],[Column2]:[Column3]],2,FALSE)))</f>
        <v/>
      </c>
      <c r="U265" s="2" t="str">
        <f>IF([1]IMM!P264="","",[1]IMM!P264)</f>
        <v/>
      </c>
      <c r="V265" s="2" t="str">
        <f t="shared" si="36"/>
        <v/>
      </c>
      <c r="W265" s="2" t="str">
        <f t="shared" si="37"/>
        <v/>
      </c>
      <c r="X265" s="2" t="str">
        <f t="shared" si="38"/>
        <v/>
      </c>
      <c r="Y265" s="16" t="str">
        <f t="shared" si="39"/>
        <v/>
      </c>
      <c r="Z265" s="16"/>
      <c r="AJ265" s="2" t="str">
        <f>IF([1]IMM!N264="","",[1]IMM!N264)</f>
        <v/>
      </c>
      <c r="AK265" s="16" t="str">
        <f t="shared" si="40"/>
        <v/>
      </c>
      <c r="AL265" s="16" t="str">
        <f t="shared" si="41"/>
        <v/>
      </c>
      <c r="AM265" s="2" t="str">
        <f t="shared" si="42"/>
        <v/>
      </c>
      <c r="AN265" s="16" t="str">
        <f t="shared" si="43"/>
        <v/>
      </c>
    </row>
    <row r="266" spans="4:40">
      <c r="D266" s="13" t="e">
        <f>#REF!</f>
        <v>#REF!</v>
      </c>
      <c r="G266" s="17" t="s">
        <v>1991</v>
      </c>
      <c r="H266" s="3" t="s">
        <v>2016</v>
      </c>
      <c r="I266" s="3" t="s">
        <v>2017</v>
      </c>
      <c r="R266" s="2" t="str">
        <f>IF(ISERROR(VLOOKUP([1]IMM!F265,Table8[[#All],[Column2]:[Column3]],2,FALSE)),"",(VLOOKUP([1]IMM!F265,Table8[[#All],[Column2]:[Column3]],2,FALSE)))</f>
        <v/>
      </c>
      <c r="U266" s="2" t="str">
        <f>IF([1]IMM!P265="","",[1]IMM!P265)</f>
        <v/>
      </c>
      <c r="V266" s="2" t="str">
        <f t="shared" si="36"/>
        <v/>
      </c>
      <c r="W266" s="2" t="str">
        <f t="shared" si="37"/>
        <v/>
      </c>
      <c r="X266" s="2" t="str">
        <f t="shared" si="38"/>
        <v/>
      </c>
      <c r="Y266" s="16" t="str">
        <f t="shared" si="39"/>
        <v/>
      </c>
      <c r="Z266" s="16"/>
      <c r="AJ266" s="2" t="str">
        <f>IF([1]IMM!N265="","",[1]IMM!N265)</f>
        <v/>
      </c>
      <c r="AK266" s="16" t="str">
        <f t="shared" si="40"/>
        <v/>
      </c>
      <c r="AL266" s="16" t="str">
        <f t="shared" si="41"/>
        <v/>
      </c>
      <c r="AM266" s="2" t="str">
        <f t="shared" si="42"/>
        <v/>
      </c>
      <c r="AN266" s="16" t="str">
        <f t="shared" si="43"/>
        <v/>
      </c>
    </row>
    <row r="267" spans="4:40">
      <c r="D267" s="13" t="e">
        <f>#REF!</f>
        <v>#REF!</v>
      </c>
      <c r="G267" s="17" t="s">
        <v>2018</v>
      </c>
      <c r="H267" s="3" t="s">
        <v>1152</v>
      </c>
      <c r="I267" s="3" t="s">
        <v>1153</v>
      </c>
      <c r="R267" s="2" t="str">
        <f>IF(ISERROR(VLOOKUP([1]IMM!F266,Table8[[#All],[Column2]:[Column3]],2,FALSE)),"",(VLOOKUP([1]IMM!F266,Table8[[#All],[Column2]:[Column3]],2,FALSE)))</f>
        <v/>
      </c>
      <c r="U267" s="2" t="str">
        <f>IF([1]IMM!P266="","",[1]IMM!P266)</f>
        <v/>
      </c>
      <c r="V267" s="2" t="str">
        <f t="shared" si="36"/>
        <v/>
      </c>
      <c r="W267" s="2" t="str">
        <f t="shared" si="37"/>
        <v/>
      </c>
      <c r="X267" s="2" t="str">
        <f t="shared" si="38"/>
        <v/>
      </c>
      <c r="Y267" s="16" t="str">
        <f t="shared" si="39"/>
        <v/>
      </c>
      <c r="Z267" s="16"/>
      <c r="AJ267" s="2" t="str">
        <f>IF([1]IMM!N266="","",[1]IMM!N266)</f>
        <v/>
      </c>
      <c r="AK267" s="16" t="str">
        <f t="shared" si="40"/>
        <v/>
      </c>
      <c r="AL267" s="16" t="str">
        <f t="shared" si="41"/>
        <v/>
      </c>
      <c r="AM267" s="2" t="str">
        <f t="shared" si="42"/>
        <v/>
      </c>
      <c r="AN267" s="16" t="str">
        <f t="shared" si="43"/>
        <v/>
      </c>
    </row>
    <row r="268" spans="4:40">
      <c r="D268" s="13" t="e">
        <f>#REF!</f>
        <v>#REF!</v>
      </c>
      <c r="G268" s="17" t="s">
        <v>1995</v>
      </c>
      <c r="H268" s="3" t="s">
        <v>2019</v>
      </c>
      <c r="I268" s="3" t="s">
        <v>2020</v>
      </c>
      <c r="R268" s="2" t="str">
        <f>IF(ISERROR(VLOOKUP([1]IMM!F267,Table8[[#All],[Column2]:[Column3]],2,FALSE)),"",(VLOOKUP([1]IMM!F267,Table8[[#All],[Column2]:[Column3]],2,FALSE)))</f>
        <v/>
      </c>
      <c r="U268" s="2" t="str">
        <f>IF([1]IMM!P267="","",[1]IMM!P267)</f>
        <v/>
      </c>
      <c r="V268" s="2" t="str">
        <f t="shared" si="36"/>
        <v/>
      </c>
      <c r="W268" s="2" t="str">
        <f t="shared" si="37"/>
        <v/>
      </c>
      <c r="X268" s="2" t="str">
        <f t="shared" si="38"/>
        <v/>
      </c>
      <c r="Y268" s="16" t="str">
        <f t="shared" si="39"/>
        <v/>
      </c>
      <c r="Z268" s="16"/>
      <c r="AJ268" s="2" t="str">
        <f>IF([1]IMM!N267="","",[1]IMM!N267)</f>
        <v/>
      </c>
      <c r="AK268" s="16" t="str">
        <f t="shared" si="40"/>
        <v/>
      </c>
      <c r="AL268" s="16" t="str">
        <f t="shared" si="41"/>
        <v/>
      </c>
      <c r="AM268" s="2" t="str">
        <f t="shared" si="42"/>
        <v/>
      </c>
      <c r="AN268" s="16" t="str">
        <f t="shared" si="43"/>
        <v/>
      </c>
    </row>
    <row r="269" spans="4:40">
      <c r="D269" s="13" t="e">
        <f>#REF!</f>
        <v>#REF!</v>
      </c>
      <c r="R269" s="2" t="str">
        <f>IF(ISERROR(VLOOKUP([1]IMM!F268,Table8[[#All],[Column2]:[Column3]],2,FALSE)),"",(VLOOKUP([1]IMM!F268,Table8[[#All],[Column2]:[Column3]],2,FALSE)))</f>
        <v/>
      </c>
      <c r="U269" s="2" t="str">
        <f>IF([1]IMM!P268="","",[1]IMM!P268)</f>
        <v/>
      </c>
      <c r="V269" s="2" t="str">
        <f t="shared" si="36"/>
        <v/>
      </c>
      <c r="W269" s="2" t="str">
        <f t="shared" si="37"/>
        <v/>
      </c>
      <c r="X269" s="2" t="str">
        <f t="shared" si="38"/>
        <v/>
      </c>
      <c r="Y269" s="16" t="str">
        <f t="shared" si="39"/>
        <v/>
      </c>
      <c r="Z269" s="16"/>
      <c r="AJ269" s="2" t="str">
        <f>IF([1]IMM!N268="","",[1]IMM!N268)</f>
        <v/>
      </c>
      <c r="AK269" s="16" t="str">
        <f t="shared" si="40"/>
        <v/>
      </c>
      <c r="AL269" s="16" t="str">
        <f t="shared" si="41"/>
        <v/>
      </c>
      <c r="AM269" s="2" t="str">
        <f t="shared" si="42"/>
        <v/>
      </c>
      <c r="AN269" s="16" t="str">
        <f t="shared" si="43"/>
        <v/>
      </c>
    </row>
    <row r="270" spans="4:40">
      <c r="D270" s="13" t="e">
        <f>#REF!</f>
        <v>#REF!</v>
      </c>
      <c r="R270" s="2" t="str">
        <f>IF(ISERROR(VLOOKUP([1]IMM!F269,Table8[[#All],[Column2]:[Column3]],2,FALSE)),"",(VLOOKUP([1]IMM!F269,Table8[[#All],[Column2]:[Column3]],2,FALSE)))</f>
        <v/>
      </c>
      <c r="U270" s="2" t="str">
        <f>IF([1]IMM!P269="","",[1]IMM!P269)</f>
        <v/>
      </c>
      <c r="V270" s="2" t="str">
        <f t="shared" si="36"/>
        <v/>
      </c>
      <c r="W270" s="2" t="str">
        <f t="shared" si="37"/>
        <v/>
      </c>
      <c r="X270" s="2" t="str">
        <f t="shared" si="38"/>
        <v/>
      </c>
      <c r="Y270" s="16" t="str">
        <f t="shared" si="39"/>
        <v/>
      </c>
      <c r="Z270" s="16"/>
      <c r="AJ270" s="2" t="str">
        <f>IF([1]IMM!N269="","",[1]IMM!N269)</f>
        <v/>
      </c>
      <c r="AK270" s="16" t="str">
        <f t="shared" si="40"/>
        <v/>
      </c>
      <c r="AL270" s="16" t="str">
        <f t="shared" si="41"/>
        <v/>
      </c>
      <c r="AM270" s="2" t="str">
        <f t="shared" si="42"/>
        <v/>
      </c>
      <c r="AN270" s="16" t="str">
        <f t="shared" si="43"/>
        <v/>
      </c>
    </row>
    <row r="271" spans="4:40">
      <c r="D271" s="13" t="e">
        <f>#REF!</f>
        <v>#REF!</v>
      </c>
      <c r="R271" s="2" t="str">
        <f>IF(ISERROR(VLOOKUP([1]IMM!F270,Table8[[#All],[Column2]:[Column3]],2,FALSE)),"",(VLOOKUP([1]IMM!F270,Table8[[#All],[Column2]:[Column3]],2,FALSE)))</f>
        <v/>
      </c>
      <c r="U271" s="2" t="str">
        <f>IF([1]IMM!P270="","",[1]IMM!P270)</f>
        <v/>
      </c>
      <c r="V271" s="2" t="str">
        <f t="shared" si="36"/>
        <v/>
      </c>
      <c r="W271" s="2" t="str">
        <f t="shared" si="37"/>
        <v/>
      </c>
      <c r="X271" s="2" t="str">
        <f t="shared" si="38"/>
        <v/>
      </c>
      <c r="Y271" s="16" t="str">
        <f t="shared" si="39"/>
        <v/>
      </c>
      <c r="Z271" s="16"/>
      <c r="AJ271" s="2" t="str">
        <f>IF([1]IMM!N270="","",[1]IMM!N270)</f>
        <v/>
      </c>
      <c r="AK271" s="16" t="str">
        <f t="shared" si="40"/>
        <v/>
      </c>
      <c r="AL271" s="16" t="str">
        <f t="shared" si="41"/>
        <v/>
      </c>
      <c r="AM271" s="2" t="str">
        <f t="shared" si="42"/>
        <v/>
      </c>
      <c r="AN271" s="16" t="str">
        <f t="shared" si="43"/>
        <v/>
      </c>
    </row>
    <row r="272" spans="4:40">
      <c r="D272" s="13" t="e">
        <f>#REF!</f>
        <v>#REF!</v>
      </c>
      <c r="R272" s="2" t="str">
        <f>IF(ISERROR(VLOOKUP([1]IMM!F271,Table8[[#All],[Column2]:[Column3]],2,FALSE)),"",(VLOOKUP([1]IMM!F271,Table8[[#All],[Column2]:[Column3]],2,FALSE)))</f>
        <v/>
      </c>
      <c r="U272" s="2" t="str">
        <f>IF([1]IMM!P271="","",[1]IMM!P271)</f>
        <v/>
      </c>
      <c r="V272" s="2" t="str">
        <f t="shared" si="36"/>
        <v/>
      </c>
      <c r="W272" s="2" t="str">
        <f t="shared" si="37"/>
        <v/>
      </c>
      <c r="X272" s="2" t="str">
        <f t="shared" si="38"/>
        <v/>
      </c>
      <c r="Y272" s="16" t="str">
        <f t="shared" si="39"/>
        <v/>
      </c>
      <c r="Z272" s="16"/>
      <c r="AJ272" s="2" t="str">
        <f>IF([1]IMM!N271="","",[1]IMM!N271)</f>
        <v/>
      </c>
      <c r="AK272" s="16" t="str">
        <f t="shared" si="40"/>
        <v/>
      </c>
      <c r="AL272" s="16" t="str">
        <f t="shared" si="41"/>
        <v/>
      </c>
      <c r="AM272" s="2" t="str">
        <f t="shared" si="42"/>
        <v/>
      </c>
      <c r="AN272" s="16" t="str">
        <f t="shared" si="43"/>
        <v/>
      </c>
    </row>
    <row r="273" spans="4:40">
      <c r="D273" s="13" t="e">
        <f>#REF!</f>
        <v>#REF!</v>
      </c>
      <c r="R273" s="2" t="str">
        <f>IF(ISERROR(VLOOKUP([1]IMM!F272,Table8[[#All],[Column2]:[Column3]],2,FALSE)),"",(VLOOKUP([1]IMM!F272,Table8[[#All],[Column2]:[Column3]],2,FALSE)))</f>
        <v/>
      </c>
      <c r="U273" s="2" t="str">
        <f>IF([1]IMM!P272="","",[1]IMM!P272)</f>
        <v/>
      </c>
      <c r="V273" s="2" t="str">
        <f t="shared" si="36"/>
        <v/>
      </c>
      <c r="W273" s="2" t="str">
        <f t="shared" si="37"/>
        <v/>
      </c>
      <c r="X273" s="2" t="str">
        <f t="shared" si="38"/>
        <v/>
      </c>
      <c r="Y273" s="16" t="str">
        <f t="shared" si="39"/>
        <v/>
      </c>
      <c r="Z273" s="16"/>
      <c r="AJ273" s="2" t="str">
        <f>IF([1]IMM!N272="","",[1]IMM!N272)</f>
        <v/>
      </c>
      <c r="AK273" s="16" t="str">
        <f t="shared" si="40"/>
        <v/>
      </c>
      <c r="AL273" s="16" t="str">
        <f t="shared" si="41"/>
        <v/>
      </c>
      <c r="AM273" s="2" t="str">
        <f t="shared" si="42"/>
        <v/>
      </c>
      <c r="AN273" s="16" t="str">
        <f t="shared" si="43"/>
        <v/>
      </c>
    </row>
    <row r="274" spans="4:40">
      <c r="D274" s="13" t="e">
        <f>#REF!</f>
        <v>#REF!</v>
      </c>
      <c r="R274" s="2" t="str">
        <f>IF(ISERROR(VLOOKUP([1]IMM!F273,Table8[[#All],[Column2]:[Column3]],2,FALSE)),"",(VLOOKUP([1]IMM!F273,Table8[[#All],[Column2]:[Column3]],2,FALSE)))</f>
        <v/>
      </c>
      <c r="U274" s="2" t="str">
        <f>IF([1]IMM!P273="","",[1]IMM!P273)</f>
        <v/>
      </c>
      <c r="V274" s="2" t="str">
        <f t="shared" si="36"/>
        <v/>
      </c>
      <c r="W274" s="2" t="str">
        <f t="shared" si="37"/>
        <v/>
      </c>
      <c r="X274" s="2" t="str">
        <f t="shared" si="38"/>
        <v/>
      </c>
      <c r="Y274" s="16" t="str">
        <f t="shared" si="39"/>
        <v/>
      </c>
      <c r="Z274" s="16"/>
      <c r="AJ274" s="2" t="str">
        <f>IF([1]IMM!N273="","",[1]IMM!N273)</f>
        <v/>
      </c>
      <c r="AK274" s="16" t="str">
        <f t="shared" si="40"/>
        <v/>
      </c>
      <c r="AL274" s="16" t="str">
        <f t="shared" si="41"/>
        <v/>
      </c>
      <c r="AM274" s="2" t="str">
        <f t="shared" si="42"/>
        <v/>
      </c>
      <c r="AN274" s="16" t="str">
        <f t="shared" si="43"/>
        <v/>
      </c>
    </row>
    <row r="275" spans="4:40">
      <c r="D275" s="13" t="e">
        <f>#REF!</f>
        <v>#REF!</v>
      </c>
      <c r="R275" s="2" t="str">
        <f>IF(ISERROR(VLOOKUP([1]IMM!F274,Table8[[#All],[Column2]:[Column3]],2,FALSE)),"",(VLOOKUP([1]IMM!F274,Table8[[#All],[Column2]:[Column3]],2,FALSE)))</f>
        <v/>
      </c>
      <c r="U275" s="2" t="str">
        <f>IF([1]IMM!P274="","",[1]IMM!P274)</f>
        <v/>
      </c>
      <c r="V275" s="2" t="str">
        <f t="shared" si="36"/>
        <v/>
      </c>
      <c r="W275" s="2" t="str">
        <f t="shared" si="37"/>
        <v/>
      </c>
      <c r="X275" s="2" t="str">
        <f t="shared" si="38"/>
        <v/>
      </c>
      <c r="Y275" s="16" t="str">
        <f t="shared" si="39"/>
        <v/>
      </c>
      <c r="Z275" s="16"/>
      <c r="AJ275" s="2" t="str">
        <f>IF([1]IMM!N274="","",[1]IMM!N274)</f>
        <v/>
      </c>
      <c r="AK275" s="16" t="str">
        <f t="shared" si="40"/>
        <v/>
      </c>
      <c r="AL275" s="16" t="str">
        <f t="shared" si="41"/>
        <v/>
      </c>
      <c r="AM275" s="2" t="str">
        <f t="shared" si="42"/>
        <v/>
      </c>
      <c r="AN275" s="16" t="str">
        <f t="shared" si="43"/>
        <v/>
      </c>
    </row>
    <row r="276" spans="4:40">
      <c r="D276" s="13" t="e">
        <f>#REF!</f>
        <v>#REF!</v>
      </c>
      <c r="R276" s="2" t="str">
        <f>IF(ISERROR(VLOOKUP([1]IMM!F275,Table8[[#All],[Column2]:[Column3]],2,FALSE)),"",(VLOOKUP([1]IMM!F275,Table8[[#All],[Column2]:[Column3]],2,FALSE)))</f>
        <v/>
      </c>
      <c r="U276" s="2" t="str">
        <f>IF([1]IMM!P275="","",[1]IMM!P275)</f>
        <v/>
      </c>
      <c r="V276" s="2" t="str">
        <f t="shared" si="36"/>
        <v/>
      </c>
      <c r="W276" s="2" t="str">
        <f t="shared" si="37"/>
        <v/>
      </c>
      <c r="X276" s="2" t="str">
        <f t="shared" si="38"/>
        <v/>
      </c>
      <c r="Y276" s="16" t="str">
        <f t="shared" si="39"/>
        <v/>
      </c>
      <c r="Z276" s="16"/>
      <c r="AJ276" s="2" t="str">
        <f>IF([1]IMM!N275="","",[1]IMM!N275)</f>
        <v/>
      </c>
      <c r="AK276" s="16" t="str">
        <f t="shared" si="40"/>
        <v/>
      </c>
      <c r="AL276" s="16" t="str">
        <f t="shared" si="41"/>
        <v/>
      </c>
      <c r="AM276" s="2" t="str">
        <f t="shared" si="42"/>
        <v/>
      </c>
      <c r="AN276" s="16" t="str">
        <f t="shared" si="43"/>
        <v/>
      </c>
    </row>
    <row r="277" spans="4:40">
      <c r="D277" s="13" t="e">
        <f>#REF!</f>
        <v>#REF!</v>
      </c>
      <c r="R277" s="2" t="str">
        <f>IF(ISERROR(VLOOKUP([1]IMM!F276,Table8[[#All],[Column2]:[Column3]],2,FALSE)),"",(VLOOKUP([1]IMM!F276,Table8[[#All],[Column2]:[Column3]],2,FALSE)))</f>
        <v/>
      </c>
      <c r="U277" s="2" t="str">
        <f>IF([1]IMM!P276="","",[1]IMM!P276)</f>
        <v/>
      </c>
      <c r="V277" s="2" t="str">
        <f t="shared" si="36"/>
        <v/>
      </c>
      <c r="W277" s="2" t="str">
        <f t="shared" si="37"/>
        <v/>
      </c>
      <c r="X277" s="2" t="str">
        <f t="shared" si="38"/>
        <v/>
      </c>
      <c r="Y277" s="16" t="str">
        <f t="shared" si="39"/>
        <v/>
      </c>
      <c r="Z277" s="16"/>
      <c r="AJ277" s="2" t="str">
        <f>IF([1]IMM!N276="","",[1]IMM!N276)</f>
        <v/>
      </c>
      <c r="AK277" s="16" t="str">
        <f t="shared" si="40"/>
        <v/>
      </c>
      <c r="AL277" s="16" t="str">
        <f t="shared" si="41"/>
        <v/>
      </c>
      <c r="AM277" s="2" t="str">
        <f t="shared" si="42"/>
        <v/>
      </c>
      <c r="AN277" s="16" t="str">
        <f t="shared" si="43"/>
        <v/>
      </c>
    </row>
    <row r="278" spans="4:40">
      <c r="D278" s="13" t="e">
        <f>#REF!</f>
        <v>#REF!</v>
      </c>
      <c r="R278" s="2" t="str">
        <f>IF(ISERROR(VLOOKUP([1]IMM!F277,Table8[[#All],[Column2]:[Column3]],2,FALSE)),"",(VLOOKUP([1]IMM!F277,Table8[[#All],[Column2]:[Column3]],2,FALSE)))</f>
        <v/>
      </c>
      <c r="U278" s="2" t="str">
        <f>IF([1]IMM!P277="","",[1]IMM!P277)</f>
        <v/>
      </c>
      <c r="V278" s="2" t="str">
        <f t="shared" si="36"/>
        <v/>
      </c>
      <c r="W278" s="2" t="str">
        <f t="shared" si="37"/>
        <v/>
      </c>
      <c r="X278" s="2" t="str">
        <f t="shared" si="38"/>
        <v/>
      </c>
      <c r="Y278" s="16" t="str">
        <f t="shared" si="39"/>
        <v/>
      </c>
      <c r="Z278" s="16"/>
      <c r="AJ278" s="2" t="str">
        <f>IF([1]IMM!N277="","",[1]IMM!N277)</f>
        <v/>
      </c>
      <c r="AK278" s="16" t="str">
        <f t="shared" si="40"/>
        <v/>
      </c>
      <c r="AL278" s="16" t="str">
        <f t="shared" si="41"/>
        <v/>
      </c>
      <c r="AM278" s="2" t="str">
        <f t="shared" si="42"/>
        <v/>
      </c>
      <c r="AN278" s="16" t="str">
        <f t="shared" si="43"/>
        <v/>
      </c>
    </row>
    <row r="279" spans="4:40">
      <c r="D279" s="13" t="e">
        <f>#REF!</f>
        <v>#REF!</v>
      </c>
      <c r="R279" s="2" t="str">
        <f>IF(ISERROR(VLOOKUP([1]IMM!F278,Table8[[#All],[Column2]:[Column3]],2,FALSE)),"",(VLOOKUP([1]IMM!F278,Table8[[#All],[Column2]:[Column3]],2,FALSE)))</f>
        <v/>
      </c>
      <c r="U279" s="2" t="str">
        <f>IF([1]IMM!P278="","",[1]IMM!P278)</f>
        <v/>
      </c>
      <c r="V279" s="2" t="str">
        <f t="shared" si="36"/>
        <v/>
      </c>
      <c r="W279" s="2" t="str">
        <f t="shared" si="37"/>
        <v/>
      </c>
      <c r="X279" s="2" t="str">
        <f t="shared" si="38"/>
        <v/>
      </c>
      <c r="Y279" s="16" t="str">
        <f t="shared" si="39"/>
        <v/>
      </c>
      <c r="Z279" s="16"/>
      <c r="AJ279" s="2" t="str">
        <f>IF([1]IMM!N278="","",[1]IMM!N278)</f>
        <v/>
      </c>
      <c r="AK279" s="16" t="str">
        <f t="shared" si="40"/>
        <v/>
      </c>
      <c r="AL279" s="16" t="str">
        <f t="shared" si="41"/>
        <v/>
      </c>
      <c r="AM279" s="2" t="str">
        <f t="shared" si="42"/>
        <v/>
      </c>
      <c r="AN279" s="16" t="str">
        <f t="shared" si="43"/>
        <v/>
      </c>
    </row>
    <row r="280" spans="4:40">
      <c r="D280" s="13" t="e">
        <f>#REF!</f>
        <v>#REF!</v>
      </c>
      <c r="R280" s="2" t="str">
        <f>IF(ISERROR(VLOOKUP([1]IMM!F279,Table8[[#All],[Column2]:[Column3]],2,FALSE)),"",(VLOOKUP([1]IMM!F279,Table8[[#All],[Column2]:[Column3]],2,FALSE)))</f>
        <v/>
      </c>
      <c r="U280" s="2" t="str">
        <f>IF([1]IMM!P279="","",[1]IMM!P279)</f>
        <v/>
      </c>
      <c r="V280" s="2" t="str">
        <f t="shared" si="36"/>
        <v/>
      </c>
      <c r="W280" s="2" t="str">
        <f t="shared" si="37"/>
        <v/>
      </c>
      <c r="X280" s="2" t="str">
        <f t="shared" si="38"/>
        <v/>
      </c>
      <c r="Y280" s="16" t="str">
        <f t="shared" si="39"/>
        <v/>
      </c>
      <c r="Z280" s="16"/>
      <c r="AJ280" s="2" t="str">
        <f>IF([1]IMM!N279="","",[1]IMM!N279)</f>
        <v/>
      </c>
      <c r="AK280" s="16" t="str">
        <f t="shared" si="40"/>
        <v/>
      </c>
      <c r="AL280" s="16" t="str">
        <f t="shared" si="41"/>
        <v/>
      </c>
      <c r="AM280" s="2" t="str">
        <f t="shared" si="42"/>
        <v/>
      </c>
      <c r="AN280" s="16" t="str">
        <f t="shared" si="43"/>
        <v/>
      </c>
    </row>
    <row r="281" spans="4:40">
      <c r="D281" s="13" t="e">
        <f>#REF!</f>
        <v>#REF!</v>
      </c>
      <c r="R281" s="2" t="str">
        <f>IF(ISERROR(VLOOKUP([1]IMM!F280,Table8[[#All],[Column2]:[Column3]],2,FALSE)),"",(VLOOKUP([1]IMM!F280,Table8[[#All],[Column2]:[Column3]],2,FALSE)))</f>
        <v/>
      </c>
      <c r="U281" s="2" t="str">
        <f>IF([1]IMM!P280="","",[1]IMM!P280)</f>
        <v/>
      </c>
      <c r="V281" s="2" t="str">
        <f t="shared" si="36"/>
        <v/>
      </c>
      <c r="W281" s="2" t="str">
        <f t="shared" si="37"/>
        <v/>
      </c>
      <c r="X281" s="2" t="str">
        <f t="shared" si="38"/>
        <v/>
      </c>
      <c r="Y281" s="16" t="str">
        <f t="shared" si="39"/>
        <v/>
      </c>
      <c r="Z281" s="16"/>
      <c r="AJ281" s="2" t="str">
        <f>IF([1]IMM!N280="","",[1]IMM!N280)</f>
        <v/>
      </c>
      <c r="AK281" s="16" t="str">
        <f t="shared" si="40"/>
        <v/>
      </c>
      <c r="AL281" s="16" t="str">
        <f t="shared" si="41"/>
        <v/>
      </c>
      <c r="AM281" s="2" t="str">
        <f t="shared" si="42"/>
        <v/>
      </c>
      <c r="AN281" s="16" t="str">
        <f t="shared" si="43"/>
        <v/>
      </c>
    </row>
    <row r="282" spans="4:40">
      <c r="D282" s="13" t="e">
        <f>#REF!</f>
        <v>#REF!</v>
      </c>
      <c r="R282" s="2" t="str">
        <f>IF(ISERROR(VLOOKUP([1]IMM!F281,Table8[[#All],[Column2]:[Column3]],2,FALSE)),"",(VLOOKUP([1]IMM!F281,Table8[[#All],[Column2]:[Column3]],2,FALSE)))</f>
        <v/>
      </c>
      <c r="U282" s="2" t="str">
        <f>IF([1]IMM!P281="","",[1]IMM!P281)</f>
        <v/>
      </c>
      <c r="V282" s="2" t="str">
        <f t="shared" si="36"/>
        <v/>
      </c>
      <c r="W282" s="2" t="str">
        <f t="shared" si="37"/>
        <v/>
      </c>
      <c r="X282" s="2" t="str">
        <f t="shared" si="38"/>
        <v/>
      </c>
      <c r="Y282" s="16" t="str">
        <f t="shared" si="39"/>
        <v/>
      </c>
      <c r="Z282" s="16"/>
      <c r="AJ282" s="2" t="str">
        <f>IF([1]IMM!N281="","",[1]IMM!N281)</f>
        <v/>
      </c>
      <c r="AK282" s="16" t="str">
        <f t="shared" si="40"/>
        <v/>
      </c>
      <c r="AL282" s="16" t="str">
        <f t="shared" si="41"/>
        <v/>
      </c>
      <c r="AM282" s="2" t="str">
        <f t="shared" si="42"/>
        <v/>
      </c>
      <c r="AN282" s="16" t="str">
        <f t="shared" si="43"/>
        <v/>
      </c>
    </row>
    <row r="283" spans="4:40">
      <c r="D283" s="13" t="e">
        <f>#REF!</f>
        <v>#REF!</v>
      </c>
      <c r="R283" s="2" t="str">
        <f>IF(ISERROR(VLOOKUP([1]IMM!F282,Table8[[#All],[Column2]:[Column3]],2,FALSE)),"",(VLOOKUP([1]IMM!F282,Table8[[#All],[Column2]:[Column3]],2,FALSE)))</f>
        <v/>
      </c>
      <c r="U283" s="2" t="str">
        <f>IF([1]IMM!P282="","",[1]IMM!P282)</f>
        <v/>
      </c>
      <c r="V283" s="2" t="str">
        <f t="shared" si="36"/>
        <v/>
      </c>
      <c r="W283" s="2" t="str">
        <f t="shared" si="37"/>
        <v/>
      </c>
      <c r="X283" s="2" t="str">
        <f t="shared" si="38"/>
        <v/>
      </c>
      <c r="Y283" s="16" t="str">
        <f t="shared" si="39"/>
        <v/>
      </c>
      <c r="Z283" s="16"/>
      <c r="AJ283" s="2" t="str">
        <f>IF([1]IMM!N282="","",[1]IMM!N282)</f>
        <v/>
      </c>
      <c r="AK283" s="16" t="str">
        <f t="shared" si="40"/>
        <v/>
      </c>
      <c r="AL283" s="16" t="str">
        <f t="shared" si="41"/>
        <v/>
      </c>
      <c r="AM283" s="2" t="str">
        <f t="shared" si="42"/>
        <v/>
      </c>
      <c r="AN283" s="16" t="str">
        <f t="shared" si="43"/>
        <v/>
      </c>
    </row>
    <row r="284" spans="4:40">
      <c r="D284" s="13" t="e">
        <f>#REF!</f>
        <v>#REF!</v>
      </c>
      <c r="R284" s="2" t="str">
        <f>IF(ISERROR(VLOOKUP([1]IMM!F283,Table8[[#All],[Column2]:[Column3]],2,FALSE)),"",(VLOOKUP([1]IMM!F283,Table8[[#All],[Column2]:[Column3]],2,FALSE)))</f>
        <v/>
      </c>
      <c r="U284" s="2" t="str">
        <f>IF([1]IMM!P283="","",[1]IMM!P283)</f>
        <v/>
      </c>
      <c r="V284" s="2" t="str">
        <f t="shared" si="36"/>
        <v/>
      </c>
      <c r="W284" s="2" t="str">
        <f t="shared" si="37"/>
        <v/>
      </c>
      <c r="X284" s="2" t="str">
        <f t="shared" si="38"/>
        <v/>
      </c>
      <c r="Y284" s="16" t="str">
        <f t="shared" si="39"/>
        <v/>
      </c>
      <c r="Z284" s="16"/>
      <c r="AJ284" s="2" t="str">
        <f>IF([1]IMM!N283="","",[1]IMM!N283)</f>
        <v/>
      </c>
      <c r="AK284" s="16" t="str">
        <f t="shared" si="40"/>
        <v/>
      </c>
      <c r="AL284" s="16" t="str">
        <f t="shared" si="41"/>
        <v/>
      </c>
      <c r="AM284" s="2" t="str">
        <f t="shared" si="42"/>
        <v/>
      </c>
      <c r="AN284" s="16" t="str">
        <f t="shared" si="43"/>
        <v/>
      </c>
    </row>
    <row r="285" spans="4:40">
      <c r="D285" s="13" t="e">
        <f>#REF!</f>
        <v>#REF!</v>
      </c>
      <c r="R285" s="2" t="str">
        <f>IF(ISERROR(VLOOKUP([1]IMM!F284,Table8[[#All],[Column2]:[Column3]],2,FALSE)),"",(VLOOKUP([1]IMM!F284,Table8[[#All],[Column2]:[Column3]],2,FALSE)))</f>
        <v/>
      </c>
      <c r="U285" s="2" t="str">
        <f>IF([1]IMM!P284="","",[1]IMM!P284)</f>
        <v/>
      </c>
      <c r="V285" s="2" t="str">
        <f t="shared" si="36"/>
        <v/>
      </c>
      <c r="W285" s="2" t="str">
        <f t="shared" si="37"/>
        <v/>
      </c>
      <c r="X285" s="2" t="str">
        <f t="shared" si="38"/>
        <v/>
      </c>
      <c r="Y285" s="16" t="str">
        <f t="shared" si="39"/>
        <v/>
      </c>
      <c r="Z285" s="16"/>
      <c r="AJ285" s="2" t="str">
        <f>IF([1]IMM!N284="","",[1]IMM!N284)</f>
        <v/>
      </c>
      <c r="AK285" s="16" t="str">
        <f t="shared" si="40"/>
        <v/>
      </c>
      <c r="AL285" s="16" t="str">
        <f t="shared" si="41"/>
        <v/>
      </c>
      <c r="AM285" s="2" t="str">
        <f t="shared" si="42"/>
        <v/>
      </c>
      <c r="AN285" s="16" t="str">
        <f t="shared" si="43"/>
        <v/>
      </c>
    </row>
    <row r="286" spans="4:40">
      <c r="D286" s="13" t="e">
        <f>#REF!</f>
        <v>#REF!</v>
      </c>
      <c r="R286" s="2" t="str">
        <f>IF(ISERROR(VLOOKUP([1]IMM!F285,Table8[[#All],[Column2]:[Column3]],2,FALSE)),"",(VLOOKUP([1]IMM!F285,Table8[[#All],[Column2]:[Column3]],2,FALSE)))</f>
        <v/>
      </c>
      <c r="U286" s="2" t="str">
        <f>IF([1]IMM!P285="","",[1]IMM!P285)</f>
        <v/>
      </c>
      <c r="V286" s="2" t="str">
        <f t="shared" si="36"/>
        <v/>
      </c>
      <c r="W286" s="2" t="str">
        <f t="shared" si="37"/>
        <v/>
      </c>
      <c r="X286" s="2" t="str">
        <f t="shared" si="38"/>
        <v/>
      </c>
      <c r="Y286" s="16" t="str">
        <f t="shared" si="39"/>
        <v/>
      </c>
      <c r="Z286" s="16"/>
      <c r="AJ286" s="2" t="str">
        <f>IF([1]IMM!N285="","",[1]IMM!N285)</f>
        <v/>
      </c>
      <c r="AK286" s="16" t="str">
        <f t="shared" si="40"/>
        <v/>
      </c>
      <c r="AL286" s="16" t="str">
        <f t="shared" si="41"/>
        <v/>
      </c>
      <c r="AM286" s="2" t="str">
        <f t="shared" si="42"/>
        <v/>
      </c>
      <c r="AN286" s="16" t="str">
        <f t="shared" si="43"/>
        <v/>
      </c>
    </row>
    <row r="287" spans="4:40">
      <c r="D287" s="13" t="e">
        <f>#REF!</f>
        <v>#REF!</v>
      </c>
      <c r="R287" s="2" t="str">
        <f>IF(ISERROR(VLOOKUP([1]IMM!F286,Table8[[#All],[Column2]:[Column3]],2,FALSE)),"",(VLOOKUP([1]IMM!F286,Table8[[#All],[Column2]:[Column3]],2,FALSE)))</f>
        <v/>
      </c>
      <c r="U287" s="2" t="str">
        <f>IF([1]IMM!P286="","",[1]IMM!P286)</f>
        <v/>
      </c>
      <c r="V287" s="2" t="str">
        <f t="shared" si="36"/>
        <v/>
      </c>
      <c r="W287" s="2" t="str">
        <f t="shared" si="37"/>
        <v/>
      </c>
      <c r="X287" s="2" t="str">
        <f t="shared" si="38"/>
        <v/>
      </c>
      <c r="Y287" s="16" t="str">
        <f t="shared" si="39"/>
        <v/>
      </c>
      <c r="Z287" s="16"/>
      <c r="AJ287" s="2" t="str">
        <f>IF([1]IMM!N286="","",[1]IMM!N286)</f>
        <v/>
      </c>
      <c r="AK287" s="16" t="str">
        <f t="shared" si="40"/>
        <v/>
      </c>
      <c r="AL287" s="16" t="str">
        <f t="shared" si="41"/>
        <v/>
      </c>
      <c r="AM287" s="2" t="str">
        <f t="shared" si="42"/>
        <v/>
      </c>
      <c r="AN287" s="16" t="str">
        <f t="shared" si="43"/>
        <v/>
      </c>
    </row>
    <row r="288" spans="4:40">
      <c r="D288" s="13" t="e">
        <f>#REF!</f>
        <v>#REF!</v>
      </c>
      <c r="R288" s="2" t="str">
        <f>IF(ISERROR(VLOOKUP([1]IMM!F287,Table8[[#All],[Column2]:[Column3]],2,FALSE)),"",(VLOOKUP([1]IMM!F287,Table8[[#All],[Column2]:[Column3]],2,FALSE)))</f>
        <v/>
      </c>
      <c r="U288" s="2" t="str">
        <f>IF([1]IMM!P287="","",[1]IMM!P287)</f>
        <v/>
      </c>
      <c r="V288" s="2" t="str">
        <f t="shared" si="36"/>
        <v/>
      </c>
      <c r="W288" s="2" t="str">
        <f t="shared" si="37"/>
        <v/>
      </c>
      <c r="X288" s="2" t="str">
        <f t="shared" si="38"/>
        <v/>
      </c>
      <c r="Y288" s="16" t="str">
        <f t="shared" si="39"/>
        <v/>
      </c>
      <c r="Z288" s="16"/>
      <c r="AJ288" s="2" t="str">
        <f>IF([1]IMM!N287="","",[1]IMM!N287)</f>
        <v/>
      </c>
      <c r="AK288" s="16" t="str">
        <f t="shared" si="40"/>
        <v/>
      </c>
      <c r="AL288" s="16" t="str">
        <f t="shared" si="41"/>
        <v/>
      </c>
      <c r="AM288" s="2" t="str">
        <f t="shared" si="42"/>
        <v/>
      </c>
      <c r="AN288" s="16" t="str">
        <f t="shared" si="43"/>
        <v/>
      </c>
    </row>
    <row r="289" spans="4:40">
      <c r="D289" s="13" t="e">
        <f>#REF!</f>
        <v>#REF!</v>
      </c>
      <c r="R289" s="2" t="str">
        <f>IF(ISERROR(VLOOKUP([1]IMM!F288,Table8[[#All],[Column2]:[Column3]],2,FALSE)),"",(VLOOKUP([1]IMM!F288,Table8[[#All],[Column2]:[Column3]],2,FALSE)))</f>
        <v/>
      </c>
      <c r="U289" s="2" t="str">
        <f>IF([1]IMM!P288="","",[1]IMM!P288)</f>
        <v/>
      </c>
      <c r="V289" s="2" t="str">
        <f t="shared" si="36"/>
        <v/>
      </c>
      <c r="W289" s="2" t="str">
        <f t="shared" si="37"/>
        <v/>
      </c>
      <c r="X289" s="2" t="str">
        <f t="shared" si="38"/>
        <v/>
      </c>
      <c r="Y289" s="16" t="str">
        <f t="shared" si="39"/>
        <v/>
      </c>
      <c r="Z289" s="16"/>
      <c r="AJ289" s="2" t="str">
        <f>IF([1]IMM!N288="","",[1]IMM!N288)</f>
        <v/>
      </c>
      <c r="AK289" s="16" t="str">
        <f t="shared" si="40"/>
        <v/>
      </c>
      <c r="AL289" s="16" t="str">
        <f t="shared" si="41"/>
        <v/>
      </c>
      <c r="AM289" s="2" t="str">
        <f t="shared" si="42"/>
        <v/>
      </c>
      <c r="AN289" s="16" t="str">
        <f t="shared" si="43"/>
        <v/>
      </c>
    </row>
    <row r="290" spans="4:40">
      <c r="D290" s="13" t="e">
        <f>#REF!</f>
        <v>#REF!</v>
      </c>
      <c r="R290" s="2" t="str">
        <f>IF(ISERROR(VLOOKUP([1]IMM!F289,Table8[[#All],[Column2]:[Column3]],2,FALSE)),"",(VLOOKUP([1]IMM!F289,Table8[[#All],[Column2]:[Column3]],2,FALSE)))</f>
        <v/>
      </c>
      <c r="U290" s="2" t="str">
        <f>IF([1]IMM!P289="","",[1]IMM!P289)</f>
        <v/>
      </c>
      <c r="V290" s="2" t="str">
        <f t="shared" si="36"/>
        <v/>
      </c>
      <c r="W290" s="2" t="str">
        <f t="shared" si="37"/>
        <v/>
      </c>
      <c r="X290" s="2" t="str">
        <f t="shared" si="38"/>
        <v/>
      </c>
      <c r="Y290" s="16" t="str">
        <f t="shared" si="39"/>
        <v/>
      </c>
      <c r="Z290" s="16"/>
      <c r="AJ290" s="2" t="str">
        <f>IF([1]IMM!N289="","",[1]IMM!N289)</f>
        <v/>
      </c>
      <c r="AK290" s="16" t="str">
        <f t="shared" si="40"/>
        <v/>
      </c>
      <c r="AL290" s="16" t="str">
        <f t="shared" si="41"/>
        <v/>
      </c>
      <c r="AM290" s="2" t="str">
        <f t="shared" si="42"/>
        <v/>
      </c>
      <c r="AN290" s="16" t="str">
        <f t="shared" si="43"/>
        <v/>
      </c>
    </row>
    <row r="291" spans="4:40">
      <c r="D291" s="13" t="e">
        <f>#REF!</f>
        <v>#REF!</v>
      </c>
      <c r="R291" s="2" t="str">
        <f>IF(ISERROR(VLOOKUP([1]IMM!F290,Table8[[#All],[Column2]:[Column3]],2,FALSE)),"",(VLOOKUP([1]IMM!F290,Table8[[#All],[Column2]:[Column3]],2,FALSE)))</f>
        <v/>
      </c>
      <c r="U291" s="2" t="str">
        <f>IF([1]IMM!P290="","",[1]IMM!P290)</f>
        <v/>
      </c>
      <c r="V291" s="2" t="str">
        <f t="shared" si="36"/>
        <v/>
      </c>
      <c r="W291" s="2" t="str">
        <f t="shared" si="37"/>
        <v/>
      </c>
      <c r="X291" s="2" t="str">
        <f t="shared" si="38"/>
        <v/>
      </c>
      <c r="Y291" s="16" t="str">
        <f t="shared" si="39"/>
        <v/>
      </c>
      <c r="Z291" s="16"/>
      <c r="AJ291" s="2" t="str">
        <f>IF([1]IMM!N290="","",[1]IMM!N290)</f>
        <v/>
      </c>
      <c r="AK291" s="16" t="str">
        <f t="shared" si="40"/>
        <v/>
      </c>
      <c r="AL291" s="16" t="str">
        <f t="shared" si="41"/>
        <v/>
      </c>
      <c r="AM291" s="2" t="str">
        <f t="shared" si="42"/>
        <v/>
      </c>
      <c r="AN291" s="16" t="str">
        <f t="shared" si="43"/>
        <v/>
      </c>
    </row>
    <row r="292" spans="4:40">
      <c r="D292" s="13" t="e">
        <f>#REF!</f>
        <v>#REF!</v>
      </c>
      <c r="R292" s="2" t="str">
        <f>IF(ISERROR(VLOOKUP([1]IMM!F291,Table8[[#All],[Column2]:[Column3]],2,FALSE)),"",(VLOOKUP([1]IMM!F291,Table8[[#All],[Column2]:[Column3]],2,FALSE)))</f>
        <v/>
      </c>
      <c r="U292" s="2" t="str">
        <f>IF([1]IMM!P291="","",[1]IMM!P291)</f>
        <v/>
      </c>
      <c r="V292" s="2" t="str">
        <f t="shared" si="36"/>
        <v/>
      </c>
      <c r="W292" s="2" t="str">
        <f t="shared" si="37"/>
        <v/>
      </c>
      <c r="X292" s="2" t="str">
        <f t="shared" si="38"/>
        <v/>
      </c>
      <c r="Y292" s="16" t="str">
        <f t="shared" si="39"/>
        <v/>
      </c>
      <c r="Z292" s="16"/>
      <c r="AJ292" s="2" t="str">
        <f>IF([1]IMM!N291="","",[1]IMM!N291)</f>
        <v/>
      </c>
      <c r="AK292" s="16" t="str">
        <f t="shared" si="40"/>
        <v/>
      </c>
      <c r="AL292" s="16" t="str">
        <f t="shared" si="41"/>
        <v/>
      </c>
      <c r="AM292" s="2" t="str">
        <f t="shared" si="42"/>
        <v/>
      </c>
      <c r="AN292" s="16" t="str">
        <f t="shared" si="43"/>
        <v/>
      </c>
    </row>
    <row r="293" spans="4:40">
      <c r="D293" s="13" t="e">
        <f>#REF!</f>
        <v>#REF!</v>
      </c>
      <c r="R293" s="2" t="str">
        <f>IF(ISERROR(VLOOKUP([1]IMM!F292,Table8[[#All],[Column2]:[Column3]],2,FALSE)),"",(VLOOKUP([1]IMM!F292,Table8[[#All],[Column2]:[Column3]],2,FALSE)))</f>
        <v/>
      </c>
      <c r="U293" s="2" t="str">
        <f>IF([1]IMM!P292="","",[1]IMM!P292)</f>
        <v/>
      </c>
      <c r="V293" s="2" t="str">
        <f t="shared" si="36"/>
        <v/>
      </c>
      <c r="W293" s="2" t="str">
        <f t="shared" si="37"/>
        <v/>
      </c>
      <c r="X293" s="2" t="str">
        <f t="shared" si="38"/>
        <v/>
      </c>
      <c r="Y293" s="16" t="str">
        <f t="shared" si="39"/>
        <v/>
      </c>
      <c r="Z293" s="16"/>
      <c r="AJ293" s="2" t="str">
        <f>IF([1]IMM!N292="","",[1]IMM!N292)</f>
        <v/>
      </c>
      <c r="AK293" s="16" t="str">
        <f t="shared" si="40"/>
        <v/>
      </c>
      <c r="AL293" s="16" t="str">
        <f t="shared" si="41"/>
        <v/>
      </c>
      <c r="AM293" s="2" t="str">
        <f t="shared" si="42"/>
        <v/>
      </c>
      <c r="AN293" s="16" t="str">
        <f t="shared" si="43"/>
        <v/>
      </c>
    </row>
    <row r="294" spans="4:40">
      <c r="D294" s="13" t="e">
        <f>#REF!</f>
        <v>#REF!</v>
      </c>
      <c r="R294" s="2" t="str">
        <f>IF(ISERROR(VLOOKUP([1]IMM!F293,Table8[[#All],[Column2]:[Column3]],2,FALSE)),"",(VLOOKUP([1]IMM!F293,Table8[[#All],[Column2]:[Column3]],2,FALSE)))</f>
        <v/>
      </c>
      <c r="U294" s="2" t="str">
        <f>IF([1]IMM!P293="","",[1]IMM!P293)</f>
        <v/>
      </c>
      <c r="V294" s="2" t="str">
        <f t="shared" si="36"/>
        <v/>
      </c>
      <c r="W294" s="2" t="str">
        <f t="shared" si="37"/>
        <v/>
      </c>
      <c r="X294" s="2" t="str">
        <f t="shared" si="38"/>
        <v/>
      </c>
      <c r="Y294" s="16" t="str">
        <f t="shared" si="39"/>
        <v/>
      </c>
      <c r="Z294" s="16"/>
      <c r="AJ294" s="2" t="str">
        <f>IF([1]IMM!N293="","",[1]IMM!N293)</f>
        <v/>
      </c>
      <c r="AK294" s="16" t="str">
        <f t="shared" si="40"/>
        <v/>
      </c>
      <c r="AL294" s="16" t="str">
        <f t="shared" si="41"/>
        <v/>
      </c>
      <c r="AM294" s="2" t="str">
        <f t="shared" si="42"/>
        <v/>
      </c>
      <c r="AN294" s="16" t="str">
        <f t="shared" si="43"/>
        <v/>
      </c>
    </row>
    <row r="295" spans="4:40">
      <c r="D295" s="13" t="e">
        <f>#REF!</f>
        <v>#REF!</v>
      </c>
      <c r="R295" s="2" t="str">
        <f>IF(ISERROR(VLOOKUP([1]IMM!F294,Table8[[#All],[Column2]:[Column3]],2,FALSE)),"",(VLOOKUP([1]IMM!F294,Table8[[#All],[Column2]:[Column3]],2,FALSE)))</f>
        <v/>
      </c>
      <c r="U295" s="2" t="str">
        <f>IF([1]IMM!P294="","",[1]IMM!P294)</f>
        <v/>
      </c>
      <c r="V295" s="2" t="str">
        <f t="shared" si="36"/>
        <v/>
      </c>
      <c r="W295" s="2" t="str">
        <f t="shared" si="37"/>
        <v/>
      </c>
      <c r="X295" s="2" t="str">
        <f t="shared" si="38"/>
        <v/>
      </c>
      <c r="Y295" s="16" t="str">
        <f t="shared" si="39"/>
        <v/>
      </c>
      <c r="Z295" s="16"/>
      <c r="AJ295" s="2" t="str">
        <f>IF([1]IMM!N294="","",[1]IMM!N294)</f>
        <v/>
      </c>
      <c r="AK295" s="16" t="str">
        <f t="shared" si="40"/>
        <v/>
      </c>
      <c r="AL295" s="16" t="str">
        <f t="shared" si="41"/>
        <v/>
      </c>
      <c r="AM295" s="2" t="str">
        <f t="shared" si="42"/>
        <v/>
      </c>
      <c r="AN295" s="16" t="str">
        <f t="shared" si="43"/>
        <v/>
      </c>
    </row>
    <row r="296" spans="4:40">
      <c r="D296" s="13" t="e">
        <f>#REF!</f>
        <v>#REF!</v>
      </c>
      <c r="R296" s="2" t="str">
        <f>IF(ISERROR(VLOOKUP([1]IMM!F295,Table8[[#All],[Column2]:[Column3]],2,FALSE)),"",(VLOOKUP([1]IMM!F295,Table8[[#All],[Column2]:[Column3]],2,FALSE)))</f>
        <v/>
      </c>
      <c r="U296" s="2" t="str">
        <f>IF([1]IMM!P295="","",[1]IMM!P295)</f>
        <v/>
      </c>
      <c r="V296" s="2" t="str">
        <f t="shared" si="36"/>
        <v/>
      </c>
      <c r="W296" s="2" t="str">
        <f t="shared" si="37"/>
        <v/>
      </c>
      <c r="X296" s="2" t="str">
        <f t="shared" si="38"/>
        <v/>
      </c>
      <c r="Y296" s="16" t="str">
        <f t="shared" si="39"/>
        <v/>
      </c>
      <c r="Z296" s="16"/>
      <c r="AJ296" s="2" t="str">
        <f>IF([1]IMM!N295="","",[1]IMM!N295)</f>
        <v/>
      </c>
      <c r="AK296" s="16" t="str">
        <f t="shared" si="40"/>
        <v/>
      </c>
      <c r="AL296" s="16" t="str">
        <f t="shared" si="41"/>
        <v/>
      </c>
      <c r="AM296" s="2" t="str">
        <f t="shared" si="42"/>
        <v/>
      </c>
      <c r="AN296" s="16" t="str">
        <f t="shared" si="43"/>
        <v/>
      </c>
    </row>
    <row r="297" spans="4:40">
      <c r="D297" s="13" t="e">
        <f>#REF!</f>
        <v>#REF!</v>
      </c>
      <c r="R297" s="2" t="str">
        <f>IF(ISERROR(VLOOKUP([1]IMM!F296,Table8[[#All],[Column2]:[Column3]],2,FALSE)),"",(VLOOKUP([1]IMM!F296,Table8[[#All],[Column2]:[Column3]],2,FALSE)))</f>
        <v/>
      </c>
      <c r="U297" s="2" t="str">
        <f>IF([1]IMM!P296="","",[1]IMM!P296)</f>
        <v/>
      </c>
      <c r="V297" s="2" t="str">
        <f t="shared" si="36"/>
        <v/>
      </c>
      <c r="W297" s="2" t="str">
        <f t="shared" si="37"/>
        <v/>
      </c>
      <c r="X297" s="2" t="str">
        <f t="shared" si="38"/>
        <v/>
      </c>
      <c r="Y297" s="16" t="str">
        <f t="shared" si="39"/>
        <v/>
      </c>
      <c r="Z297" s="16"/>
      <c r="AJ297" s="2" t="str">
        <f>IF([1]IMM!N296="","",[1]IMM!N296)</f>
        <v/>
      </c>
      <c r="AK297" s="16" t="str">
        <f t="shared" si="40"/>
        <v/>
      </c>
      <c r="AL297" s="16" t="str">
        <f t="shared" si="41"/>
        <v/>
      </c>
      <c r="AM297" s="2" t="str">
        <f t="shared" si="42"/>
        <v/>
      </c>
      <c r="AN297" s="16" t="str">
        <f t="shared" si="43"/>
        <v/>
      </c>
    </row>
    <row r="298" spans="4:40">
      <c r="D298" s="13" t="e">
        <f>#REF!</f>
        <v>#REF!</v>
      </c>
      <c r="R298" s="2" t="str">
        <f>IF(ISERROR(VLOOKUP([1]IMM!F297,Table8[[#All],[Column2]:[Column3]],2,FALSE)),"",(VLOOKUP([1]IMM!F297,Table8[[#All],[Column2]:[Column3]],2,FALSE)))</f>
        <v/>
      </c>
      <c r="U298" s="2" t="str">
        <f>IF([1]IMM!P297="","",[1]IMM!P297)</f>
        <v/>
      </c>
      <c r="V298" s="2" t="str">
        <f t="shared" si="36"/>
        <v/>
      </c>
      <c r="W298" s="2" t="str">
        <f t="shared" si="37"/>
        <v/>
      </c>
      <c r="X298" s="2" t="str">
        <f t="shared" si="38"/>
        <v/>
      </c>
      <c r="Y298" s="16" t="str">
        <f t="shared" si="39"/>
        <v/>
      </c>
      <c r="Z298" s="16"/>
      <c r="AJ298" s="2" t="str">
        <f>IF([1]IMM!N297="","",[1]IMM!N297)</f>
        <v/>
      </c>
      <c r="AK298" s="16" t="str">
        <f t="shared" si="40"/>
        <v/>
      </c>
      <c r="AL298" s="16" t="str">
        <f t="shared" si="41"/>
        <v/>
      </c>
      <c r="AM298" s="2" t="str">
        <f t="shared" si="42"/>
        <v/>
      </c>
      <c r="AN298" s="16" t="str">
        <f t="shared" si="43"/>
        <v/>
      </c>
    </row>
    <row r="299" spans="4:40">
      <c r="D299" s="13" t="e">
        <f>#REF!</f>
        <v>#REF!</v>
      </c>
      <c r="R299" s="2" t="str">
        <f>IF(ISERROR(VLOOKUP([1]IMM!F298,Table8[[#All],[Column2]:[Column3]],2,FALSE)),"",(VLOOKUP([1]IMM!F298,Table8[[#All],[Column2]:[Column3]],2,FALSE)))</f>
        <v/>
      </c>
      <c r="U299" s="2" t="str">
        <f>IF([1]IMM!P298="","",[1]IMM!P298)</f>
        <v/>
      </c>
      <c r="V299" s="2" t="str">
        <f t="shared" si="36"/>
        <v/>
      </c>
      <c r="W299" s="2" t="str">
        <f t="shared" si="37"/>
        <v/>
      </c>
      <c r="X299" s="2" t="str">
        <f t="shared" si="38"/>
        <v/>
      </c>
      <c r="Y299" s="16" t="str">
        <f t="shared" si="39"/>
        <v/>
      </c>
      <c r="Z299" s="16"/>
      <c r="AJ299" s="2" t="str">
        <f>IF([1]IMM!N298="","",[1]IMM!N298)</f>
        <v/>
      </c>
      <c r="AK299" s="16" t="str">
        <f t="shared" si="40"/>
        <v/>
      </c>
      <c r="AL299" s="16" t="str">
        <f t="shared" si="41"/>
        <v/>
      </c>
      <c r="AM299" s="2" t="str">
        <f t="shared" si="42"/>
        <v/>
      </c>
      <c r="AN299" s="16" t="str">
        <f t="shared" si="43"/>
        <v/>
      </c>
    </row>
    <row r="300" spans="4:40">
      <c r="D300" s="13" t="e">
        <f>#REF!</f>
        <v>#REF!</v>
      </c>
      <c r="R300" s="2" t="str">
        <f>IF(ISERROR(VLOOKUP([1]IMM!F299,Table8[[#All],[Column2]:[Column3]],2,FALSE)),"",(VLOOKUP([1]IMM!F299,Table8[[#All],[Column2]:[Column3]],2,FALSE)))</f>
        <v/>
      </c>
      <c r="U300" s="2" t="str">
        <f>IF([1]IMM!P299="","",[1]IMM!P299)</f>
        <v/>
      </c>
      <c r="V300" s="2" t="str">
        <f t="shared" si="36"/>
        <v/>
      </c>
      <c r="W300" s="2" t="str">
        <f t="shared" si="37"/>
        <v/>
      </c>
      <c r="X300" s="2" t="str">
        <f t="shared" si="38"/>
        <v/>
      </c>
      <c r="Y300" s="16" t="str">
        <f t="shared" si="39"/>
        <v/>
      </c>
      <c r="Z300" s="16"/>
      <c r="AJ300" s="2" t="str">
        <f>IF([1]IMM!N299="","",[1]IMM!N299)</f>
        <v/>
      </c>
      <c r="AK300" s="16" t="str">
        <f t="shared" si="40"/>
        <v/>
      </c>
      <c r="AL300" s="16" t="str">
        <f t="shared" si="41"/>
        <v/>
      </c>
      <c r="AM300" s="2" t="str">
        <f t="shared" si="42"/>
        <v/>
      </c>
      <c r="AN300" s="16" t="str">
        <f t="shared" si="43"/>
        <v/>
      </c>
    </row>
    <row r="301" spans="4:40">
      <c r="D301" s="13" t="e">
        <f>#REF!</f>
        <v>#REF!</v>
      </c>
      <c r="R301" s="2" t="str">
        <f>IF(ISERROR(VLOOKUP([1]IMM!F300,Table8[[#All],[Column2]:[Column3]],2,FALSE)),"",(VLOOKUP([1]IMM!F300,Table8[[#All],[Column2]:[Column3]],2,FALSE)))</f>
        <v/>
      </c>
      <c r="U301" s="2" t="str">
        <f>IF([1]IMM!P300="","",[1]IMM!P300)</f>
        <v/>
      </c>
      <c r="V301" s="2" t="str">
        <f t="shared" si="36"/>
        <v/>
      </c>
      <c r="W301" s="2" t="str">
        <f t="shared" si="37"/>
        <v/>
      </c>
      <c r="X301" s="2" t="str">
        <f t="shared" si="38"/>
        <v/>
      </c>
      <c r="Y301" s="16" t="str">
        <f t="shared" si="39"/>
        <v/>
      </c>
      <c r="Z301" s="16"/>
      <c r="AJ301" s="2" t="str">
        <f>IF([1]IMM!N300="","",[1]IMM!N300)</f>
        <v/>
      </c>
      <c r="AK301" s="16" t="str">
        <f t="shared" si="40"/>
        <v/>
      </c>
      <c r="AL301" s="16" t="str">
        <f t="shared" si="41"/>
        <v/>
      </c>
      <c r="AM301" s="2" t="str">
        <f t="shared" si="42"/>
        <v/>
      </c>
      <c r="AN301" s="16" t="str">
        <f t="shared" si="43"/>
        <v/>
      </c>
    </row>
    <row r="302" spans="4:40">
      <c r="D302" s="13" t="e">
        <f>#REF!</f>
        <v>#REF!</v>
      </c>
      <c r="R302" s="2" t="str">
        <f>IF(ISERROR(VLOOKUP([1]IMM!F301,Table8[[#All],[Column2]:[Column3]],2,FALSE)),"",(VLOOKUP([1]IMM!F301,Table8[[#All],[Column2]:[Column3]],2,FALSE)))</f>
        <v/>
      </c>
      <c r="U302" s="2" t="str">
        <f>IF([1]IMM!P301="","",[1]IMM!P301)</f>
        <v/>
      </c>
      <c r="V302" s="2" t="str">
        <f t="shared" si="36"/>
        <v/>
      </c>
      <c r="W302" s="2" t="str">
        <f t="shared" si="37"/>
        <v/>
      </c>
      <c r="X302" s="2" t="str">
        <f t="shared" si="38"/>
        <v/>
      </c>
      <c r="Y302" s="16" t="str">
        <f t="shared" si="39"/>
        <v/>
      </c>
      <c r="Z302" s="16"/>
      <c r="AJ302" s="2" t="str">
        <f>IF([1]IMM!N301="","",[1]IMM!N301)</f>
        <v/>
      </c>
      <c r="AK302" s="16" t="str">
        <f t="shared" si="40"/>
        <v/>
      </c>
      <c r="AL302" s="16" t="str">
        <f t="shared" si="41"/>
        <v/>
      </c>
      <c r="AM302" s="2" t="str">
        <f t="shared" si="42"/>
        <v/>
      </c>
      <c r="AN302" s="16" t="str">
        <f t="shared" si="43"/>
        <v/>
      </c>
    </row>
    <row r="303" spans="4:40">
      <c r="D303" s="13" t="e">
        <f>#REF!</f>
        <v>#REF!</v>
      </c>
      <c r="R303" s="2" t="str">
        <f>IF(ISERROR(VLOOKUP([1]IMM!F302,Table8[[#All],[Column2]:[Column3]],2,FALSE)),"",(VLOOKUP([1]IMM!F302,Table8[[#All],[Column2]:[Column3]],2,FALSE)))</f>
        <v/>
      </c>
      <c r="U303" s="2" t="str">
        <f>IF([1]IMM!P302="","",[1]IMM!P302)</f>
        <v/>
      </c>
      <c r="V303" s="2" t="str">
        <f t="shared" si="36"/>
        <v/>
      </c>
      <c r="W303" s="2" t="str">
        <f t="shared" si="37"/>
        <v/>
      </c>
      <c r="X303" s="2" t="str">
        <f t="shared" si="38"/>
        <v/>
      </c>
      <c r="Y303" s="16" t="str">
        <f t="shared" si="39"/>
        <v/>
      </c>
      <c r="Z303" s="16"/>
      <c r="AJ303" s="2" t="str">
        <f>IF([1]IMM!N302="","",[1]IMM!N302)</f>
        <v/>
      </c>
      <c r="AK303" s="16" t="str">
        <f t="shared" si="40"/>
        <v/>
      </c>
      <c r="AL303" s="16" t="str">
        <f t="shared" si="41"/>
        <v/>
      </c>
      <c r="AM303" s="2" t="str">
        <f t="shared" si="42"/>
        <v/>
      </c>
      <c r="AN303" s="16" t="str">
        <f t="shared" si="43"/>
        <v/>
      </c>
    </row>
    <row r="304" spans="4:40">
      <c r="D304" s="13" t="e">
        <f>#REF!</f>
        <v>#REF!</v>
      </c>
      <c r="R304" s="2" t="str">
        <f>IF(ISERROR(VLOOKUP([1]IMM!F303,Table8[[#All],[Column2]:[Column3]],2,FALSE)),"",(VLOOKUP([1]IMM!F303,Table8[[#All],[Column2]:[Column3]],2,FALSE)))</f>
        <v/>
      </c>
      <c r="U304" s="2" t="str">
        <f>IF([1]IMM!P303="","",[1]IMM!P303)</f>
        <v/>
      </c>
      <c r="V304" s="2" t="str">
        <f t="shared" si="36"/>
        <v/>
      </c>
      <c r="W304" s="2" t="str">
        <f t="shared" si="37"/>
        <v/>
      </c>
      <c r="X304" s="2" t="str">
        <f t="shared" si="38"/>
        <v/>
      </c>
      <c r="Y304" s="16" t="str">
        <f t="shared" si="39"/>
        <v/>
      </c>
      <c r="Z304" s="16"/>
      <c r="AJ304" s="2" t="str">
        <f>IF([1]IMM!N303="","",[1]IMM!N303)</f>
        <v/>
      </c>
      <c r="AK304" s="16" t="str">
        <f t="shared" si="40"/>
        <v/>
      </c>
      <c r="AL304" s="16" t="str">
        <f t="shared" si="41"/>
        <v/>
      </c>
      <c r="AM304" s="2" t="str">
        <f t="shared" si="42"/>
        <v/>
      </c>
      <c r="AN304" s="16" t="str">
        <f t="shared" si="43"/>
        <v/>
      </c>
    </row>
    <row r="305" spans="4:40">
      <c r="D305" s="13" t="e">
        <f>#REF!</f>
        <v>#REF!</v>
      </c>
      <c r="R305" s="2" t="str">
        <f>IF(ISERROR(VLOOKUP([1]IMM!F304,Table8[[#All],[Column2]:[Column3]],2,FALSE)),"",(VLOOKUP([1]IMM!F304,Table8[[#All],[Column2]:[Column3]],2,FALSE)))</f>
        <v/>
      </c>
      <c r="U305" s="2" t="str">
        <f>IF([1]IMM!P304="","",[1]IMM!P304)</f>
        <v/>
      </c>
      <c r="V305" s="2" t="str">
        <f t="shared" si="36"/>
        <v/>
      </c>
      <c r="W305" s="2" t="str">
        <f t="shared" si="37"/>
        <v/>
      </c>
      <c r="X305" s="2" t="str">
        <f t="shared" si="38"/>
        <v/>
      </c>
      <c r="Y305" s="16" t="str">
        <f t="shared" si="39"/>
        <v/>
      </c>
      <c r="Z305" s="16"/>
      <c r="AJ305" s="2" t="str">
        <f>IF([1]IMM!N304="","",[1]IMM!N304)</f>
        <v/>
      </c>
      <c r="AK305" s="16" t="str">
        <f t="shared" si="40"/>
        <v/>
      </c>
      <c r="AL305" s="16" t="str">
        <f t="shared" si="41"/>
        <v/>
      </c>
      <c r="AM305" s="2" t="str">
        <f t="shared" si="42"/>
        <v/>
      </c>
      <c r="AN305" s="16" t="str">
        <f t="shared" si="43"/>
        <v/>
      </c>
    </row>
    <row r="306" spans="4:40">
      <c r="D306" s="13" t="e">
        <f>#REF!</f>
        <v>#REF!</v>
      </c>
      <c r="R306" s="2" t="str">
        <f>IF(ISERROR(VLOOKUP([1]IMM!F305,Table8[[#All],[Column2]:[Column3]],2,FALSE)),"",(VLOOKUP([1]IMM!F305,Table8[[#All],[Column2]:[Column3]],2,FALSE)))</f>
        <v/>
      </c>
      <c r="U306" s="2" t="str">
        <f>IF([1]IMM!P305="","",[1]IMM!P305)</f>
        <v/>
      </c>
      <c r="V306" s="2" t="str">
        <f t="shared" si="36"/>
        <v/>
      </c>
      <c r="W306" s="2" t="str">
        <f t="shared" si="37"/>
        <v/>
      </c>
      <c r="X306" s="2" t="str">
        <f t="shared" si="38"/>
        <v/>
      </c>
      <c r="Y306" s="16" t="str">
        <f t="shared" si="39"/>
        <v/>
      </c>
      <c r="Z306" s="16"/>
      <c r="AJ306" s="2" t="str">
        <f>IF([1]IMM!N305="","",[1]IMM!N305)</f>
        <v/>
      </c>
      <c r="AK306" s="16" t="str">
        <f t="shared" si="40"/>
        <v/>
      </c>
      <c r="AL306" s="16" t="str">
        <f t="shared" si="41"/>
        <v/>
      </c>
      <c r="AM306" s="2" t="str">
        <f t="shared" si="42"/>
        <v/>
      </c>
      <c r="AN306" s="16" t="str">
        <f t="shared" si="43"/>
        <v/>
      </c>
    </row>
    <row r="307" spans="4:40">
      <c r="D307" s="13" t="e">
        <f>#REF!</f>
        <v>#REF!</v>
      </c>
      <c r="R307" s="2" t="str">
        <f>IF(ISERROR(VLOOKUP([1]IMM!F306,Table8[[#All],[Column2]:[Column3]],2,FALSE)),"",(VLOOKUP([1]IMM!F306,Table8[[#All],[Column2]:[Column3]],2,FALSE)))</f>
        <v/>
      </c>
      <c r="U307" s="2" t="str">
        <f>IF([1]IMM!P306="","",[1]IMM!P306)</f>
        <v/>
      </c>
      <c r="V307" s="2" t="str">
        <f t="shared" si="36"/>
        <v/>
      </c>
      <c r="W307" s="2" t="str">
        <f t="shared" si="37"/>
        <v/>
      </c>
      <c r="X307" s="2" t="str">
        <f t="shared" si="38"/>
        <v/>
      </c>
      <c r="Y307" s="16" t="str">
        <f t="shared" si="39"/>
        <v/>
      </c>
      <c r="Z307" s="16"/>
      <c r="AJ307" s="2" t="str">
        <f>IF([1]IMM!N306="","",[1]IMM!N306)</f>
        <v/>
      </c>
      <c r="AK307" s="16" t="str">
        <f t="shared" si="40"/>
        <v/>
      </c>
      <c r="AL307" s="16" t="str">
        <f t="shared" si="41"/>
        <v/>
      </c>
      <c r="AM307" s="2" t="str">
        <f t="shared" si="42"/>
        <v/>
      </c>
      <c r="AN307" s="16" t="str">
        <f t="shared" si="43"/>
        <v/>
      </c>
    </row>
    <row r="308" spans="4:40">
      <c r="D308" s="13" t="e">
        <f>#REF!</f>
        <v>#REF!</v>
      </c>
      <c r="R308" s="2" t="str">
        <f>IF(ISERROR(VLOOKUP([1]IMM!F307,Table8[[#All],[Column2]:[Column3]],2,FALSE)),"",(VLOOKUP([1]IMM!F307,Table8[[#All],[Column2]:[Column3]],2,FALSE)))</f>
        <v/>
      </c>
      <c r="U308" s="2" t="str">
        <f>IF([1]IMM!P307="","",[1]IMM!P307)</f>
        <v/>
      </c>
      <c r="V308" s="2" t="str">
        <f t="shared" si="36"/>
        <v/>
      </c>
      <c r="W308" s="2" t="str">
        <f t="shared" si="37"/>
        <v/>
      </c>
      <c r="X308" s="2" t="str">
        <f t="shared" si="38"/>
        <v/>
      </c>
      <c r="Y308" s="16" t="str">
        <f t="shared" si="39"/>
        <v/>
      </c>
      <c r="Z308" s="16"/>
      <c r="AJ308" s="2" t="str">
        <f>IF([1]IMM!N307="","",[1]IMM!N307)</f>
        <v/>
      </c>
      <c r="AK308" s="16" t="str">
        <f t="shared" si="40"/>
        <v/>
      </c>
      <c r="AL308" s="16" t="str">
        <f t="shared" si="41"/>
        <v/>
      </c>
      <c r="AM308" s="2" t="str">
        <f t="shared" si="42"/>
        <v/>
      </c>
      <c r="AN308" s="16" t="str">
        <f t="shared" si="43"/>
        <v/>
      </c>
    </row>
    <row r="309" spans="4:40">
      <c r="D309" s="13" t="e">
        <f>#REF!</f>
        <v>#REF!</v>
      </c>
      <c r="R309" s="2" t="str">
        <f>IF(ISERROR(VLOOKUP([1]IMM!F308,Table8[[#All],[Column2]:[Column3]],2,FALSE)),"",(VLOOKUP([1]IMM!F308,Table8[[#All],[Column2]:[Column3]],2,FALSE)))</f>
        <v/>
      </c>
      <c r="U309" s="2" t="str">
        <f>IF([1]IMM!P308="","",[1]IMM!P308)</f>
        <v/>
      </c>
      <c r="V309" s="2" t="str">
        <f t="shared" si="36"/>
        <v/>
      </c>
      <c r="W309" s="2" t="str">
        <f t="shared" si="37"/>
        <v/>
      </c>
      <c r="X309" s="2" t="str">
        <f t="shared" si="38"/>
        <v/>
      </c>
      <c r="Y309" s="16" t="str">
        <f t="shared" si="39"/>
        <v/>
      </c>
      <c r="Z309" s="16"/>
      <c r="AJ309" s="2" t="str">
        <f>IF([1]IMM!N308="","",[1]IMM!N308)</f>
        <v/>
      </c>
      <c r="AK309" s="16" t="str">
        <f t="shared" si="40"/>
        <v/>
      </c>
      <c r="AL309" s="16" t="str">
        <f t="shared" si="41"/>
        <v/>
      </c>
      <c r="AM309" s="2" t="str">
        <f t="shared" si="42"/>
        <v/>
      </c>
      <c r="AN309" s="16" t="str">
        <f t="shared" si="43"/>
        <v/>
      </c>
    </row>
    <row r="310" spans="4:40">
      <c r="D310" s="13" t="e">
        <f>#REF!</f>
        <v>#REF!</v>
      </c>
      <c r="R310" s="2" t="str">
        <f>IF(ISERROR(VLOOKUP([1]IMM!F309,Table8[[#All],[Column2]:[Column3]],2,FALSE)),"",(VLOOKUP([1]IMM!F309,Table8[[#All],[Column2]:[Column3]],2,FALSE)))</f>
        <v/>
      </c>
      <c r="U310" s="2" t="str">
        <f>IF([1]IMM!P309="","",[1]IMM!P309)</f>
        <v/>
      </c>
      <c r="V310" s="2" t="str">
        <f t="shared" si="36"/>
        <v/>
      </c>
      <c r="W310" s="2" t="str">
        <f t="shared" si="37"/>
        <v/>
      </c>
      <c r="X310" s="2" t="str">
        <f t="shared" si="38"/>
        <v/>
      </c>
      <c r="Y310" s="16" t="str">
        <f t="shared" si="39"/>
        <v/>
      </c>
      <c r="Z310" s="16"/>
      <c r="AJ310" s="2" t="str">
        <f>IF([1]IMM!N309="","",[1]IMM!N309)</f>
        <v/>
      </c>
      <c r="AK310" s="16" t="str">
        <f t="shared" si="40"/>
        <v/>
      </c>
      <c r="AL310" s="16" t="str">
        <f t="shared" si="41"/>
        <v/>
      </c>
      <c r="AM310" s="2" t="str">
        <f t="shared" si="42"/>
        <v/>
      </c>
      <c r="AN310" s="16" t="str">
        <f t="shared" si="43"/>
        <v/>
      </c>
    </row>
    <row r="311" spans="4:40">
      <c r="D311" s="13" t="e">
        <f>#REF!</f>
        <v>#REF!</v>
      </c>
      <c r="R311" s="2" t="str">
        <f>IF(ISERROR(VLOOKUP([1]IMM!F310,Table8[[#All],[Column2]:[Column3]],2,FALSE)),"",(VLOOKUP([1]IMM!F310,Table8[[#All],[Column2]:[Column3]],2,FALSE)))</f>
        <v/>
      </c>
      <c r="U311" s="2" t="str">
        <f>IF([1]IMM!P310="","",[1]IMM!P310)</f>
        <v/>
      </c>
      <c r="V311" s="2" t="str">
        <f t="shared" si="36"/>
        <v/>
      </c>
      <c r="W311" s="2" t="str">
        <f t="shared" si="37"/>
        <v/>
      </c>
      <c r="X311" s="2" t="str">
        <f t="shared" si="38"/>
        <v/>
      </c>
      <c r="Y311" s="16" t="str">
        <f t="shared" si="39"/>
        <v/>
      </c>
      <c r="Z311" s="16"/>
      <c r="AJ311" s="2" t="str">
        <f>IF([1]IMM!N310="","",[1]IMM!N310)</f>
        <v/>
      </c>
      <c r="AK311" s="16" t="str">
        <f t="shared" si="40"/>
        <v/>
      </c>
      <c r="AL311" s="16" t="str">
        <f t="shared" si="41"/>
        <v/>
      </c>
      <c r="AM311" s="2" t="str">
        <f t="shared" si="42"/>
        <v/>
      </c>
      <c r="AN311" s="16" t="str">
        <f t="shared" si="43"/>
        <v/>
      </c>
    </row>
    <row r="312" spans="4:40">
      <c r="D312" s="13" t="e">
        <f>#REF!</f>
        <v>#REF!</v>
      </c>
      <c r="R312" s="2" t="str">
        <f>IF(ISERROR(VLOOKUP([1]IMM!F311,Table8[[#All],[Column2]:[Column3]],2,FALSE)),"",(VLOOKUP([1]IMM!F311,Table8[[#All],[Column2]:[Column3]],2,FALSE)))</f>
        <v/>
      </c>
      <c r="U312" s="2" t="str">
        <f>IF([1]IMM!P311="","",[1]IMM!P311)</f>
        <v/>
      </c>
      <c r="V312" s="2" t="str">
        <f t="shared" si="36"/>
        <v/>
      </c>
      <c r="W312" s="2" t="str">
        <f t="shared" si="37"/>
        <v/>
      </c>
      <c r="X312" s="2" t="str">
        <f t="shared" si="38"/>
        <v/>
      </c>
      <c r="Y312" s="16" t="str">
        <f t="shared" si="39"/>
        <v/>
      </c>
      <c r="Z312" s="16"/>
      <c r="AJ312" s="2" t="str">
        <f>IF([1]IMM!N311="","",[1]IMM!N311)</f>
        <v/>
      </c>
      <c r="AK312" s="16" t="str">
        <f t="shared" si="40"/>
        <v/>
      </c>
      <c r="AL312" s="16" t="str">
        <f t="shared" si="41"/>
        <v/>
      </c>
      <c r="AM312" s="2" t="str">
        <f t="shared" si="42"/>
        <v/>
      </c>
      <c r="AN312" s="16" t="str">
        <f t="shared" si="43"/>
        <v/>
      </c>
    </row>
    <row r="313" spans="4:40">
      <c r="D313" s="13" t="e">
        <f>#REF!</f>
        <v>#REF!</v>
      </c>
      <c r="R313" s="2" t="str">
        <f>IF(ISERROR(VLOOKUP([1]IMM!F312,Table8[[#All],[Column2]:[Column3]],2,FALSE)),"",(VLOOKUP([1]IMM!F312,Table8[[#All],[Column2]:[Column3]],2,FALSE)))</f>
        <v/>
      </c>
      <c r="U313" s="2" t="str">
        <f>IF([1]IMM!P312="","",[1]IMM!P312)</f>
        <v/>
      </c>
      <c r="V313" s="2" t="str">
        <f t="shared" si="36"/>
        <v/>
      </c>
      <c r="W313" s="2" t="str">
        <f t="shared" si="37"/>
        <v/>
      </c>
      <c r="X313" s="2" t="str">
        <f t="shared" si="38"/>
        <v/>
      </c>
      <c r="Y313" s="16" t="str">
        <f t="shared" si="39"/>
        <v/>
      </c>
      <c r="Z313" s="16"/>
      <c r="AJ313" s="2" t="str">
        <f>IF([1]IMM!N312="","",[1]IMM!N312)</f>
        <v/>
      </c>
      <c r="AK313" s="16" t="str">
        <f t="shared" si="40"/>
        <v/>
      </c>
      <c r="AL313" s="16" t="str">
        <f t="shared" si="41"/>
        <v/>
      </c>
      <c r="AM313" s="2" t="str">
        <f t="shared" si="42"/>
        <v/>
      </c>
      <c r="AN313" s="16" t="str">
        <f t="shared" si="43"/>
        <v/>
      </c>
    </row>
    <row r="314" spans="4:40">
      <c r="D314" s="13" t="e">
        <f>#REF!</f>
        <v>#REF!</v>
      </c>
      <c r="R314" s="2" t="str">
        <f>IF(ISERROR(VLOOKUP([1]IMM!F313,Table8[[#All],[Column2]:[Column3]],2,FALSE)),"",(VLOOKUP([1]IMM!F313,Table8[[#All],[Column2]:[Column3]],2,FALSE)))</f>
        <v/>
      </c>
      <c r="U314" s="2" t="str">
        <f>IF([1]IMM!P313="","",[1]IMM!P313)</f>
        <v/>
      </c>
      <c r="V314" s="2" t="str">
        <f t="shared" si="36"/>
        <v/>
      </c>
      <c r="W314" s="2" t="str">
        <f t="shared" si="37"/>
        <v/>
      </c>
      <c r="X314" s="2" t="str">
        <f t="shared" si="38"/>
        <v/>
      </c>
      <c r="Y314" s="16" t="str">
        <f t="shared" si="39"/>
        <v/>
      </c>
      <c r="Z314" s="16"/>
      <c r="AJ314" s="2" t="str">
        <f>IF([1]IMM!N313="","",[1]IMM!N313)</f>
        <v/>
      </c>
      <c r="AK314" s="16" t="str">
        <f t="shared" si="40"/>
        <v/>
      </c>
      <c r="AL314" s="16" t="str">
        <f t="shared" si="41"/>
        <v/>
      </c>
      <c r="AM314" s="2" t="str">
        <f t="shared" si="42"/>
        <v/>
      </c>
      <c r="AN314" s="16" t="str">
        <f t="shared" si="43"/>
        <v/>
      </c>
    </row>
    <row r="315" spans="4:40">
      <c r="D315" s="13" t="e">
        <f>#REF!</f>
        <v>#REF!</v>
      </c>
      <c r="R315" s="2" t="str">
        <f>IF(ISERROR(VLOOKUP([1]IMM!F314,Table8[[#All],[Column2]:[Column3]],2,FALSE)),"",(VLOOKUP([1]IMM!F314,Table8[[#All],[Column2]:[Column3]],2,FALSE)))</f>
        <v/>
      </c>
      <c r="U315" s="2" t="str">
        <f>IF([1]IMM!P314="","",[1]IMM!P314)</f>
        <v/>
      </c>
      <c r="V315" s="2" t="str">
        <f t="shared" si="36"/>
        <v/>
      </c>
      <c r="W315" s="2" t="str">
        <f t="shared" si="37"/>
        <v/>
      </c>
      <c r="X315" s="2" t="str">
        <f t="shared" si="38"/>
        <v/>
      </c>
      <c r="Y315" s="16" t="str">
        <f t="shared" si="39"/>
        <v/>
      </c>
      <c r="Z315" s="16"/>
      <c r="AJ315" s="2" t="str">
        <f>IF([1]IMM!N314="","",[1]IMM!N314)</f>
        <v/>
      </c>
      <c r="AK315" s="16" t="str">
        <f t="shared" si="40"/>
        <v/>
      </c>
      <c r="AL315" s="16" t="str">
        <f t="shared" si="41"/>
        <v/>
      </c>
      <c r="AM315" s="2" t="str">
        <f t="shared" si="42"/>
        <v/>
      </c>
      <c r="AN315" s="16" t="str">
        <f t="shared" si="43"/>
        <v/>
      </c>
    </row>
    <row r="316" spans="4:40">
      <c r="D316" s="13" t="e">
        <f>#REF!</f>
        <v>#REF!</v>
      </c>
      <c r="R316" s="2" t="str">
        <f>IF(ISERROR(VLOOKUP([1]IMM!F315,Table8[[#All],[Column2]:[Column3]],2,FALSE)),"",(VLOOKUP([1]IMM!F315,Table8[[#All],[Column2]:[Column3]],2,FALSE)))</f>
        <v/>
      </c>
      <c r="U316" s="2" t="str">
        <f>IF([1]IMM!P315="","",[1]IMM!P315)</f>
        <v/>
      </c>
      <c r="V316" s="2" t="str">
        <f t="shared" si="36"/>
        <v/>
      </c>
      <c r="W316" s="2" t="str">
        <f t="shared" si="37"/>
        <v/>
      </c>
      <c r="X316" s="2" t="str">
        <f t="shared" si="38"/>
        <v/>
      </c>
      <c r="Y316" s="16" t="str">
        <f t="shared" si="39"/>
        <v/>
      </c>
      <c r="Z316" s="16"/>
      <c r="AJ316" s="2" t="str">
        <f>IF([1]IMM!N315="","",[1]IMM!N315)</f>
        <v/>
      </c>
      <c r="AK316" s="16" t="str">
        <f t="shared" si="40"/>
        <v/>
      </c>
      <c r="AL316" s="16" t="str">
        <f t="shared" si="41"/>
        <v/>
      </c>
      <c r="AM316" s="2" t="str">
        <f t="shared" si="42"/>
        <v/>
      </c>
      <c r="AN316" s="16" t="str">
        <f t="shared" si="43"/>
        <v/>
      </c>
    </row>
    <row r="317" spans="4:40">
      <c r="D317" s="13" t="e">
        <f>#REF!</f>
        <v>#REF!</v>
      </c>
      <c r="R317" s="2" t="str">
        <f>IF(ISERROR(VLOOKUP([1]IMM!F316,Table8[[#All],[Column2]:[Column3]],2,FALSE)),"",(VLOOKUP([1]IMM!F316,Table8[[#All],[Column2]:[Column3]],2,FALSE)))</f>
        <v/>
      </c>
      <c r="U317" s="2" t="str">
        <f>IF([1]IMM!P316="","",[1]IMM!P316)</f>
        <v/>
      </c>
      <c r="V317" s="2" t="str">
        <f t="shared" si="36"/>
        <v/>
      </c>
      <c r="W317" s="2" t="str">
        <f t="shared" si="37"/>
        <v/>
      </c>
      <c r="X317" s="2" t="str">
        <f t="shared" si="38"/>
        <v/>
      </c>
      <c r="Y317" s="16" t="str">
        <f t="shared" si="39"/>
        <v/>
      </c>
      <c r="Z317" s="16"/>
      <c r="AJ317" s="2" t="str">
        <f>IF([1]IMM!N316="","",[1]IMM!N316)</f>
        <v/>
      </c>
      <c r="AK317" s="16" t="str">
        <f t="shared" si="40"/>
        <v/>
      </c>
      <c r="AL317" s="16" t="str">
        <f t="shared" si="41"/>
        <v/>
      </c>
      <c r="AM317" s="2" t="str">
        <f t="shared" si="42"/>
        <v/>
      </c>
      <c r="AN317" s="16" t="str">
        <f t="shared" si="43"/>
        <v/>
      </c>
    </row>
    <row r="318" spans="4:40">
      <c r="D318" s="13" t="e">
        <f>#REF!</f>
        <v>#REF!</v>
      </c>
      <c r="R318" s="2" t="str">
        <f>IF(ISERROR(VLOOKUP([1]IMM!F317,Table8[[#All],[Column2]:[Column3]],2,FALSE)),"",(VLOOKUP([1]IMM!F317,Table8[[#All],[Column2]:[Column3]],2,FALSE)))</f>
        <v/>
      </c>
      <c r="U318" s="2" t="str">
        <f>IF([1]IMM!P317="","",[1]IMM!P317)</f>
        <v/>
      </c>
      <c r="V318" s="2" t="str">
        <f t="shared" si="36"/>
        <v/>
      </c>
      <c r="W318" s="2" t="str">
        <f t="shared" si="37"/>
        <v/>
      </c>
      <c r="X318" s="2" t="str">
        <f t="shared" si="38"/>
        <v/>
      </c>
      <c r="Y318" s="16" t="str">
        <f t="shared" si="39"/>
        <v/>
      </c>
      <c r="Z318" s="16"/>
      <c r="AJ318" s="2" t="str">
        <f>IF([1]IMM!N317="","",[1]IMM!N317)</f>
        <v/>
      </c>
      <c r="AK318" s="16" t="str">
        <f t="shared" si="40"/>
        <v/>
      </c>
      <c r="AL318" s="16" t="str">
        <f t="shared" si="41"/>
        <v/>
      </c>
      <c r="AM318" s="2" t="str">
        <f t="shared" si="42"/>
        <v/>
      </c>
      <c r="AN318" s="16" t="str">
        <f t="shared" si="43"/>
        <v/>
      </c>
    </row>
    <row r="319" spans="4:40">
      <c r="D319" s="13" t="e">
        <f>#REF!</f>
        <v>#REF!</v>
      </c>
      <c r="R319" s="2" t="str">
        <f>IF(ISERROR(VLOOKUP([1]IMM!F318,Table8[[#All],[Column2]:[Column3]],2,FALSE)),"",(VLOOKUP([1]IMM!F318,Table8[[#All],[Column2]:[Column3]],2,FALSE)))</f>
        <v/>
      </c>
      <c r="U319" s="2" t="str">
        <f>IF([1]IMM!P318="","",[1]IMM!P318)</f>
        <v/>
      </c>
      <c r="V319" s="2" t="str">
        <f t="shared" si="36"/>
        <v/>
      </c>
      <c r="W319" s="2" t="str">
        <f t="shared" si="37"/>
        <v/>
      </c>
      <c r="X319" s="2" t="str">
        <f t="shared" si="38"/>
        <v/>
      </c>
      <c r="Y319" s="16" t="str">
        <f t="shared" si="39"/>
        <v/>
      </c>
      <c r="Z319" s="16"/>
      <c r="AJ319" s="2" t="str">
        <f>IF([1]IMM!N318="","",[1]IMM!N318)</f>
        <v/>
      </c>
      <c r="AK319" s="16" t="str">
        <f t="shared" si="40"/>
        <v/>
      </c>
      <c r="AL319" s="16" t="str">
        <f t="shared" si="41"/>
        <v/>
      </c>
      <c r="AM319" s="2" t="str">
        <f t="shared" si="42"/>
        <v/>
      </c>
      <c r="AN319" s="16" t="str">
        <f t="shared" si="43"/>
        <v/>
      </c>
    </row>
    <row r="320" spans="4:40">
      <c r="D320" s="13" t="e">
        <f>#REF!</f>
        <v>#REF!</v>
      </c>
      <c r="R320" s="2" t="str">
        <f>IF(ISERROR(VLOOKUP([1]IMM!F319,Table8[[#All],[Column2]:[Column3]],2,FALSE)),"",(VLOOKUP([1]IMM!F319,Table8[[#All],[Column2]:[Column3]],2,FALSE)))</f>
        <v/>
      </c>
      <c r="U320" s="2" t="str">
        <f>IF([1]IMM!P319="","",[1]IMM!P319)</f>
        <v/>
      </c>
      <c r="V320" s="2" t="str">
        <f t="shared" si="36"/>
        <v/>
      </c>
      <c r="W320" s="2" t="str">
        <f t="shared" si="37"/>
        <v/>
      </c>
      <c r="X320" s="2" t="str">
        <f t="shared" si="38"/>
        <v/>
      </c>
      <c r="Y320" s="16" t="str">
        <f t="shared" si="39"/>
        <v/>
      </c>
      <c r="Z320" s="16"/>
      <c r="AJ320" s="2" t="str">
        <f>IF([1]IMM!N319="","",[1]IMM!N319)</f>
        <v/>
      </c>
      <c r="AK320" s="16" t="str">
        <f t="shared" si="40"/>
        <v/>
      </c>
      <c r="AL320" s="16" t="str">
        <f t="shared" si="41"/>
        <v/>
      </c>
      <c r="AM320" s="2" t="str">
        <f t="shared" si="42"/>
        <v/>
      </c>
      <c r="AN320" s="16" t="str">
        <f t="shared" si="43"/>
        <v/>
      </c>
    </row>
    <row r="321" spans="4:40">
      <c r="D321" s="13" t="e">
        <f>#REF!</f>
        <v>#REF!</v>
      </c>
      <c r="R321" s="2" t="str">
        <f>IF(ISERROR(VLOOKUP([1]IMM!F320,Table8[[#All],[Column2]:[Column3]],2,FALSE)),"",(VLOOKUP([1]IMM!F320,Table8[[#All],[Column2]:[Column3]],2,FALSE)))</f>
        <v/>
      </c>
      <c r="U321" s="2" t="str">
        <f>IF([1]IMM!P320="","",[1]IMM!P320)</f>
        <v/>
      </c>
      <c r="V321" s="2" t="str">
        <f t="shared" si="36"/>
        <v/>
      </c>
      <c r="W321" s="2" t="str">
        <f t="shared" si="37"/>
        <v/>
      </c>
      <c r="X321" s="2" t="str">
        <f t="shared" si="38"/>
        <v/>
      </c>
      <c r="Y321" s="16" t="str">
        <f t="shared" si="39"/>
        <v/>
      </c>
      <c r="Z321" s="16"/>
      <c r="AJ321" s="2" t="str">
        <f>IF([1]IMM!N320="","",[1]IMM!N320)</f>
        <v/>
      </c>
      <c r="AK321" s="16" t="str">
        <f t="shared" si="40"/>
        <v/>
      </c>
      <c r="AL321" s="16" t="str">
        <f t="shared" si="41"/>
        <v/>
      </c>
      <c r="AM321" s="2" t="str">
        <f t="shared" si="42"/>
        <v/>
      </c>
      <c r="AN321" s="16" t="str">
        <f t="shared" si="43"/>
        <v/>
      </c>
    </row>
    <row r="322" spans="4:40">
      <c r="D322" s="13" t="e">
        <f>#REF!</f>
        <v>#REF!</v>
      </c>
      <c r="R322" s="2" t="str">
        <f>IF(ISERROR(VLOOKUP([1]IMM!F321,Table8[[#All],[Column2]:[Column3]],2,FALSE)),"",(VLOOKUP([1]IMM!F321,Table8[[#All],[Column2]:[Column3]],2,FALSE)))</f>
        <v/>
      </c>
      <c r="U322" s="2" t="str">
        <f>IF([1]IMM!P321="","",[1]IMM!P321)</f>
        <v/>
      </c>
      <c r="V322" s="2" t="str">
        <f t="shared" si="36"/>
        <v/>
      </c>
      <c r="W322" s="2" t="str">
        <f t="shared" si="37"/>
        <v/>
      </c>
      <c r="X322" s="2" t="str">
        <f t="shared" si="38"/>
        <v/>
      </c>
      <c r="Y322" s="16" t="str">
        <f t="shared" si="39"/>
        <v/>
      </c>
      <c r="Z322" s="16"/>
      <c r="AJ322" s="2" t="str">
        <f>IF([1]IMM!N321="","",[1]IMM!N321)</f>
        <v/>
      </c>
      <c r="AK322" s="16" t="str">
        <f t="shared" si="40"/>
        <v/>
      </c>
      <c r="AL322" s="16" t="str">
        <f t="shared" si="41"/>
        <v/>
      </c>
      <c r="AM322" s="2" t="str">
        <f t="shared" si="42"/>
        <v/>
      </c>
      <c r="AN322" s="16" t="str">
        <f t="shared" si="43"/>
        <v/>
      </c>
    </row>
    <row r="323" spans="4:40">
      <c r="D323" s="13" t="e">
        <f>#REF!</f>
        <v>#REF!</v>
      </c>
      <c r="R323" s="2" t="str">
        <f>IF(ISERROR(VLOOKUP([1]IMM!F322,Table8[[#All],[Column2]:[Column3]],2,FALSE)),"",(VLOOKUP([1]IMM!F322,Table8[[#All],[Column2]:[Column3]],2,FALSE)))</f>
        <v/>
      </c>
      <c r="U323" s="2" t="str">
        <f>IF([1]IMM!P322="","",[1]IMM!P322)</f>
        <v/>
      </c>
      <c r="V323" s="2" t="str">
        <f t="shared" si="36"/>
        <v/>
      </c>
      <c r="W323" s="2" t="str">
        <f t="shared" si="37"/>
        <v/>
      </c>
      <c r="X323" s="2" t="str">
        <f t="shared" si="38"/>
        <v/>
      </c>
      <c r="Y323" s="16" t="str">
        <f t="shared" si="39"/>
        <v/>
      </c>
      <c r="Z323" s="16"/>
      <c r="AJ323" s="2" t="str">
        <f>IF([1]IMM!N322="","",[1]IMM!N322)</f>
        <v/>
      </c>
      <c r="AK323" s="16" t="str">
        <f t="shared" si="40"/>
        <v/>
      </c>
      <c r="AL323" s="16" t="str">
        <f t="shared" si="41"/>
        <v/>
      </c>
      <c r="AM323" s="2" t="str">
        <f t="shared" si="42"/>
        <v/>
      </c>
      <c r="AN323" s="16" t="str">
        <f t="shared" si="43"/>
        <v/>
      </c>
    </row>
    <row r="324" spans="4:40">
      <c r="D324" s="13" t="e">
        <f>#REF!</f>
        <v>#REF!</v>
      </c>
      <c r="R324" s="2" t="str">
        <f>IF(ISERROR(VLOOKUP([1]IMM!F323,Table8[[#All],[Column2]:[Column3]],2,FALSE)),"",(VLOOKUP([1]IMM!F323,Table8[[#All],[Column2]:[Column3]],2,FALSE)))</f>
        <v/>
      </c>
      <c r="U324" s="2" t="str">
        <f>IF([1]IMM!P323="","",[1]IMM!P323)</f>
        <v/>
      </c>
      <c r="V324" s="2" t="str">
        <f t="shared" ref="V324:V327" si="44">LEFT(U324,2)</f>
        <v/>
      </c>
      <c r="W324" s="2" t="str">
        <f t="shared" ref="W324:W327" si="45">MID(U324,4,2)</f>
        <v/>
      </c>
      <c r="X324" s="2" t="str">
        <f t="shared" ref="X324:X327" si="46">RIGHT(U324,4)</f>
        <v/>
      </c>
      <c r="Y324" s="16" t="str">
        <f t="shared" ref="Y324:Y330" si="47">IFERROR(DATE(X324,V324,W324),"")</f>
        <v/>
      </c>
      <c r="Z324" s="16"/>
      <c r="AJ324" s="2" t="str">
        <f>IF([1]IMM!N323="","",[1]IMM!N323)</f>
        <v/>
      </c>
      <c r="AK324" s="16" t="str">
        <f t="shared" ref="AK324:AK328" si="48">LEFT(AJ324,2)</f>
        <v/>
      </c>
      <c r="AL324" s="16" t="str">
        <f t="shared" ref="AL324:AL328" si="49">MID(AJ324,4,2)</f>
        <v/>
      </c>
      <c r="AM324" s="2" t="str">
        <f t="shared" ref="AM324:AM328" si="50">RIGHT(AJ324,4)</f>
        <v/>
      </c>
      <c r="AN324" s="16" t="str">
        <f t="shared" ref="AN324:AN330" si="51">IFERROR(DATE(AM324,AK324,AL324),"")</f>
        <v/>
      </c>
    </row>
    <row r="325" spans="4:40">
      <c r="D325" s="13" t="e">
        <f>#REF!</f>
        <v>#REF!</v>
      </c>
      <c r="R325" s="2" t="str">
        <f>IF(ISERROR(VLOOKUP([1]IMM!F324,Table8[[#All],[Column2]:[Column3]],2,FALSE)),"",(VLOOKUP([1]IMM!F324,Table8[[#All],[Column2]:[Column3]],2,FALSE)))</f>
        <v/>
      </c>
      <c r="U325" s="2" t="str">
        <f>IF([1]IMM!P324="","",[1]IMM!P324)</f>
        <v/>
      </c>
      <c r="V325" s="2" t="str">
        <f t="shared" si="44"/>
        <v/>
      </c>
      <c r="W325" s="2" t="str">
        <f t="shared" si="45"/>
        <v/>
      </c>
      <c r="X325" s="2" t="str">
        <f t="shared" si="46"/>
        <v/>
      </c>
      <c r="Y325" s="16" t="str">
        <f t="shared" si="47"/>
        <v/>
      </c>
      <c r="Z325" s="16"/>
      <c r="AJ325" s="2" t="str">
        <f>IF([1]IMM!N324="","",[1]IMM!N324)</f>
        <v/>
      </c>
      <c r="AK325" s="16" t="str">
        <f t="shared" si="48"/>
        <v/>
      </c>
      <c r="AL325" s="16" t="str">
        <f t="shared" si="49"/>
        <v/>
      </c>
      <c r="AM325" s="2" t="str">
        <f t="shared" si="50"/>
        <v/>
      </c>
      <c r="AN325" s="16" t="str">
        <f t="shared" si="51"/>
        <v/>
      </c>
    </row>
    <row r="326" spans="4:40">
      <c r="D326" s="13" t="e">
        <f>#REF!</f>
        <v>#REF!</v>
      </c>
      <c r="R326" s="2" t="str">
        <f>IF(ISERROR(VLOOKUP([1]IMM!F325,Table8[[#All],[Column2]:[Column3]],2,FALSE)),"",(VLOOKUP([1]IMM!F325,Table8[[#All],[Column2]:[Column3]],2,FALSE)))</f>
        <v/>
      </c>
      <c r="U326" s="2" t="str">
        <f>IF([1]IMM!P325="","",[1]IMM!P325)</f>
        <v/>
      </c>
      <c r="V326" s="2" t="str">
        <f t="shared" si="44"/>
        <v/>
      </c>
      <c r="W326" s="2" t="str">
        <f t="shared" si="45"/>
        <v/>
      </c>
      <c r="X326" s="2" t="str">
        <f t="shared" si="46"/>
        <v/>
      </c>
      <c r="Y326" s="16" t="str">
        <f t="shared" si="47"/>
        <v/>
      </c>
      <c r="Z326" s="16"/>
      <c r="AJ326" s="2" t="str">
        <f>IF([1]IMM!N325="","",[1]IMM!N325)</f>
        <v/>
      </c>
      <c r="AK326" s="16" t="str">
        <f t="shared" si="48"/>
        <v/>
      </c>
      <c r="AL326" s="16" t="str">
        <f t="shared" si="49"/>
        <v/>
      </c>
      <c r="AM326" s="2" t="str">
        <f t="shared" si="50"/>
        <v/>
      </c>
      <c r="AN326" s="16" t="str">
        <f t="shared" si="51"/>
        <v/>
      </c>
    </row>
    <row r="327" spans="4:40">
      <c r="D327" s="13" t="e">
        <f>#REF!</f>
        <v>#REF!</v>
      </c>
      <c r="R327" s="2" t="str">
        <f>IF(ISERROR(VLOOKUP([1]IMM!F326,Table8[[#All],[Column2]:[Column3]],2,FALSE)),"",(VLOOKUP([1]IMM!F326,Table8[[#All],[Column2]:[Column3]],2,FALSE)))</f>
        <v/>
      </c>
      <c r="U327" s="2" t="str">
        <f>IF([1]IMM!P326="","",[1]IMM!P326)</f>
        <v/>
      </c>
      <c r="V327" s="2" t="str">
        <f t="shared" si="44"/>
        <v/>
      </c>
      <c r="W327" s="2" t="str">
        <f t="shared" si="45"/>
        <v/>
      </c>
      <c r="X327" s="2" t="str">
        <f t="shared" si="46"/>
        <v/>
      </c>
      <c r="Y327" s="16" t="str">
        <f t="shared" si="47"/>
        <v/>
      </c>
      <c r="Z327" s="16"/>
      <c r="AJ327" s="2" t="str">
        <f>IF([1]IMM!N326="","",[1]IMM!N326)</f>
        <v/>
      </c>
      <c r="AK327" s="16" t="str">
        <f t="shared" si="48"/>
        <v/>
      </c>
      <c r="AL327" s="16" t="str">
        <f t="shared" si="49"/>
        <v/>
      </c>
      <c r="AM327" s="2" t="str">
        <f t="shared" si="50"/>
        <v/>
      </c>
      <c r="AN327" s="16" t="str">
        <f t="shared" si="51"/>
        <v/>
      </c>
    </row>
    <row r="328" spans="4:40">
      <c r="Y328" s="16" t="str">
        <f t="shared" si="47"/>
        <v/>
      </c>
      <c r="AJ328" s="2" t="str">
        <f>IF([1]IMM!N327="","",[1]IMM!N327)</f>
        <v/>
      </c>
      <c r="AK328" s="16" t="str">
        <f t="shared" si="48"/>
        <v/>
      </c>
      <c r="AL328" s="16" t="str">
        <f t="shared" si="49"/>
        <v/>
      </c>
      <c r="AM328" s="2" t="str">
        <f t="shared" si="50"/>
        <v/>
      </c>
      <c r="AN328" s="16" t="str">
        <f t="shared" si="51"/>
        <v/>
      </c>
    </row>
    <row r="329" spans="4:40">
      <c r="Y329" s="16" t="str">
        <f t="shared" si="47"/>
        <v/>
      </c>
      <c r="AN329" s="16" t="str">
        <f t="shared" si="51"/>
        <v/>
      </c>
    </row>
    <row r="330" spans="4:40">
      <c r="Y330" s="16" t="str">
        <f t="shared" si="47"/>
        <v/>
      </c>
      <c r="AN330" s="16" t="str">
        <f t="shared" si="51"/>
        <v/>
      </c>
    </row>
  </sheetData>
  <conditionalFormatting sqref="AB5">
    <cfRule type="duplicateValues" dxfId="19" priority="19"/>
  </conditionalFormatting>
  <conditionalFormatting sqref="AB8">
    <cfRule type="duplicateValues" dxfId="18" priority="18"/>
  </conditionalFormatting>
  <conditionalFormatting sqref="AB10">
    <cfRule type="duplicateValues" dxfId="17" priority="17"/>
  </conditionalFormatting>
  <conditionalFormatting sqref="AB67">
    <cfRule type="duplicateValues" dxfId="16" priority="16"/>
  </conditionalFormatting>
  <conditionalFormatting sqref="AB68">
    <cfRule type="duplicateValues" dxfId="15" priority="15"/>
  </conditionalFormatting>
  <conditionalFormatting sqref="AB69">
    <cfRule type="duplicateValues" dxfId="14" priority="14"/>
  </conditionalFormatting>
  <conditionalFormatting sqref="AB70">
    <cfRule type="duplicateValues" dxfId="13" priority="13"/>
  </conditionalFormatting>
  <conditionalFormatting sqref="AB71">
    <cfRule type="duplicateValues" dxfId="12" priority="12"/>
  </conditionalFormatting>
  <conditionalFormatting sqref="AB72">
    <cfRule type="duplicateValues" dxfId="11" priority="11"/>
  </conditionalFormatting>
  <conditionalFormatting sqref="AB73">
    <cfRule type="duplicateValues" dxfId="10" priority="10"/>
  </conditionalFormatting>
  <conditionalFormatting sqref="AB74">
    <cfRule type="duplicateValues" dxfId="9" priority="9"/>
  </conditionalFormatting>
  <conditionalFormatting sqref="AB75">
    <cfRule type="duplicateValues" dxfId="8" priority="8"/>
  </conditionalFormatting>
  <conditionalFormatting sqref="AB76">
    <cfRule type="duplicateValues" dxfId="7" priority="7"/>
  </conditionalFormatting>
  <conditionalFormatting sqref="AB77">
    <cfRule type="duplicateValues" dxfId="6" priority="6"/>
  </conditionalFormatting>
  <conditionalFormatting sqref="AB78">
    <cfRule type="duplicateValues" dxfId="5" priority="5"/>
  </conditionalFormatting>
  <conditionalFormatting sqref="AB79">
    <cfRule type="duplicateValues" dxfId="4" priority="4"/>
  </conditionalFormatting>
  <conditionalFormatting sqref="AB80">
    <cfRule type="duplicateValues" dxfId="3" priority="3"/>
  </conditionalFormatting>
  <conditionalFormatting sqref="AB81">
    <cfRule type="duplicateValues" dxfId="2" priority="2"/>
  </conditionalFormatting>
  <conditionalFormatting sqref="AB82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ตัวอย่างข้อมูล Ex</vt:lpstr>
      <vt:lpstr>Nationality</vt:lpstr>
      <vt:lpstr>เพศ Gender 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Taweesak Jantasan</dc:creator>
  <cp:lastModifiedBy>Taweesak Jantasan</cp:lastModifiedBy>
  <dcterms:created xsi:type="dcterms:W3CDTF">2026-07-13T10:21:48Z</dcterms:created>
  <dcterms:modified xsi:type="dcterms:W3CDTF">2026-07-14T14:11:55Z</dcterms:modified>
</cp:coreProperties>
</file>